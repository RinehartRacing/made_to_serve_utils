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2024 Handouts" sheetId="1" r:id="rId4"/>
    <sheet state="visible" name="2024 Meal Prep" sheetId="2" r:id="rId5"/>
    <sheet state="visible" name="2025 Saturday Handout" sheetId="3" r:id="rId6"/>
    <sheet state="visible" name=" 2025 RIVERSIDE ONLY" sheetId="4" r:id="rId7"/>
    <sheet state="visible" name="2025 Sunday Handouts" sheetId="5" r:id="rId8"/>
    <sheet state="visible" name="2025 Meal Prep" sheetId="6" r:id="rId9"/>
    <sheet state="visible" name="2026 Saturday Handout" sheetId="7" r:id="rId10"/>
    <sheet state="visible" name="2026 RIVERSIDE ONLY" sheetId="8" r:id="rId11"/>
    <sheet state="visible" name="2026 Sunday Handouts" sheetId="9" r:id="rId12"/>
    <sheet state="visible" name="2026 Meal Prep" sheetId="10" r:id="rId13"/>
    <sheet state="visible" name="Meals Made" sheetId="11" r:id="rId14"/>
    <sheet state="visible" name="Bible Count" sheetId="12" r:id="rId15"/>
    <sheet state="visible" name="2025 Other Volunteer Task" sheetId="13" r:id="rId16"/>
    <sheet state="visible" name="2026 Other Volunteer Task" sheetId="14" r:id="rId17"/>
    <sheet state="visible" name="Volunteer Info" sheetId="15" r:id="rId18"/>
  </sheets>
  <definedNames/>
  <calcPr/>
  <extLst>
    <ext uri="GoogleSheetsCustomDataVersion2">
      <go:sheetsCustomData xmlns:go="http://customooxmlschemas.google.com/" r:id="rId19" roundtripDataChecksum="2Cvvsbh+rwlGNt5B6CNnIBIvTXKzzP5tNZhi1XL0km0="/>
    </ext>
  </extLst>
</workbook>
</file>

<file path=xl/sharedStrings.xml><?xml version="1.0" encoding="utf-8"?>
<sst xmlns="http://schemas.openxmlformats.org/spreadsheetml/2006/main" count="2908" uniqueCount="1001">
  <si>
    <t>Volunteers:</t>
  </si>
  <si>
    <t>Total Hours:</t>
  </si>
  <si>
    <t>1/28/24-4/14/24</t>
  </si>
  <si>
    <t>Tony Latvenas (ME)</t>
  </si>
  <si>
    <t>hernia</t>
  </si>
  <si>
    <t>Chris Latvenas</t>
  </si>
  <si>
    <t>Rusty Rinehart</t>
  </si>
  <si>
    <t>Kaeden Cameron</t>
  </si>
  <si>
    <t>Anevae Barrera</t>
  </si>
  <si>
    <t>Danna Robles</t>
  </si>
  <si>
    <t>Katia Tapia</t>
  </si>
  <si>
    <t>Samantha Bryant</t>
  </si>
  <si>
    <t>Grace McGlynn</t>
  </si>
  <si>
    <t>Leah Gues</t>
  </si>
  <si>
    <t>Sophie Smith</t>
  </si>
  <si>
    <t>AJ Pearce</t>
  </si>
  <si>
    <t>Cameron Walker</t>
  </si>
  <si>
    <t>Viv Norman</t>
  </si>
  <si>
    <t>Jonathan Yates</t>
  </si>
  <si>
    <t>Tyler Vayon</t>
  </si>
  <si>
    <t>Alex Fernandez</t>
  </si>
  <si>
    <t>Jeff Barnhart</t>
  </si>
  <si>
    <t>Matthew Wong</t>
  </si>
  <si>
    <t>Matt Claflin</t>
  </si>
  <si>
    <t>Cordell Mazzetti</t>
  </si>
  <si>
    <t>Seth Fletscher</t>
  </si>
  <si>
    <t>Taylor Moore</t>
  </si>
  <si>
    <t>Morgan Duke's GF</t>
  </si>
  <si>
    <t>Duke Davison</t>
  </si>
  <si>
    <t>Abhijay Saini</t>
  </si>
  <si>
    <t>Ayub Yousaf</t>
  </si>
  <si>
    <t>Tim Vordenbaumen</t>
  </si>
  <si>
    <t>Rich Okon</t>
  </si>
  <si>
    <t>JD Merrit</t>
  </si>
  <si>
    <t>Nash Dolan</t>
  </si>
  <si>
    <t>Zarious</t>
  </si>
  <si>
    <t>Que (Rusty's SD)</t>
  </si>
  <si>
    <t>Chris Caliendo</t>
  </si>
  <si>
    <t>Jon Siddiq</t>
  </si>
  <si>
    <t>McKennon Rice</t>
  </si>
  <si>
    <t>Kristi Truong</t>
  </si>
  <si>
    <t>Eric Burnett</t>
  </si>
  <si>
    <t>Noah Temple</t>
  </si>
  <si>
    <t>Ethan Gindy</t>
  </si>
  <si>
    <t>Karani Namunyu</t>
  </si>
  <si>
    <t xml:space="preserve">Ebube </t>
  </si>
  <si>
    <t>Mahali Domingo</t>
  </si>
  <si>
    <t>Naya Domingo</t>
  </si>
  <si>
    <t>Joel Solomon</t>
  </si>
  <si>
    <t>Kirk Cameron</t>
  </si>
  <si>
    <t>Jeanette Cameron</t>
  </si>
  <si>
    <t>Brock Lintelmann</t>
  </si>
  <si>
    <t>James Snead</t>
  </si>
  <si>
    <t>Dave Wood</t>
  </si>
  <si>
    <t>Harper Anderlitch</t>
  </si>
  <si>
    <t>Alexis Anderlitch</t>
  </si>
  <si>
    <t>Aleksei Enriquez</t>
  </si>
  <si>
    <t>Stephie Marie</t>
  </si>
  <si>
    <t>Natasha Schmid</t>
  </si>
  <si>
    <t>Alex Yoder</t>
  </si>
  <si>
    <t>Mckennon Rice</t>
  </si>
  <si>
    <t>Marlaina Galvan</t>
  </si>
  <si>
    <t>X(2)</t>
  </si>
  <si>
    <t>X(2.5)</t>
  </si>
  <si>
    <t>Eden Garrard</t>
  </si>
  <si>
    <t>Skylar Summers</t>
  </si>
  <si>
    <t>Tyan Anderlitch</t>
  </si>
  <si>
    <t>Kevin Champagne</t>
  </si>
  <si>
    <t>Taylor Alvarez</t>
  </si>
  <si>
    <t>Steve Ntare</t>
  </si>
  <si>
    <t>Tucker Trejo</t>
  </si>
  <si>
    <t>Scott Rinehart</t>
  </si>
  <si>
    <t>Abby Antonov</t>
  </si>
  <si>
    <t>Natalia Dominguez</t>
  </si>
  <si>
    <t>Krystal Springs</t>
  </si>
  <si>
    <t>Stephanie Irizarry</t>
  </si>
  <si>
    <t>Will Biagini</t>
  </si>
  <si>
    <t>Braeden Litchfield</t>
  </si>
  <si>
    <t>Kayla Williams</t>
  </si>
  <si>
    <t>Hannah Abraham</t>
  </si>
  <si>
    <t>Madison Dagenais</t>
  </si>
  <si>
    <t>Tripp Graham</t>
  </si>
  <si>
    <t>Jacqueline McCoy</t>
  </si>
  <si>
    <t>Nathan Galindo</t>
  </si>
  <si>
    <t>Jacob Madden</t>
  </si>
  <si>
    <t>Paige Byrd</t>
  </si>
  <si>
    <t>Lena DelBianco</t>
  </si>
  <si>
    <t>Ashleigh Harvey</t>
  </si>
  <si>
    <t>Malinda Rinehart</t>
  </si>
  <si>
    <t>Steve Rinehart</t>
  </si>
  <si>
    <t>Casey Woodard</t>
  </si>
  <si>
    <t>Kaden deBerardinis</t>
  </si>
  <si>
    <t>Ana Henriquez</t>
  </si>
  <si>
    <t>Eva Cline</t>
  </si>
  <si>
    <t>Shuo Yang</t>
  </si>
  <si>
    <t>Cody Bressler</t>
  </si>
  <si>
    <t>Ethan Bressler</t>
  </si>
  <si>
    <t>Donovan Daniels</t>
  </si>
  <si>
    <t>Paul Zhdan</t>
  </si>
  <si>
    <t>Tyler Cox</t>
  </si>
  <si>
    <t>Annie Perez</t>
  </si>
  <si>
    <t>Kushal Chigati</t>
  </si>
  <si>
    <t>Natalie Hall</t>
  </si>
  <si>
    <t>Hadley Carr</t>
  </si>
  <si>
    <t>Josh Pope</t>
  </si>
  <si>
    <t>Reed Showecker</t>
  </si>
  <si>
    <t>Mauricio Leverone</t>
  </si>
  <si>
    <t>Wallace Chen</t>
  </si>
  <si>
    <t>Kathy Cui</t>
  </si>
  <si>
    <t>Rachel Pruski</t>
  </si>
  <si>
    <t>HannahGrace Hurlbert</t>
  </si>
  <si>
    <t>Kynzi Soukup</t>
  </si>
  <si>
    <t>Evie McNeil</t>
  </si>
  <si>
    <t>Alison Gibson</t>
  </si>
  <si>
    <t>Kelsey Melvin</t>
  </si>
  <si>
    <t>Jessica Stomberg</t>
  </si>
  <si>
    <t>Ellie Duda</t>
  </si>
  <si>
    <t>Alli Powell</t>
  </si>
  <si>
    <t>Nikko Chazarreta</t>
  </si>
  <si>
    <t>Ayden Wilson</t>
  </si>
  <si>
    <t>Jon Lee</t>
  </si>
  <si>
    <t>Jonah Sam</t>
  </si>
  <si>
    <t>Morgan Combs</t>
  </si>
  <si>
    <t>Shania Hardin</t>
  </si>
  <si>
    <t>Samantha Sanchez</t>
  </si>
  <si>
    <t>Ellie Richardson</t>
  </si>
  <si>
    <t>Judith Guerra</t>
  </si>
  <si>
    <t>Logan Allman</t>
  </si>
  <si>
    <t>Luc Lechner</t>
  </si>
  <si>
    <t>William Tu</t>
  </si>
  <si>
    <t>Amy Nguyen</t>
  </si>
  <si>
    <t>Tien Hoang</t>
  </si>
  <si>
    <t>Izzy Bortolotti</t>
  </si>
  <si>
    <t>Newton Tran</t>
  </si>
  <si>
    <t>Tyler Rose</t>
  </si>
  <si>
    <t>Hagen Morford</t>
  </si>
  <si>
    <t>Elaina Giolando</t>
  </si>
  <si>
    <t>Wylie Hawkins</t>
  </si>
  <si>
    <t>Jasmine Stoltzfus</t>
  </si>
  <si>
    <t>Alley Mcintosh</t>
  </si>
  <si>
    <t>Darik Lohrstorfer</t>
  </si>
  <si>
    <t>Kayla Mosebrook</t>
  </si>
  <si>
    <t>Johnny Shin</t>
  </si>
  <si>
    <t>Wilkie Miller</t>
  </si>
  <si>
    <t>Isaiah Butts</t>
  </si>
  <si>
    <t>Luke Martin</t>
  </si>
  <si>
    <t>Tucker Oelsen</t>
  </si>
  <si>
    <t>Robert Carmona</t>
  </si>
  <si>
    <t>Jean-Luc Parker</t>
  </si>
  <si>
    <t>Keilani Francisco</t>
  </si>
  <si>
    <t>Yareli Villagran</t>
  </si>
  <si>
    <t>Jimena Martinez</t>
  </si>
  <si>
    <t>Hannah Erbeck</t>
  </si>
  <si>
    <t>Olivia DeLeon</t>
  </si>
  <si>
    <t>India Williams</t>
  </si>
  <si>
    <t>Leilani Hernandez</t>
  </si>
  <si>
    <t>Jared Oliveria</t>
  </si>
  <si>
    <t>Skylar Sage</t>
  </si>
  <si>
    <t>Katie McCourt</t>
  </si>
  <si>
    <t>Danielle Briones</t>
  </si>
  <si>
    <t>Jalesa Lewis</t>
  </si>
  <si>
    <t>Dana Drahos</t>
  </si>
  <si>
    <t>Adam Mena</t>
  </si>
  <si>
    <t>Wesley Foreman</t>
  </si>
  <si>
    <t>Natalie Budden</t>
  </si>
  <si>
    <t>Ana Maria Melo</t>
  </si>
  <si>
    <t>Spencer Robbins</t>
  </si>
  <si>
    <t>Davin Morgan</t>
  </si>
  <si>
    <t>Jordan Carlson</t>
  </si>
  <si>
    <t>Debbie Aviles</t>
  </si>
  <si>
    <t>Britt Cohorst</t>
  </si>
  <si>
    <t>Jasmine Salazar</t>
  </si>
  <si>
    <t>Valenta Murra</t>
  </si>
  <si>
    <t>Brad Lackey</t>
  </si>
  <si>
    <t>Josiah Pais</t>
  </si>
  <si>
    <t>Eric Chung</t>
  </si>
  <si>
    <t>Tristman Workman</t>
  </si>
  <si>
    <t>Mariah Salazar</t>
  </si>
  <si>
    <t>Drew Gieschen</t>
  </si>
  <si>
    <t>Grace Ogden</t>
  </si>
  <si>
    <t>Faith Loving</t>
  </si>
  <si>
    <t>Ricky Casco</t>
  </si>
  <si>
    <t>Joeseph Johnson</t>
  </si>
  <si>
    <t>Paige More</t>
  </si>
  <si>
    <t>Arianna Alford</t>
  </si>
  <si>
    <t>Gracyn Webb</t>
  </si>
  <si>
    <t>Kayla Jayo</t>
  </si>
  <si>
    <t>Marilyn Romero</t>
  </si>
  <si>
    <t>Dallas Hartley</t>
  </si>
  <si>
    <t>Jada Fuhr</t>
  </si>
  <si>
    <t>Jake Gutwein</t>
  </si>
  <si>
    <t>Trent Lankford</t>
  </si>
  <si>
    <t>Danny DiDonna</t>
  </si>
  <si>
    <t>Ethan Rife</t>
  </si>
  <si>
    <t>Angelica Castro</t>
  </si>
  <si>
    <t>Amanda Omehe</t>
  </si>
  <si>
    <t>Kiara Haywood</t>
  </si>
  <si>
    <t>Lesley Diaz</t>
  </si>
  <si>
    <t>Kayla Gustafson</t>
  </si>
  <si>
    <t>Victoria Ramos</t>
  </si>
  <si>
    <t>Kate Hansen</t>
  </si>
  <si>
    <t>Austin Tredinnick</t>
  </si>
  <si>
    <t>Everett Gawlikowski</t>
  </si>
  <si>
    <t>Gareth Samberson</t>
  </si>
  <si>
    <t>Cambry Cordsen</t>
  </si>
  <si>
    <t>Jozina Gomez</t>
  </si>
  <si>
    <t>Miracle Johnson</t>
  </si>
  <si>
    <t>Galilea Armenta</t>
  </si>
  <si>
    <t>Robert Zborowski</t>
  </si>
  <si>
    <t>Sarah Minton</t>
  </si>
  <si>
    <t>Brandon Sage</t>
  </si>
  <si>
    <t>Rachel DeWitt</t>
  </si>
  <si>
    <t>Evan DeWitt</t>
  </si>
  <si>
    <t>Betzabel Gonzalez</t>
  </si>
  <si>
    <t xml:space="preserve">Tannya Olivia </t>
  </si>
  <si>
    <t>Angel Young</t>
  </si>
  <si>
    <t>Bianca Pozzi</t>
  </si>
  <si>
    <t>Olivia Egede</t>
  </si>
  <si>
    <t>Emma Listak</t>
  </si>
  <si>
    <t>Eddy Gonzalez</t>
  </si>
  <si>
    <t>Gracelynn Vaughn</t>
  </si>
  <si>
    <t>Carlos Castro</t>
  </si>
  <si>
    <t>Dago Zakra</t>
  </si>
  <si>
    <t>Morghan Armenta</t>
  </si>
  <si>
    <t>Justin Cegielski</t>
  </si>
  <si>
    <t>Sean Chamberlain</t>
  </si>
  <si>
    <t>Reace Rinehart</t>
  </si>
  <si>
    <t>Chalice Coward</t>
  </si>
  <si>
    <t>Todd Howard</t>
  </si>
  <si>
    <t>Baxter Blackwood</t>
  </si>
  <si>
    <t>Jade Vasquez</t>
  </si>
  <si>
    <t>Seth Cardwell</t>
  </si>
  <si>
    <t>Margarita Pruski</t>
  </si>
  <si>
    <t>Kevin Pruski</t>
  </si>
  <si>
    <t>Stephanie Peel</t>
  </si>
  <si>
    <t>Drew Greschen</t>
  </si>
  <si>
    <t>X(1)</t>
  </si>
  <si>
    <t>Liberty Davidson</t>
  </si>
  <si>
    <t>Destiny Hernandez</t>
  </si>
  <si>
    <t>Harrison Coley</t>
  </si>
  <si>
    <t>Rohit Mahank</t>
  </si>
  <si>
    <t>Grace Eaton</t>
  </si>
  <si>
    <t>Jordan Forsythe</t>
  </si>
  <si>
    <t>Anastasia Belcer</t>
  </si>
  <si>
    <t>Rhondre Giscombe</t>
  </si>
  <si>
    <t>Anthony Lamar</t>
  </si>
  <si>
    <t>Jok Mawut</t>
  </si>
  <si>
    <t>Matt Molloy</t>
  </si>
  <si>
    <t>Emily Herzog</t>
  </si>
  <si>
    <t>Naven Dabria</t>
  </si>
  <si>
    <t>Justin Szumski</t>
  </si>
  <si>
    <t>Leon Johnson</t>
  </si>
  <si>
    <t>Brandon Delfin</t>
  </si>
  <si>
    <t>Isaiah Studivent</t>
  </si>
  <si>
    <t>Fray Castro</t>
  </si>
  <si>
    <t>Julia Gilbert</t>
  </si>
  <si>
    <t>Evie  McNeil</t>
  </si>
  <si>
    <t>Grace Mendoza</t>
  </si>
  <si>
    <t>Nicholas Garcia</t>
  </si>
  <si>
    <t>Chris Leboda</t>
  </si>
  <si>
    <t>Thomas Longoria</t>
  </si>
  <si>
    <t>Destiny Guerra</t>
  </si>
  <si>
    <t>Elexus Miera</t>
  </si>
  <si>
    <t>Jacob Robinetts</t>
  </si>
  <si>
    <t>Estera Flas</t>
  </si>
  <si>
    <t>Rachel Rushing</t>
  </si>
  <si>
    <t>Alley McIntosh</t>
  </si>
  <si>
    <t>Josiah Pias</t>
  </si>
  <si>
    <t>Andrew Dorantes</t>
  </si>
  <si>
    <t>Isa Hilario</t>
  </si>
  <si>
    <t>Rachel Voigt</t>
  </si>
  <si>
    <t>Rico Tuski</t>
  </si>
  <si>
    <t>David Prestwood</t>
  </si>
  <si>
    <t>Taryn Stauffer</t>
  </si>
  <si>
    <t xml:space="preserve">Anya Whitman </t>
  </si>
  <si>
    <t>Angelina Bsiceno</t>
  </si>
  <si>
    <t>Kaleigh Doiron</t>
  </si>
  <si>
    <t>Katelyn Doiron</t>
  </si>
  <si>
    <t>Elijah Jones</t>
  </si>
  <si>
    <t>Jake Dapew</t>
  </si>
  <si>
    <t>Reagan Popoff</t>
  </si>
  <si>
    <t>Cameron Davidson</t>
  </si>
  <si>
    <t>Alanna VanNoller</t>
  </si>
  <si>
    <t>Dominique Gamboa</t>
  </si>
  <si>
    <t>Elijah Guzman</t>
  </si>
  <si>
    <t>Brandon Howard</t>
  </si>
  <si>
    <t>Kennedy Johnson</t>
  </si>
  <si>
    <t>Jarvis Miles</t>
  </si>
  <si>
    <t>Khoi Phan</t>
  </si>
  <si>
    <t>Eric Pferdehirt</t>
  </si>
  <si>
    <t>Justin Pferdhirt</t>
  </si>
  <si>
    <t>Alicia Medrano</t>
  </si>
  <si>
    <t>Daniel Medrano</t>
  </si>
  <si>
    <t>Emily Miller</t>
  </si>
  <si>
    <t>Mark Miller</t>
  </si>
  <si>
    <t>Taylor Anderson</t>
  </si>
  <si>
    <t>Haley Johnson</t>
  </si>
  <si>
    <t>Florin DelAlba</t>
  </si>
  <si>
    <t>Luis Guzman</t>
  </si>
  <si>
    <t>Vallerie Ciolac</t>
  </si>
  <si>
    <t>Cyndll Williams</t>
  </si>
  <si>
    <t>Devin Pozzi</t>
  </si>
  <si>
    <t>Zach Seidl</t>
  </si>
  <si>
    <t>AJ Mares</t>
  </si>
  <si>
    <t>Danny Malm</t>
  </si>
  <si>
    <t>Michelle Gomez</t>
  </si>
  <si>
    <t>Trinity Hatcher</t>
  </si>
  <si>
    <t>Ian Kawai Simmons-Francisco</t>
  </si>
  <si>
    <t>Cheryl Simmons</t>
  </si>
  <si>
    <t>Marissa Cardenas</t>
  </si>
  <si>
    <t>X(4)</t>
  </si>
  <si>
    <t>X(1.5)</t>
  </si>
  <si>
    <t>X(2.25)</t>
  </si>
  <si>
    <t>Sofia Harms</t>
  </si>
  <si>
    <t xml:space="preserve">Ryan Mikula </t>
  </si>
  <si>
    <t>Stephie Irizzary</t>
  </si>
  <si>
    <t>Paige Pritchard</t>
  </si>
  <si>
    <t>Noah Pfiester</t>
  </si>
  <si>
    <t>Wiktoria Olszak</t>
  </si>
  <si>
    <t>James Caswell</t>
  </si>
  <si>
    <t>Rachel Alajian</t>
  </si>
  <si>
    <t>Tammim Satar</t>
  </si>
  <si>
    <t>Morgan Johnson</t>
  </si>
  <si>
    <t>Taylor Champagne</t>
  </si>
  <si>
    <t>Charity Mohler</t>
  </si>
  <si>
    <t>Sophie Dalen</t>
  </si>
  <si>
    <t>Ansley Drenner</t>
  </si>
  <si>
    <t>Taylor Brudos</t>
  </si>
  <si>
    <t>Kevin Pangottil</t>
  </si>
  <si>
    <t>Julia Stone</t>
  </si>
  <si>
    <t>Eli Puchalski</t>
  </si>
  <si>
    <t>Shelby Austin</t>
  </si>
  <si>
    <t>Ilya Besancon</t>
  </si>
  <si>
    <t>Zachary Khale</t>
  </si>
  <si>
    <t>Matthew Driskill</t>
  </si>
  <si>
    <t>Baylee Olsen</t>
  </si>
  <si>
    <t>Isabel Powell</t>
  </si>
  <si>
    <t>Kate Spradling</t>
  </si>
  <si>
    <t>Laura Grace Jones</t>
  </si>
  <si>
    <t>Hailee Martinez</t>
  </si>
  <si>
    <t>Campbell Whann</t>
  </si>
  <si>
    <t>Katie Mccourt</t>
  </si>
  <si>
    <t>Jacob Phillips</t>
  </si>
  <si>
    <t>Damaris Renteria</t>
  </si>
  <si>
    <t>Claire Nevill</t>
  </si>
  <si>
    <t>Erin Kingsley</t>
  </si>
  <si>
    <t>Ashley Guernero</t>
  </si>
  <si>
    <t>Liz Dodson</t>
  </si>
  <si>
    <t>Natalie Walker</t>
  </si>
  <si>
    <t>Demi Awosika-Olumo</t>
  </si>
  <si>
    <t>Elyse Theriac</t>
  </si>
  <si>
    <t>Berenice Cheng</t>
  </si>
  <si>
    <t>Anthony Pancamo</t>
  </si>
  <si>
    <t>Angelina Briceno</t>
  </si>
  <si>
    <t>Amy Enwere</t>
  </si>
  <si>
    <t>Hannah Placencia</t>
  </si>
  <si>
    <t>Crystal Lachapelle</t>
  </si>
  <si>
    <t>Ryan Rodriguez</t>
  </si>
  <si>
    <t>Ella Simpkins</t>
  </si>
  <si>
    <t>Isabelle Swihart</t>
  </si>
  <si>
    <t>Jacy Moore</t>
  </si>
  <si>
    <t>Macy Downe</t>
  </si>
  <si>
    <t>Paige Madden</t>
  </si>
  <si>
    <t>Mayli Zapet</t>
  </si>
  <si>
    <t>Ryker Davis</t>
  </si>
  <si>
    <t>Isreal Keshinro</t>
  </si>
  <si>
    <t>Luke Walters</t>
  </si>
  <si>
    <t>Sharlise Sears</t>
  </si>
  <si>
    <t>Lauren Lamas</t>
  </si>
  <si>
    <t>Frank Gamboa</t>
  </si>
  <si>
    <t>Doninique Gamboa</t>
  </si>
  <si>
    <t>Hailey Bangert</t>
  </si>
  <si>
    <t>Blake Walton</t>
  </si>
  <si>
    <t>Sabrina Moreno</t>
  </si>
  <si>
    <t>Adam Early</t>
  </si>
  <si>
    <t>Luke Oliver</t>
  </si>
  <si>
    <t>Arturo Mori</t>
  </si>
  <si>
    <t>Mikaylee Supak</t>
  </si>
  <si>
    <t>Eric Osgood</t>
  </si>
  <si>
    <t>Gabriel Ochoa</t>
  </si>
  <si>
    <t>Alana Rada</t>
  </si>
  <si>
    <t>Diana Gonzalez</t>
  </si>
  <si>
    <t>Genesis Soto</t>
  </si>
  <si>
    <t>Arisceiola Soto</t>
  </si>
  <si>
    <t>Ellie Patterson</t>
  </si>
  <si>
    <t>Ryan Walsh</t>
  </si>
  <si>
    <t>Jay Schroeder</t>
  </si>
  <si>
    <t>Kierra Schroeder</t>
  </si>
  <si>
    <t>Scott McGlynn</t>
  </si>
  <si>
    <t>Victoria Villatoro</t>
  </si>
  <si>
    <t>Wilmar Ordonez</t>
  </si>
  <si>
    <t>Fredy Lozano</t>
  </si>
  <si>
    <t>Charlie Bailey</t>
  </si>
  <si>
    <t>Toluwani Ijaseun</t>
  </si>
  <si>
    <t>Verenice Levario</t>
  </si>
  <si>
    <t>Peter Larson</t>
  </si>
  <si>
    <t>David Dishaw</t>
  </si>
  <si>
    <t>Dean Manley</t>
  </si>
  <si>
    <t>Ethan Fox</t>
  </si>
  <si>
    <t>Brody Anderson</t>
  </si>
  <si>
    <t>Jake Freeman</t>
  </si>
  <si>
    <t>Colton Amundson</t>
  </si>
  <si>
    <t>Andres Calvillo</t>
  </si>
  <si>
    <t>Harsh Patel</t>
  </si>
  <si>
    <t>Jakob Savage</t>
  </si>
  <si>
    <t>Jackson Rapaport</t>
  </si>
  <si>
    <t>Logan Orvedahl</t>
  </si>
  <si>
    <t>Jason Pozzi</t>
  </si>
  <si>
    <t>Joey Gagliardino</t>
  </si>
  <si>
    <t>Graham Hatley</t>
  </si>
  <si>
    <t>Preston Beck</t>
  </si>
  <si>
    <t>Luke Rapaport</t>
  </si>
  <si>
    <t>Camren Legere</t>
  </si>
  <si>
    <t>Elijah Chacon</t>
  </si>
  <si>
    <t>Preston Whitlock</t>
  </si>
  <si>
    <t>Amaris Torres</t>
  </si>
  <si>
    <t>Madalyn Solis</t>
  </si>
  <si>
    <t>Zach Frazier</t>
  </si>
  <si>
    <t>Evan Platt</t>
  </si>
  <si>
    <t>Harper Griffin</t>
  </si>
  <si>
    <t>Jean Beebe</t>
  </si>
  <si>
    <t>Justice Lloyd</t>
  </si>
  <si>
    <t>Gavin Box</t>
  </si>
  <si>
    <t>Abigail Gil</t>
  </si>
  <si>
    <t>Gwyneth Simank</t>
  </si>
  <si>
    <t>Gray Simank</t>
  </si>
  <si>
    <t>Quincy Jackson</t>
  </si>
  <si>
    <t>Francisco Parodi</t>
  </si>
  <si>
    <t>Nicole Rissell</t>
  </si>
  <si>
    <t>Tose Milone</t>
  </si>
  <si>
    <t>Ellie Chei</t>
  </si>
  <si>
    <t>Grace Sarah Denman</t>
  </si>
  <si>
    <t>Chris Andrews</t>
  </si>
  <si>
    <t>Jose Hernandez</t>
  </si>
  <si>
    <t>Christopher Vasquez</t>
  </si>
  <si>
    <t>Atiana Gamble</t>
  </si>
  <si>
    <t>Erin Kinglsey</t>
  </si>
  <si>
    <t>Lineli Rodas</t>
  </si>
  <si>
    <t>Scott Cain</t>
  </si>
  <si>
    <t>Cooper Scanlon</t>
  </si>
  <si>
    <t>Margaret Anderson</t>
  </si>
  <si>
    <t>Rachel Banbury</t>
  </si>
  <si>
    <t>Don Dumbacher</t>
  </si>
  <si>
    <t>Dave Rofkahr</t>
  </si>
  <si>
    <t>Manny Martinez</t>
  </si>
  <si>
    <t>Jared Deperna</t>
  </si>
  <si>
    <t>Lacey Uhre</t>
  </si>
  <si>
    <t>Dominque Gamboa</t>
  </si>
  <si>
    <t>Emma Lawrence</t>
  </si>
  <si>
    <t>Angel Guzman</t>
  </si>
  <si>
    <t>Blake Miura</t>
  </si>
  <si>
    <t>Erin Robinson</t>
  </si>
  <si>
    <t>Solomon Denning</t>
  </si>
  <si>
    <t>Madeline Maynor</t>
  </si>
  <si>
    <t>Eboney Mitchell</t>
  </si>
  <si>
    <t>De'ja Caraballo</t>
  </si>
  <si>
    <t>Hannah Greenball</t>
  </si>
  <si>
    <t>Sarah Hindy</t>
  </si>
  <si>
    <t>Kennedy King</t>
  </si>
  <si>
    <t>Jesse Lovejoy</t>
  </si>
  <si>
    <t>Jacob Robinett</t>
  </si>
  <si>
    <t>Gywn Simank</t>
  </si>
  <si>
    <t>Russell Bass</t>
  </si>
  <si>
    <t>Parker Wagner</t>
  </si>
  <si>
    <t>Addison Wagner</t>
  </si>
  <si>
    <t>Shannon McArthur</t>
  </si>
  <si>
    <t>Cali Gomez</t>
  </si>
  <si>
    <t>Erika Hall</t>
  </si>
  <si>
    <t>Servando Benitez</t>
  </si>
  <si>
    <t>Ely Matthews</t>
  </si>
  <si>
    <t>Lydia Boughton</t>
  </si>
  <si>
    <t>Elizabeth Reger</t>
  </si>
  <si>
    <t>Paul Bechler</t>
  </si>
  <si>
    <t>Justin Wei</t>
  </si>
  <si>
    <t>Zachary Foster</t>
  </si>
  <si>
    <t>Lina Yeh</t>
  </si>
  <si>
    <t>Rose McCartney</t>
  </si>
  <si>
    <t>Tanner McCartney</t>
  </si>
  <si>
    <t>Cedric Carter II</t>
  </si>
  <si>
    <t>Amy Taylor</t>
  </si>
  <si>
    <t>Gail Henderson</t>
  </si>
  <si>
    <t>Madeline White</t>
  </si>
  <si>
    <t>Katherine Larson</t>
  </si>
  <si>
    <t>X(4.5)</t>
  </si>
  <si>
    <t>X(4.25)</t>
  </si>
  <si>
    <t>X(2.75)</t>
  </si>
  <si>
    <t>X(5)</t>
  </si>
  <si>
    <t>X(3.5)</t>
  </si>
  <si>
    <t>X(3)</t>
  </si>
  <si>
    <t>X(4.75)</t>
  </si>
  <si>
    <t>Kaitlyn Czajkowski</t>
  </si>
  <si>
    <t>David Bauducco</t>
  </si>
  <si>
    <t>Mayeli Saldana</t>
  </si>
  <si>
    <t>Hunter Hall</t>
  </si>
  <si>
    <t>Valerie Maldonado</t>
  </si>
  <si>
    <t>Andrea Markezich</t>
  </si>
  <si>
    <t>Tiffany Turner</t>
  </si>
  <si>
    <t>Hayley Dryer</t>
  </si>
  <si>
    <t>Lydie Nsoga</t>
  </si>
  <si>
    <t>Jake O'Loughlin</t>
  </si>
  <si>
    <t>Jacob Leblanc</t>
  </si>
  <si>
    <t>Nirvana Jackson</t>
  </si>
  <si>
    <t>Lauren Vega</t>
  </si>
  <si>
    <t>Yuchao Wang</t>
  </si>
  <si>
    <t>Zabdi Barrera</t>
  </si>
  <si>
    <t>Auburn Staples</t>
  </si>
  <si>
    <t>Mikaylie Neptune</t>
  </si>
  <si>
    <t>Maely Thomasson</t>
  </si>
  <si>
    <t>Saypri Nuñez</t>
  </si>
  <si>
    <t>Sophia Denu</t>
  </si>
  <si>
    <t>Jordan Homan</t>
  </si>
  <si>
    <t>Brendan Smick</t>
  </si>
  <si>
    <t>Crissy Hernandez</t>
  </si>
  <si>
    <t>Tamara Aquino</t>
  </si>
  <si>
    <t>Avery James</t>
  </si>
  <si>
    <t>Priscilla Chavez</t>
  </si>
  <si>
    <t>WEEK</t>
  </si>
  <si>
    <t>Meals</t>
  </si>
  <si>
    <t>2024 Total</t>
  </si>
  <si>
    <t>Saturday</t>
  </si>
  <si>
    <t>Sunday</t>
  </si>
  <si>
    <t>2025 Total</t>
  </si>
  <si>
    <t>2026 Total</t>
  </si>
  <si>
    <t>GRAND TOTAL</t>
  </si>
  <si>
    <t>2024 Meal Prep Hours</t>
  </si>
  <si>
    <t>2024 Handout Hours</t>
  </si>
  <si>
    <t>2025 Meal Prep Hours</t>
  </si>
  <si>
    <t>2025 Saturday Handouts</t>
  </si>
  <si>
    <t>2025 Sunday Handouts</t>
  </si>
  <si>
    <t>2025 Other Task Hours</t>
  </si>
  <si>
    <t>2026 Meal Prep Hours</t>
  </si>
  <si>
    <t>2026 Saturday Handouts</t>
  </si>
  <si>
    <t>2026 Sunday Handouts</t>
  </si>
  <si>
    <t>2026 Other Task Hours</t>
  </si>
  <si>
    <t>Total:</t>
  </si>
  <si>
    <t>Date</t>
  </si>
  <si>
    <t>From</t>
  </si>
  <si>
    <t>Amount</t>
  </si>
  <si>
    <t>Cost</t>
  </si>
  <si>
    <t>Total Cost</t>
  </si>
  <si>
    <t>1/24-5/25</t>
  </si>
  <si>
    <t>Donated from various donors</t>
  </si>
  <si>
    <t>Lifeway.com 760 CSB &amp; 40 Spanish NIV Bibles</t>
  </si>
  <si>
    <t>Lifeway.com 300 CSB Large Print Bibles &amp; 1 Spanish NIV</t>
  </si>
  <si>
    <t>Spanish Bibles off Biblesinbulk.com</t>
  </si>
  <si>
    <t>Lifeway.com 400 CSB Large Print Bible &amp; 300 Small CSB NT</t>
  </si>
  <si>
    <t>Biblesinbulk.com NIV Santa Biblia Large Print</t>
  </si>
  <si>
    <t>Christianbook.com 100 Santa Biblia Letra Grande</t>
  </si>
  <si>
    <t>Lifeway.com 400 CSB Large Print Bibles</t>
  </si>
  <si>
    <r>
      <rPr>
        <rFont val="Arial"/>
        <color rgb="FF1155CC"/>
        <u/>
      </rPr>
      <t>Lifeway.com</t>
    </r>
    <r>
      <rPr>
        <rFont val="Arial"/>
      </rPr>
      <t xml:space="preserve"> donated 10 large print CBS &amp; 10 Hope NT Bibles</t>
    </r>
  </si>
  <si>
    <t>Volunteer</t>
  </si>
  <si>
    <t>Hours</t>
  </si>
  <si>
    <t>Reason/Task</t>
  </si>
  <si>
    <t>Total Hours</t>
  </si>
  <si>
    <t xml:space="preserve">Tony Latvenas </t>
  </si>
  <si>
    <t>Updating Website and spreadsheets</t>
  </si>
  <si>
    <t>Clening donated fridge for use</t>
  </si>
  <si>
    <t xml:space="preserve">Worked on getting website to send emails to me for volunteer and donation submissions </t>
  </si>
  <si>
    <t>Scouting new areas for more people and second route</t>
  </si>
  <si>
    <t>Updating sheets and accounting</t>
  </si>
  <si>
    <t>Updating Volunteer Hours</t>
  </si>
  <si>
    <t>Updating Accounting Sheet and Volunteer List</t>
  </si>
  <si>
    <t>Getting Supplies at Walmart &amp; Updating Sheets and site</t>
  </si>
  <si>
    <t>Updating sheets, accounting &amp; website</t>
  </si>
  <si>
    <t>Working on Calender Volunteer Form for Website</t>
  </si>
  <si>
    <t>Working on Website Volunteer Page</t>
  </si>
  <si>
    <t>Working on webiste clean up and Mission Page</t>
  </si>
  <si>
    <t>Working on Brochure Development and Design</t>
  </si>
  <si>
    <t>Abraham Pena</t>
  </si>
  <si>
    <t>Printing Labels and pre night prep</t>
  </si>
  <si>
    <t>Working on building new wesbite, talking to dev team, ordering sample shirts, &amp; designing truck decals</t>
  </si>
  <si>
    <t>Working on website, designed and ordered QR Stickers</t>
  </si>
  <si>
    <t>Food shopping, prep set up &amp; labels</t>
  </si>
  <si>
    <t>Updating Website, spreadsheets &amp; Accounting</t>
  </si>
  <si>
    <t>Working on business outreach systems, ordered merch samples</t>
  </si>
  <si>
    <t>Rearanging the supplies/bibles in garage, food shopping, prep set up, labels, &amp; walkie talkie set up</t>
  </si>
  <si>
    <t xml:space="preserve">Bible, cart and cooler unboxing, &amp; Flyer creation for Jesus Jam Fest </t>
  </si>
  <si>
    <t>Jesus Jam Fest Outreach</t>
  </si>
  <si>
    <t>Social Media meeting, content creation, post scheduling</t>
  </si>
  <si>
    <t>Promo video script writing and planning</t>
  </si>
  <si>
    <t>Joseph Johnson</t>
  </si>
  <si>
    <t xml:space="preserve">Ministry Team Meeting </t>
  </si>
  <si>
    <t>Table Outreach at ACYA</t>
  </si>
  <si>
    <t>Table set up on trail "free water and prayer"</t>
  </si>
  <si>
    <t>Jason Diggs</t>
  </si>
  <si>
    <t>Volunteered for Made To Serve Worship Night</t>
  </si>
  <si>
    <t>Lexi Gibbs</t>
  </si>
  <si>
    <t>Justin Pferdehirt</t>
  </si>
  <si>
    <t>Dre Giscombe</t>
  </si>
  <si>
    <t>Sydney Frank</t>
  </si>
  <si>
    <t>Nico Zinsmeyer</t>
  </si>
  <si>
    <t>Nate Gelabert</t>
  </si>
  <si>
    <t>Isaac Young</t>
  </si>
  <si>
    <t>Sunitha Konatham</t>
  </si>
  <si>
    <t>Blake Fuller</t>
  </si>
  <si>
    <t>Nick Castro</t>
  </si>
  <si>
    <t>Jarred Longoria</t>
  </si>
  <si>
    <t>Caleb Vigil</t>
  </si>
  <si>
    <t xml:space="preserve">Social Media Team Meeting </t>
  </si>
  <si>
    <t>Ashley Guerrero</t>
  </si>
  <si>
    <t>One off Handout The Hedge</t>
  </si>
  <si>
    <t>Rylee Henderson</t>
  </si>
  <si>
    <t>Name</t>
  </si>
  <si>
    <t>Email</t>
  </si>
  <si>
    <t>Phone</t>
  </si>
  <si>
    <t># Of Volunteers</t>
  </si>
  <si>
    <t>Tony Latvenas</t>
  </si>
  <si>
    <t>tonylatvenas@gmail.com</t>
  </si>
  <si>
    <t>rrinehart858@gmail.com</t>
  </si>
  <si>
    <t>Viviana Norman</t>
  </si>
  <si>
    <t>vivinorman010@gmail.com</t>
  </si>
  <si>
    <t>ajpearce03@gmail.com</t>
  </si>
  <si>
    <t>kaedencameron@icloud.com</t>
  </si>
  <si>
    <t>anevae.barrera3@gmail.com</t>
  </si>
  <si>
    <t>Christopher Latvenas</t>
  </si>
  <si>
    <t>cnblat@gmail.com</t>
  </si>
  <si>
    <t>John Merritt</t>
  </si>
  <si>
    <t>johndavidmerritt22@gmail.com</t>
  </si>
  <si>
    <t>Matthew Claflin</t>
  </si>
  <si>
    <t>mjwct12@yahoo.com</t>
  </si>
  <si>
    <t>alexf23707@gmail.com</t>
  </si>
  <si>
    <t>camaro1457@gmail.com</t>
  </si>
  <si>
    <t>always4everadancer@msn.com</t>
  </si>
  <si>
    <t>tvayon@live.com</t>
  </si>
  <si>
    <t>jeffrobarnhart@gmail.com</t>
  </si>
  <si>
    <t>Jon Yates</t>
  </si>
  <si>
    <t>jyatespe@gmail.com</t>
  </si>
  <si>
    <t>katiatapia679@gmail.com</t>
  </si>
  <si>
    <t>cordellmazz@gmail.com</t>
  </si>
  <si>
    <t>Leah Guesman</t>
  </si>
  <si>
    <t>leahgues77@gmail.com</t>
  </si>
  <si>
    <t>naya.domingo@colostate.edu</t>
  </si>
  <si>
    <t>joelsteveng@gmail.com</t>
  </si>
  <si>
    <t>jamesosneadeo@gmail.com</t>
  </si>
  <si>
    <t>rubyjc70@gmail.com</t>
  </si>
  <si>
    <t>psarahtonen@gmail.com</t>
  </si>
  <si>
    <t>mckennonrice@gmail.com</t>
  </si>
  <si>
    <t>efg3336@yahoo.com</t>
  </si>
  <si>
    <t>Skyler Sumers</t>
  </si>
  <si>
    <t>skylersumers1@gmail.com</t>
  </si>
  <si>
    <t>tyanlove2fly@gmail.com</t>
  </si>
  <si>
    <t>Alexis Norman</t>
  </si>
  <si>
    <t>alnorman117@gmail.com</t>
  </si>
  <si>
    <t>abrahampena95@hotmail.com</t>
  </si>
  <si>
    <t>tayloralvarez01@gmail.com</t>
  </si>
  <si>
    <t>kevin.champagne8@gmail.com</t>
  </si>
  <si>
    <t>gcm958@utexas.edu</t>
  </si>
  <si>
    <t>Abhijay</t>
  </si>
  <si>
    <t>Que Troung</t>
  </si>
  <si>
    <t>eric@burnettinbox.com</t>
  </si>
  <si>
    <t>tuckertrejo15@gmail.com</t>
  </si>
  <si>
    <t>ntaresteve@gmail.com</t>
  </si>
  <si>
    <t>abbyantonov8@gmail.com</t>
  </si>
  <si>
    <t>srrinehart@gmail.com</t>
  </si>
  <si>
    <t>Ryan Mikula</t>
  </si>
  <si>
    <t>sofia.harms@g.austincc.edu</t>
  </si>
  <si>
    <t>nataliadominguezal@gmail.com</t>
  </si>
  <si>
    <t>braeden.litchfield@icloud.com</t>
  </si>
  <si>
    <t>hsabraham28@gmail.com</t>
  </si>
  <si>
    <t>kaylawilliams099@gmail.com</t>
  </si>
  <si>
    <t>biaginiws@gmail.com</t>
  </si>
  <si>
    <t>madison.dagenais03@gmail.com</t>
  </si>
  <si>
    <t>trippg0206@gmail.com</t>
  </si>
  <si>
    <t>jacqueline9792@gmail.com</t>
  </si>
  <si>
    <t>liberty.davidson@gmail.com</t>
  </si>
  <si>
    <t>allisonpowellbusiness@gmail.com</t>
  </si>
  <si>
    <t>paigebyrd14@yahoo.com</t>
  </si>
  <si>
    <t>nathan.zebedee@gmai.com</t>
  </si>
  <si>
    <t>maddenjacob22@gmail.com</t>
  </si>
  <si>
    <t>herndest2005@gmail.com</t>
  </si>
  <si>
    <t>elbressler@gmail.com</t>
  </si>
  <si>
    <t>jgrace.mendoza@gmail.com</t>
  </si>
  <si>
    <t>aagggibson@gmail.com</t>
  </si>
  <si>
    <t>paulzhdan@gmail.com</t>
  </si>
  <si>
    <t>NA</t>
  </si>
  <si>
    <t>reedshowecker@gmail.com</t>
  </si>
  <si>
    <t>rohitmrfhem@gmail.com</t>
  </si>
  <si>
    <t>ashleighharvey22@gmail.com</t>
  </si>
  <si>
    <t>ppritch21@gmail.com</t>
  </si>
  <si>
    <t>Lena Delbianco</t>
  </si>
  <si>
    <t>lenamariadelb@gmail.com</t>
  </si>
  <si>
    <t>Melinda Rinehart</t>
  </si>
  <si>
    <t>npfiester@icloud.com</t>
  </si>
  <si>
    <t>rpruski@valoreducation.org</t>
  </si>
  <si>
    <t>aydenwilson13@gmail.com</t>
  </si>
  <si>
    <t>caseywoodard56@gmail.com</t>
  </si>
  <si>
    <t>gracieaton@gmail.com</t>
  </si>
  <si>
    <t>evakate98@yahoo.com</t>
  </si>
  <si>
    <t>kaden.deberardinis@yahoo.com</t>
  </si>
  <si>
    <t>Ana Margarita Henriquez</t>
  </si>
  <si>
    <t>anamargaritahenriquez@gmail.com</t>
  </si>
  <si>
    <t>hagenmorford@gmail.com</t>
  </si>
  <si>
    <t>wiktoria-olszak10@wp.pl</t>
  </si>
  <si>
    <t>esteraflasx@gmail.com</t>
  </si>
  <si>
    <t>donovan.daniels50@gmail.com</t>
  </si>
  <si>
    <t>james.pre.caswell@gmail.com</t>
  </si>
  <si>
    <t>bresslc5@gmail.com</t>
  </si>
  <si>
    <t>Gloria Nieto</t>
  </si>
  <si>
    <t>nietogloria12@gmail.com</t>
  </si>
  <si>
    <t>gardengirl00@me.com</t>
  </si>
  <si>
    <t>tammim.satar@yahoo.com</t>
  </si>
  <si>
    <t>tyler78734@gmail.com</t>
  </si>
  <si>
    <t>annieperez2003@icloud.com</t>
  </si>
  <si>
    <t>jordan.forsythe@austinridge.org</t>
  </si>
  <si>
    <t>chkus2024@gmail.com</t>
  </si>
  <si>
    <t>annabelcer5@gmail.com</t>
  </si>
  <si>
    <t>Joshua Pope</t>
  </si>
  <si>
    <t>joshua.pope.864@gmail.com</t>
  </si>
  <si>
    <t>hadleyccarr@gmail.com</t>
  </si>
  <si>
    <t>natbh12@icloud.com</t>
  </si>
  <si>
    <t>byhisgrace.hg@hotmail.com</t>
  </si>
  <si>
    <t>anthonylamar2314@yahoo.com</t>
  </si>
  <si>
    <t>mauricioleverone@gmail.com</t>
  </si>
  <si>
    <t>rhondregiscombe@gmail.com</t>
  </si>
  <si>
    <t>Jok Mawut Mayen Jok</t>
  </si>
  <si>
    <t>jokmawut8@gmail.com</t>
  </si>
  <si>
    <t>wallace.v.chen@vanderbilt.edu</t>
  </si>
  <si>
    <t>kcui2014@gmail.com</t>
  </si>
  <si>
    <t>shin.johnnyv@gmail.com</t>
  </si>
  <si>
    <t>molloy_matt@att.net</t>
  </si>
  <si>
    <t>navendabria1@gmail.com</t>
  </si>
  <si>
    <t>eaeggnog18@gmail.com</t>
  </si>
  <si>
    <t>kynznicole@gmail.com</t>
  </si>
  <si>
    <t>leonjohnson689@gmail.com</t>
  </si>
  <si>
    <t>mbward001@gmail.com</t>
  </si>
  <si>
    <t>justin szumski</t>
  </si>
  <si>
    <t>justinszumski@gmail.com</t>
  </si>
  <si>
    <t>eviemcneil3@gmail.com</t>
  </si>
  <si>
    <t>sophiedalen@gmail.com</t>
  </si>
  <si>
    <t>sarahminton97@gmail.com</t>
  </si>
  <si>
    <t>jessicastomberg5@gmail.com</t>
  </si>
  <si>
    <t>ellie duda</t>
  </si>
  <si>
    <t>ellieduda@gmail.com</t>
  </si>
  <si>
    <t>charitymohler@gmail.com</t>
  </si>
  <si>
    <t>nikkochaz@gmail.com</t>
  </si>
  <si>
    <t>Wesley Foreman II</t>
  </si>
  <si>
    <t>wesdarman@me.com</t>
  </si>
  <si>
    <t>ansleyrd@gmail.com</t>
  </si>
  <si>
    <t>isaiahstudivent119@gmail.com</t>
  </si>
  <si>
    <t>yareli.villagran@yahoo.com</t>
  </si>
  <si>
    <t>brandondelfin17@icloud.com</t>
  </si>
  <si>
    <t>fraybonilla12@gmail.com</t>
  </si>
  <si>
    <t>lee.jonathan.888@gmail.com</t>
  </si>
  <si>
    <t>taylor.brudos@gmail.com</t>
  </si>
  <si>
    <t>jonahsam101@gmail.com</t>
  </si>
  <si>
    <t>shaniasmusic@gmail.com</t>
  </si>
  <si>
    <t>kevsipa@gmail.com</t>
  </si>
  <si>
    <t>sanchez.samantha97@gmail.com</t>
  </si>
  <si>
    <t>morcombs25@gmail.com</t>
  </si>
  <si>
    <t>luclechner@icloud.com</t>
  </si>
  <si>
    <t>newtontran7@gmail.com</t>
  </si>
  <si>
    <t>kib446@utexas.edu</t>
  </si>
  <si>
    <t>judithkalynnguerra@gmail.com</t>
  </si>
  <si>
    <t>Elijah Puchalski</t>
  </si>
  <si>
    <t>puchalskieli@gmail.com</t>
  </si>
  <si>
    <t>tylerd.rose21@gmail.com</t>
  </si>
  <si>
    <t>amyxnguyen@utexas.edu</t>
  </si>
  <si>
    <t>williamtu2009@gmail.com</t>
  </si>
  <si>
    <t>tienh7657@gmail.com</t>
  </si>
  <si>
    <t>elliegrichardson@gmail.com</t>
  </si>
  <si>
    <t>logana0403@gmail.com</t>
  </si>
  <si>
    <t>wyliehawkinsffl@gmail.com</t>
  </si>
  <si>
    <t>elainagiolando@gmail.com</t>
  </si>
  <si>
    <t>jasminestoltzfus02@gmail.com</t>
  </si>
  <si>
    <t>Tomas Longoria</t>
  </si>
  <si>
    <t>ricardo.t.longoria@gmail.com</t>
  </si>
  <si>
    <t>512darik@gmail.com</t>
  </si>
  <si>
    <t>kmsheerin15@gmail.com</t>
  </si>
  <si>
    <t>johnkerv@gmail.com</t>
  </si>
  <si>
    <t>alley3033@gmail.com</t>
  </si>
  <si>
    <t>shelbyaustinn@gmail.com</t>
  </si>
  <si>
    <t>matthew.driskill01@gmail.com</t>
  </si>
  <si>
    <t>thewilkiemiller@gmail.com</t>
  </si>
  <si>
    <t>lukemartin1699@gmail.com</t>
  </si>
  <si>
    <t>isaiah.butts44@gmail.com</t>
  </si>
  <si>
    <t>bayleeolsen58@gmail.com</t>
  </si>
  <si>
    <t>Zachary Kahle</t>
  </si>
  <si>
    <t>zak.kahle@gmail.com</t>
  </si>
  <si>
    <t>rachelrushing@utexas.edu</t>
  </si>
  <si>
    <t>dhartley93@gmail.com</t>
  </si>
  <si>
    <t>jacobrobinettr@gmail.com</t>
  </si>
  <si>
    <t>elexusmieraaa@icloud.com</t>
  </si>
  <si>
    <t>keilanifran@gmail.com</t>
  </si>
  <si>
    <t>robertcarmona1030@icloud.com</t>
  </si>
  <si>
    <t>jlparker@cgtholdingsllc.com</t>
  </si>
  <si>
    <t>tuckeroelsen@gmail.com</t>
  </si>
  <si>
    <t>ilhilario13@gmail.com</t>
  </si>
  <si>
    <t>andrewquaza71@gmail.com</t>
  </si>
  <si>
    <t>Jared Oliveira</t>
  </si>
  <si>
    <t>jaredsamuel98@gmail.com</t>
  </si>
  <si>
    <t>josiahnpais@gmail.com</t>
  </si>
  <si>
    <t>rachelmichelle58@gmail.com</t>
  </si>
  <si>
    <t>hannahe1498@gmail.com</t>
  </si>
  <si>
    <t>Olivia deLeon</t>
  </si>
  <si>
    <t>oliviah.del@gmail.com</t>
  </si>
  <si>
    <t>tuskirico11@icloud.com</t>
  </si>
  <si>
    <t>leilanihernandez455@gmail.com</t>
  </si>
  <si>
    <t>+17373894296</t>
  </si>
  <si>
    <t>knspradling@gmail.com</t>
  </si>
  <si>
    <t>+15129222504</t>
  </si>
  <si>
    <t>izzie_powell@yahoo.com</t>
  </si>
  <si>
    <t>+15129254571</t>
  </si>
  <si>
    <t>grandathlete42@gmail.com</t>
  </si>
  <si>
    <t>+15126614754</t>
  </si>
  <si>
    <t>bcohorst@gmail.com</t>
  </si>
  <si>
    <t>+15125909145</t>
  </si>
  <si>
    <t>india.williams00126@gmail.com</t>
  </si>
  <si>
    <t>+19792863141</t>
  </si>
  <si>
    <t>danadrahos@gmail.com</t>
  </si>
  <si>
    <t>+14458955227</t>
  </si>
  <si>
    <t>jalesalewis01@gmail.com</t>
  </si>
  <si>
    <t>+13302685261</t>
  </si>
  <si>
    <t>josunflower86468@gmail.com</t>
  </si>
  <si>
    <t>+15413269635</t>
  </si>
  <si>
    <t>Kaitlyn McCourt</t>
  </si>
  <si>
    <t>katiemccourt18@gmail.com</t>
  </si>
  <si>
    <t>+18087995213</t>
  </si>
  <si>
    <t>lopez2011.db@gmail.com</t>
  </si>
  <si>
    <t>+15128972840</t>
  </si>
  <si>
    <t>tarynstauffer@gmail.com</t>
  </si>
  <si>
    <t>+17176441857</t>
  </si>
  <si>
    <t>nkbudden@yahoo.com</t>
  </si>
  <si>
    <t>+12818929677</t>
  </si>
  <si>
    <t>adme82@icloud.com</t>
  </si>
  <si>
    <t>+15125898513</t>
  </si>
  <si>
    <t>anmams28@gmail.com</t>
  </si>
  <si>
    <t>+15127913171</t>
  </si>
  <si>
    <t>angelinabriceno4602.44@gmail.com</t>
  </si>
  <si>
    <t>+17372315130</t>
  </si>
  <si>
    <t>spencer.robbins02@gmail.com</t>
  </si>
  <si>
    <t>+16154879507</t>
  </si>
  <si>
    <t>skylarsage10@gmail.com</t>
  </si>
  <si>
    <t>+18589975932</t>
  </si>
  <si>
    <t>Anya Whitman</t>
  </si>
  <si>
    <t>N/A</t>
  </si>
  <si>
    <t>kd0300751@gmail.com</t>
  </si>
  <si>
    <t>+13379404173</t>
  </si>
  <si>
    <t>martinezhailee11@gmail.com</t>
  </si>
  <si>
    <t>+15753181447</t>
  </si>
  <si>
    <t>debbie.22.aviles@gmail.com</t>
  </si>
  <si>
    <t>+19154493925</t>
  </si>
  <si>
    <t>cwhann@me.com</t>
  </si>
  <si>
    <t>+14699947626</t>
  </si>
  <si>
    <t>lgj1116@gmail.com</t>
  </si>
  <si>
    <t>+12294607101</t>
  </si>
  <si>
    <t>gracekogden@gmail.com</t>
  </si>
  <si>
    <t>+15124203589</t>
  </si>
  <si>
    <t>drew.gieschen@icloud.com</t>
  </si>
  <si>
    <t>+14024991061</t>
  </si>
  <si>
    <t>elijahchance26@gmail.com</t>
  </si>
  <si>
    <t>+12147851556</t>
  </si>
  <si>
    <t>jasminesalazar24@gmail.com</t>
  </si>
  <si>
    <t>+12545482492</t>
  </si>
  <si>
    <t>faith.loving3@gmail.com</t>
  </si>
  <si>
    <t>+18305156881</t>
  </si>
  <si>
    <t>79mariah.s@gmail.com</t>
  </si>
  <si>
    <t>+13255139772</t>
  </si>
  <si>
    <t>Valentina Murra</t>
  </si>
  <si>
    <t>vaale.murra@gmail.com</t>
  </si>
  <si>
    <t>+19542327990</t>
  </si>
  <si>
    <t>+14127704457</t>
  </si>
  <si>
    <t>Bradley Lackey</t>
  </si>
  <si>
    <t>lackeybrad5@gmail.com</t>
  </si>
  <si>
    <t>+13609534509</t>
  </si>
  <si>
    <t>eric908458@gmail.com</t>
  </si>
  <si>
    <t>+19084582906</t>
  </si>
  <si>
    <t>Tristan Workman</t>
  </si>
  <si>
    <t>tristanworkmanofficial@gmail.com</t>
  </si>
  <si>
    <t>+18284497100</t>
  </si>
  <si>
    <t>gkatelyn2019@gmail.com</t>
  </si>
  <si>
    <t>+15125735614</t>
  </si>
  <si>
    <t>Jake Depwe</t>
  </si>
  <si>
    <t>jake.depwe@g.austincc.edu</t>
  </si>
  <si>
    <t>+15126328402</t>
  </si>
  <si>
    <t>renteriadamariz@gmail.com</t>
  </si>
  <si>
    <t>+19157909958</t>
  </si>
  <si>
    <t>kayla.jayo@yahoo.com</t>
  </si>
  <si>
    <t>+12109543401</t>
  </si>
  <si>
    <t>rickycasco@gmail.com</t>
  </si>
  <si>
    <t>+18082500835</t>
  </si>
  <si>
    <t>paige.previvor@gmail.com</t>
  </si>
  <si>
    <t>+19495006431</t>
  </si>
  <si>
    <t>ariannatalford55@gmail.com</t>
  </si>
  <si>
    <t>+17372290729</t>
  </si>
  <si>
    <t>malynromero93@gmail.com</t>
  </si>
  <si>
    <t>+17034896892</t>
  </si>
  <si>
    <t>reaganpopoff@yahoo.com</t>
  </si>
  <si>
    <t>+14695603930</t>
  </si>
  <si>
    <t>jnfuhr07@gmail.com</t>
  </si>
  <si>
    <t>+15128760906</t>
  </si>
  <si>
    <t xml:space="preserve">Joseph Johnson </t>
  </si>
  <si>
    <t>gracynwebb@gmail.com</t>
  </si>
  <si>
    <t>+16613108548</t>
  </si>
  <si>
    <t>camerondavidson1234@yahoo.com</t>
  </si>
  <si>
    <t>+17134197469</t>
  </si>
  <si>
    <t>kingsley.erin@gmail.com</t>
  </si>
  <si>
    <t>+15106809511</t>
  </si>
  <si>
    <t>ramos12victoria@gmail.com</t>
  </si>
  <si>
    <t>+19565086037</t>
  </si>
  <si>
    <t>ethanrifebusiness@gmail.com</t>
  </si>
  <si>
    <t>+15414109280</t>
  </si>
  <si>
    <t>ashleymichelle530@gmail.com</t>
  </si>
  <si>
    <t>+15127571099</t>
  </si>
  <si>
    <t>dominiquegamboa98@gmail.com</t>
  </si>
  <si>
    <t>+15129945887</t>
  </si>
  <si>
    <t>jpferdy2@gmail.com</t>
  </si>
  <si>
    <t>+14122775271</t>
  </si>
  <si>
    <t>jpferdy@gmail.com</t>
  </si>
  <si>
    <t>+14125159900</t>
  </si>
  <si>
    <t>Leone Cruz</t>
  </si>
  <si>
    <t>cruzjuanleo@gmail.com</t>
  </si>
  <si>
    <t>+15124580676</t>
  </si>
  <si>
    <t>brandon.howard20@yahoo.com</t>
  </si>
  <si>
    <t>+16826663838</t>
  </si>
  <si>
    <t>trent.lank.006@gmail.com</t>
  </si>
  <si>
    <t>+19722149058</t>
  </si>
  <si>
    <t>Daniel DiDonna</t>
  </si>
  <si>
    <t>ddidonna205@gmail.com</t>
  </si>
  <si>
    <t>+19152083854</t>
  </si>
  <si>
    <t>lesley diaz</t>
  </si>
  <si>
    <t>lesley.diaz@ymail.com</t>
  </si>
  <si>
    <t>+15127052728</t>
  </si>
  <si>
    <t>kiarashaywood@gmail.com</t>
  </si>
  <si>
    <t>+17372228736</t>
  </si>
  <si>
    <t>kaylagustafson9@gmail.com</t>
  </si>
  <si>
    <t>+16507539722</t>
  </si>
  <si>
    <t>mandyomehe@gmail.com</t>
  </si>
  <si>
    <t>+14696014209</t>
  </si>
  <si>
    <t>angelicacastro19@yahoo.com</t>
  </si>
  <si>
    <t>+16156819667</t>
  </si>
  <si>
    <t>elidelphia7@gmail.com</t>
  </si>
  <si>
    <t>+15127673470</t>
  </si>
  <si>
    <t>jarvismilesjr@icloud.com</t>
  </si>
  <si>
    <t>+13463230794</t>
  </si>
  <si>
    <t>alannarvannoller@gmail.com</t>
  </si>
  <si>
    <t>+15129135775</t>
  </si>
  <si>
    <t>kennedyjohnson01@icloud.com</t>
  </si>
  <si>
    <t>+13463912232</t>
  </si>
  <si>
    <t>alzero123@gmail.com</t>
  </si>
  <si>
    <t>+17373365251</t>
  </si>
  <si>
    <t>katehansen04@gmail.com</t>
  </si>
  <si>
    <t>+18055512206</t>
  </si>
  <si>
    <t>a.tredinnick@protonmail.com</t>
  </si>
  <si>
    <t>+14436550778</t>
  </si>
  <si>
    <t>lizdodson98@gmail.com</t>
  </si>
  <si>
    <t>+13195309221</t>
  </si>
  <si>
    <t>miracle.johnson7@yahoo.com</t>
  </si>
  <si>
    <t>+12144074140</t>
  </si>
  <si>
    <t>Jozina Pacheco Gomez</t>
  </si>
  <si>
    <t>jozina.pachecog@gmail.com</t>
  </si>
  <si>
    <t>+50762730714</t>
  </si>
  <si>
    <t>cordsencambry@icloud.com</t>
  </si>
  <si>
    <t>+14693099299</t>
  </si>
  <si>
    <t>everett1421@gmail.com</t>
  </si>
  <si>
    <t>+12819063449</t>
  </si>
  <si>
    <t>garethsamb@att.net</t>
  </si>
  <si>
    <t>+14694069671</t>
  </si>
  <si>
    <t>worshipmusicdjs@gmail.com</t>
  </si>
  <si>
    <t>+17372020146</t>
  </si>
  <si>
    <t>atibarg08@gmail.com</t>
  </si>
  <si>
    <t>+15126690019</t>
  </si>
  <si>
    <t>emilyamiller210@gmail.com</t>
  </si>
  <si>
    <t>+16057500008</t>
  </si>
  <si>
    <t>207hjohnson@gmail.com</t>
  </si>
  <si>
    <t>+19368994248</t>
  </si>
  <si>
    <t>elysemariephoto@gmail.com</t>
  </si>
  <si>
    <t>+14099232083</t>
  </si>
  <si>
    <t>millerfamily@goldenwest.net</t>
  </si>
  <si>
    <t>+16057500068</t>
  </si>
  <si>
    <t>awosikademi@gmail.com</t>
  </si>
  <si>
    <t>+18323966278</t>
  </si>
  <si>
    <t>savetheturtlesksk@gmail.com</t>
  </si>
  <si>
    <t>+15125491501</t>
  </si>
  <si>
    <t>Florin Del Alba</t>
  </si>
  <si>
    <t>florindelalba@gmail.com</t>
  </si>
  <si>
    <t>+15419137565</t>
  </si>
  <si>
    <t>bianca.pozzi@outlook.com</t>
  </si>
  <si>
    <t>+17204483729</t>
  </si>
  <si>
    <t>galileaa2020@gmail.com</t>
  </si>
  <si>
    <t>+15128312921</t>
  </si>
  <si>
    <t>brandonsage15@gmail.com</t>
  </si>
  <si>
    <t>+16199851626</t>
  </si>
  <si>
    <t>anthony.pancamo@g.austincc.edu</t>
  </si>
  <si>
    <t>+15129959191</t>
  </si>
  <si>
    <t>cyndllwilliams7@gmail.com</t>
  </si>
  <si>
    <t>+17602290924</t>
  </si>
  <si>
    <t>nenwere@yahoo.com</t>
  </si>
  <si>
    <t>+18324156508</t>
  </si>
  <si>
    <t>pozzi.devin@gmail.com</t>
  </si>
  <si>
    <t>Evan dewitt</t>
  </si>
  <si>
    <t>evanpdewitt@gmail.com</t>
  </si>
  <si>
    <t>berenice.cheng@gmail.com</t>
  </si>
  <si>
    <t>Valerie Ciolac</t>
  </si>
  <si>
    <t>Tekluis@gmail.com</t>
  </si>
  <si>
    <t>seidlzl123@gmail.com</t>
  </si>
  <si>
    <t>+19202438630</t>
  </si>
  <si>
    <t>baxblackwood4@gmail.com</t>
  </si>
  <si>
    <t>+13038684845</t>
  </si>
  <si>
    <t>Tannya Oliva</t>
  </si>
  <si>
    <t>Gabriella Simpkins</t>
  </si>
  <si>
    <t xml:space="preserve">Valerie Maldonado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</si>
</sst>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&quot;$&quot;#,##0.00"/>
    <numFmt numFmtId="165" formatCode="m/d/yyyy"/>
    <numFmt numFmtId="166" formatCode="m/d/yy"/>
    <numFmt numFmtId="167" formatCode="mm/dd/yyyy"/>
  </numFmts>
  <fonts count="18">
    <font>
      <sz val="11.0"/>
      <color theme="1"/>
      <name val="Aptos Narrow"/>
      <scheme val="minor"/>
    </font>
    <font>
      <b/>
      <sz val="16.0"/>
      <color theme="1"/>
      <name val="Aptos Narrow"/>
    </font>
    <font>
      <sz val="11.0"/>
      <color theme="1"/>
      <name val="Arial"/>
    </font>
    <font>
      <sz val="11.0"/>
      <color theme="1"/>
      <name val="Aptos Narrow"/>
    </font>
    <font>
      <b/>
      <sz val="16.0"/>
      <color theme="1"/>
      <name val="Arial"/>
    </font>
    <font>
      <color theme="1"/>
      <name val="Aptos Narrow"/>
      <scheme val="minor"/>
    </font>
    <font>
      <sz val="20.0"/>
      <color theme="1"/>
      <name val="Aptos Narrow"/>
    </font>
    <font>
      <sz val="20.0"/>
      <color theme="1"/>
      <name val="Arial"/>
    </font>
    <font>
      <sz val="22.0"/>
      <color theme="1"/>
      <name val="Aptos Narrow"/>
    </font>
    <font>
      <sz val="14.0"/>
      <color theme="1"/>
      <name val="Aptos Narrow"/>
    </font>
    <font>
      <color theme="1"/>
      <name val="Arial"/>
    </font>
    <font>
      <sz val="22.0"/>
      <color theme="1"/>
      <name val="Arial"/>
    </font>
    <font>
      <u/>
      <color rgb="FF0000FF"/>
    </font>
    <font>
      <b/>
      <sz val="20.0"/>
      <color theme="1"/>
      <name val="Aptos Narrow"/>
    </font>
    <font>
      <b/>
      <sz val="24.0"/>
      <color theme="1"/>
      <name val="Aptos Narrow"/>
    </font>
    <font>
      <b/>
      <sz val="28.0"/>
      <color theme="1"/>
      <name val="Arial"/>
    </font>
    <font>
      <sz val="14.0"/>
      <color theme="1"/>
      <name val="Arial"/>
    </font>
    <font>
      <u/>
      <sz val="14.0"/>
      <color theme="1"/>
      <name val="Aptos Narrow"/>
    </font>
  </fonts>
  <fills count="6">
    <fill>
      <patternFill patternType="none"/>
    </fill>
    <fill>
      <patternFill patternType="lightGray"/>
    </fill>
    <fill>
      <patternFill patternType="solid">
        <fgColor rgb="FF83CAEB"/>
        <bgColor rgb="FF83CAEB"/>
      </patternFill>
    </fill>
    <fill>
      <patternFill patternType="solid">
        <fgColor rgb="FFFFFF00"/>
        <bgColor rgb="FFFFFF00"/>
      </patternFill>
    </fill>
    <fill>
      <patternFill patternType="solid">
        <fgColor rgb="FF9FC5E8"/>
        <bgColor rgb="FF9FC5E8"/>
      </patternFill>
    </fill>
    <fill>
      <patternFill patternType="solid">
        <fgColor rgb="FF60CBF3"/>
        <bgColor rgb="FF60CBF3"/>
      </patternFill>
    </fill>
  </fills>
  <borders count="20">
    <border/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</borders>
  <cellStyleXfs count="1">
    <xf borderId="0" fillId="0" fontId="0" numFmtId="0" applyAlignment="1" applyFont="1"/>
  </cellStyleXfs>
  <cellXfs count="87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2" fillId="0" fontId="1" numFmtId="0" xfId="0" applyBorder="1" applyFont="1"/>
    <xf borderId="2" fillId="0" fontId="2" numFmtId="0" xfId="0" applyAlignment="1" applyBorder="1" applyFont="1">
      <alignment readingOrder="0"/>
    </xf>
    <xf borderId="2" fillId="0" fontId="3" numFmtId="14" xfId="0" applyBorder="1" applyFont="1" applyNumberFormat="1"/>
    <xf borderId="2" fillId="0" fontId="2" numFmtId="14" xfId="0" applyAlignment="1" applyBorder="1" applyFont="1" applyNumberFormat="1">
      <alignment readingOrder="0"/>
    </xf>
    <xf borderId="3" fillId="0" fontId="3" numFmtId="14" xfId="0" applyBorder="1" applyFont="1" applyNumberFormat="1"/>
    <xf borderId="4" fillId="3" fontId="1" numFmtId="0" xfId="0" applyBorder="1" applyFill="1" applyFont="1"/>
    <xf borderId="4" fillId="0" fontId="3" numFmtId="0" xfId="0" applyBorder="1" applyFont="1"/>
    <xf borderId="4" fillId="0" fontId="3" numFmtId="14" xfId="0" applyBorder="1" applyFont="1" applyNumberFormat="1"/>
    <xf borderId="5" fillId="0" fontId="3" numFmtId="0" xfId="0" applyBorder="1" applyFont="1"/>
    <xf borderId="1" fillId="2" fontId="3" numFmtId="0" xfId="0" applyBorder="1" applyFont="1"/>
    <xf borderId="1" fillId="2" fontId="2" numFmtId="0" xfId="0" applyAlignment="1" applyBorder="1" applyFont="1">
      <alignment readingOrder="0"/>
    </xf>
    <xf borderId="6" fillId="2" fontId="3" numFmtId="0" xfId="0" applyBorder="1" applyFont="1"/>
    <xf borderId="7" fillId="0" fontId="3" numFmtId="0" xfId="0" applyBorder="1" applyFont="1"/>
    <xf borderId="8" fillId="0" fontId="3" numFmtId="0" xfId="0" applyBorder="1" applyFont="1"/>
    <xf borderId="9" fillId="2" fontId="3" numFmtId="0" xfId="0" applyBorder="1" applyFont="1"/>
    <xf borderId="10" fillId="0" fontId="3" numFmtId="0" xfId="0" applyBorder="1" applyFont="1"/>
    <xf borderId="11" fillId="0" fontId="3" numFmtId="0" xfId="0" applyBorder="1" applyFont="1"/>
    <xf borderId="1" fillId="2" fontId="4" numFmtId="0" xfId="0" applyAlignment="1" applyBorder="1" applyFont="1">
      <alignment readingOrder="0"/>
    </xf>
    <xf borderId="4" fillId="0" fontId="2" numFmtId="0" xfId="0" applyAlignment="1" applyBorder="1" applyFont="1">
      <alignment readingOrder="0"/>
    </xf>
    <xf borderId="4" fillId="0" fontId="3" numFmtId="0" xfId="0" applyAlignment="1" applyBorder="1" applyFont="1">
      <alignment readingOrder="0"/>
    </xf>
    <xf borderId="4" fillId="2" fontId="3" numFmtId="0" xfId="0" applyBorder="1" applyFont="1"/>
    <xf borderId="4" fillId="2" fontId="2" numFmtId="0" xfId="0" applyAlignment="1" applyBorder="1" applyFont="1">
      <alignment readingOrder="0"/>
    </xf>
    <xf borderId="4" fillId="2" fontId="3" numFmtId="0" xfId="0" applyAlignment="1" applyBorder="1" applyFont="1">
      <alignment readingOrder="0"/>
    </xf>
    <xf borderId="2" fillId="4" fontId="3" numFmtId="14" xfId="0" applyBorder="1" applyFill="1" applyFont="1" applyNumberFormat="1"/>
    <xf borderId="4" fillId="4" fontId="3" numFmtId="0" xfId="0" applyBorder="1" applyFont="1"/>
    <xf borderId="4" fillId="4" fontId="2" numFmtId="0" xfId="0" applyAlignment="1" applyBorder="1" applyFont="1">
      <alignment readingOrder="0"/>
    </xf>
    <xf borderId="4" fillId="4" fontId="3" numFmtId="0" xfId="0" applyAlignment="1" applyBorder="1" applyFont="1">
      <alignment readingOrder="0"/>
    </xf>
    <xf borderId="0" fillId="4" fontId="5" numFmtId="0" xfId="0" applyFont="1"/>
    <xf borderId="1" fillId="2" fontId="3" numFmtId="0" xfId="0" applyAlignment="1" applyBorder="1" applyFont="1">
      <alignment readingOrder="0"/>
    </xf>
    <xf borderId="12" fillId="2" fontId="1" numFmtId="0" xfId="0" applyBorder="1" applyFont="1"/>
    <xf borderId="13" fillId="0" fontId="1" numFmtId="0" xfId="0" applyBorder="1" applyFont="1"/>
    <xf borderId="14" fillId="2" fontId="1" numFmtId="0" xfId="0" applyBorder="1" applyFont="1"/>
    <xf borderId="15" fillId="3" fontId="1" numFmtId="0" xfId="0" applyBorder="1" applyFont="1"/>
    <xf borderId="14" fillId="2" fontId="3" numFmtId="0" xfId="0" applyBorder="1" applyFont="1"/>
    <xf borderId="16" fillId="0" fontId="3" numFmtId="0" xfId="0" applyBorder="1" applyFont="1"/>
    <xf borderId="5" fillId="0" fontId="2" numFmtId="0" xfId="0" applyAlignment="1" applyBorder="1" applyFont="1">
      <alignment readingOrder="0"/>
    </xf>
    <xf borderId="5" fillId="0" fontId="3" numFmtId="0" xfId="0" applyAlignment="1" applyBorder="1" applyFont="1">
      <alignment readingOrder="0"/>
    </xf>
    <xf borderId="14" fillId="2" fontId="2" numFmtId="0" xfId="0" applyAlignment="1" applyBorder="1" applyFont="1">
      <alignment readingOrder="0"/>
    </xf>
    <xf borderId="14" fillId="2" fontId="3" numFmtId="0" xfId="0" applyAlignment="1" applyBorder="1" applyFont="1">
      <alignment readingOrder="0"/>
    </xf>
    <xf borderId="17" fillId="2" fontId="3" numFmtId="0" xfId="0" applyBorder="1" applyFont="1"/>
    <xf borderId="18" fillId="2" fontId="6" numFmtId="0" xfId="0" applyBorder="1" applyFont="1"/>
    <xf borderId="18" fillId="2" fontId="6" numFmtId="3" xfId="0" applyBorder="1" applyFont="1" applyNumberFormat="1"/>
    <xf borderId="18" fillId="2" fontId="7" numFmtId="0" xfId="0" applyAlignment="1" applyBorder="1" applyFont="1">
      <alignment readingOrder="0"/>
    </xf>
    <xf borderId="18" fillId="2" fontId="7" numFmtId="3" xfId="0" applyAlignment="1" applyBorder="1" applyFont="1" applyNumberFormat="1">
      <alignment readingOrder="0"/>
    </xf>
    <xf borderId="18" fillId="3" fontId="8" numFmtId="3" xfId="0" applyBorder="1" applyFont="1" applyNumberFormat="1"/>
    <xf borderId="0" fillId="0" fontId="3" numFmtId="14" xfId="0" applyFont="1" applyNumberFormat="1"/>
    <xf borderId="0" fillId="0" fontId="5" numFmtId="0" xfId="0" applyFont="1"/>
    <xf borderId="18" fillId="3" fontId="9" numFmtId="3" xfId="0" applyBorder="1" applyFont="1" applyNumberFormat="1"/>
    <xf borderId="0" fillId="0" fontId="2" numFmtId="14" xfId="0" applyAlignment="1" applyFont="1" applyNumberFormat="1">
      <alignment readingOrder="0"/>
    </xf>
    <xf borderId="0" fillId="0" fontId="10" numFmtId="0" xfId="0" applyAlignment="1" applyFont="1">
      <alignment readingOrder="0"/>
    </xf>
    <xf borderId="0" fillId="0" fontId="5" numFmtId="3" xfId="0" applyFont="1" applyNumberFormat="1"/>
    <xf borderId="18" fillId="3" fontId="11" numFmtId="3" xfId="0" applyAlignment="1" applyBorder="1" applyFont="1" applyNumberFormat="1">
      <alignment readingOrder="0"/>
    </xf>
    <xf borderId="18" fillId="3" fontId="8" numFmtId="0" xfId="0" applyBorder="1" applyFont="1"/>
    <xf borderId="18" fillId="2" fontId="6" numFmtId="164" xfId="0" applyBorder="1" applyFont="1" applyNumberFormat="1"/>
    <xf borderId="18" fillId="3" fontId="6" numFmtId="164" xfId="0" applyBorder="1" applyFont="1" applyNumberFormat="1"/>
    <xf borderId="0" fillId="0" fontId="3" numFmtId="164" xfId="0" applyFont="1" applyNumberFormat="1"/>
    <xf borderId="18" fillId="3" fontId="3" numFmtId="164" xfId="0" applyBorder="1" applyFont="1" applyNumberFormat="1"/>
    <xf borderId="0" fillId="0" fontId="5" numFmtId="165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3" numFmtId="164" xfId="0" applyAlignment="1" applyFont="1" applyNumberFormat="1">
      <alignment readingOrder="0"/>
    </xf>
    <xf borderId="0" fillId="0" fontId="5" numFmtId="166" xfId="0" applyAlignment="1" applyFont="1" applyNumberFormat="1">
      <alignment readingOrder="0"/>
    </xf>
    <xf borderId="0" fillId="0" fontId="10" numFmtId="165" xfId="0" applyAlignment="1" applyFont="1" applyNumberFormat="1">
      <alignment readingOrder="0"/>
    </xf>
    <xf borderId="0" fillId="0" fontId="2" numFmtId="164" xfId="0" applyAlignment="1" applyFont="1" applyNumberFormat="1">
      <alignment readingOrder="0"/>
    </xf>
    <xf borderId="0" fillId="0" fontId="12" numFmtId="0" xfId="0" applyAlignment="1" applyFont="1">
      <alignment readingOrder="0"/>
    </xf>
    <xf borderId="1" fillId="2" fontId="13" numFmtId="0" xfId="0" applyBorder="1" applyFont="1"/>
    <xf borderId="18" fillId="3" fontId="6" numFmtId="0" xfId="0" applyBorder="1" applyFont="1"/>
    <xf borderId="0" fillId="0" fontId="10" numFmtId="167" xfId="0" applyAlignment="1" applyFont="1" applyNumberFormat="1">
      <alignment readingOrder="0"/>
    </xf>
    <xf borderId="19" fillId="5" fontId="14" numFmtId="0" xfId="0" applyAlignment="1" applyBorder="1" applyFill="1" applyFont="1">
      <alignment shrinkToFit="0" wrapText="1"/>
    </xf>
    <xf borderId="19" fillId="5" fontId="14" numFmtId="0" xfId="0" applyAlignment="1" applyBorder="1" applyFont="1">
      <alignment horizontal="left" shrinkToFit="0" wrapText="1"/>
    </xf>
    <xf borderId="19" fillId="0" fontId="9" numFmtId="0" xfId="0" applyAlignment="1" applyBorder="1" applyFont="1">
      <alignment shrinkToFit="0" wrapText="1"/>
    </xf>
    <xf borderId="19" fillId="0" fontId="9" numFmtId="0" xfId="0" applyAlignment="1" applyBorder="1" applyFont="1">
      <alignment horizontal="left" shrinkToFit="0" wrapText="1"/>
    </xf>
    <xf borderId="18" fillId="3" fontId="15" numFmtId="0" xfId="0" applyAlignment="1" applyBorder="1" applyFont="1">
      <alignment readingOrder="0"/>
    </xf>
    <xf borderId="19" fillId="0" fontId="16" numFmtId="0" xfId="0" applyAlignment="1" applyBorder="1" applyFont="1">
      <alignment horizontal="left" readingOrder="0" shrinkToFit="0" wrapText="1"/>
    </xf>
    <xf borderId="19" fillId="0" fontId="16" numFmtId="0" xfId="0" applyAlignment="1" applyBorder="1" applyFont="1">
      <alignment readingOrder="0" shrinkToFit="0" wrapText="1"/>
    </xf>
    <xf borderId="19" fillId="0" fontId="17" numFmtId="0" xfId="0" applyAlignment="1" applyBorder="1" applyFont="1">
      <alignment shrinkToFit="0" wrapText="1"/>
    </xf>
    <xf borderId="19" fillId="0" fontId="9" numFmtId="0" xfId="0" applyAlignment="1" applyBorder="1" applyFont="1">
      <alignment readingOrder="0" shrinkToFit="0" wrapText="1"/>
    </xf>
    <xf quotePrefix="1" borderId="19" fillId="0" fontId="9" numFmtId="0" xfId="0" applyAlignment="1" applyBorder="1" applyFont="1">
      <alignment horizontal="left" shrinkToFit="0" wrapText="1"/>
    </xf>
    <xf borderId="0" fillId="0" fontId="16" numFmtId="0" xfId="0" applyAlignment="1" applyFont="1">
      <alignment readingOrder="0" shrinkToFit="0" wrapText="1"/>
    </xf>
    <xf borderId="0" fillId="0" fontId="9" numFmtId="0" xfId="0" applyAlignment="1" applyFont="1">
      <alignment shrinkToFit="0" wrapText="1"/>
    </xf>
    <xf borderId="0" fillId="0" fontId="9" numFmtId="0" xfId="0" applyAlignment="1" applyFont="1">
      <alignment horizontal="left" shrinkToFit="0" wrapText="1"/>
    </xf>
    <xf borderId="0" fillId="0" fontId="16" numFmtId="0" xfId="0" applyAlignment="1" applyFont="1">
      <alignment horizontal="left" readingOrder="0" shrinkToFit="0" wrapText="1"/>
    </xf>
    <xf borderId="0" fillId="0" fontId="16" numFmtId="0" xfId="0" applyAlignment="1" applyFont="1">
      <alignment readingOrder="0" shrinkToFit="0" wrapText="1"/>
    </xf>
    <xf borderId="0" fillId="2" fontId="2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3" numFmtId="0" xfId="0" applyAlignment="1" applyFont="1">
      <alignment horizontal="left"/>
    </xf>
  </cellXfs>
  <cellStyles count="1">
    <cellStyle xfId="0" name="Normal" builtinId="0"/>
  </cellStyles>
  <dxfs count="3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3">
    <tableStyle count="2" pivot="0" name="Volunteer Info-style">
      <tableStyleElement dxfId="1" type="firstRowStripe"/>
      <tableStyleElement dxfId="2" type="secondRowStripe"/>
    </tableStyle>
    <tableStyle count="2" pivot="0" name="Volunteer Info-style 2">
      <tableStyleElement dxfId="2" type="firstRowStripe"/>
      <tableStyleElement dxfId="1" type="secondRowStripe"/>
    </tableStyle>
    <tableStyle count="2" pivot="0" name="Volunteer Info-style 3">
      <tableStyleElement dxfId="2" type="firstRowStripe"/>
      <tableStyleElement dxfId="1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19" Type="http://customschemas.google.com/relationships/workbookmetadata" Target="metadata"/><Relationship Id="rId6" Type="http://schemas.openxmlformats.org/officeDocument/2006/relationships/worksheet" Target="worksheets/sheet3.xml"/><Relationship Id="rId18" Type="http://schemas.openxmlformats.org/officeDocument/2006/relationships/worksheet" Target="worksheets/sheet15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headerRowCount="0" ref="A201:C201" displayName="Table_1" name="Table_1" id="1">
  <tableColumns count="3">
    <tableColumn name="Column1" id="1"/>
    <tableColumn name="Column2" id="2"/>
    <tableColumn name="Column3" id="3"/>
  </tableColumns>
  <tableStyleInfo name="Volunteer Info-style" showColumnStripes="0" showFirstColumn="1" showLastColumn="1" showRowStripes="1"/>
</table>
</file>

<file path=xl/tables/table2.xml><?xml version="1.0" encoding="utf-8"?>
<table xmlns="http://schemas.openxmlformats.org/spreadsheetml/2006/main" headerRowCount="0" ref="A202:C202" displayName="Table_2" name="Table_2" id="2">
  <tableColumns count="3">
    <tableColumn name="Column1" id="1"/>
    <tableColumn name="Column2" id="2"/>
    <tableColumn name="Column3" id="3"/>
  </tableColumns>
  <tableStyleInfo name="Volunteer Info-style 2" showColumnStripes="0" showFirstColumn="1" showLastColumn="1" showRowStripes="1"/>
</table>
</file>

<file path=xl/tables/table3.xml><?xml version="1.0" encoding="utf-8"?>
<table xmlns="http://schemas.openxmlformats.org/spreadsheetml/2006/main" headerRowCount="0" ref="A207:C483" displayName="Table_3" name="Table_3" id="3">
  <tableColumns count="3">
    <tableColumn name="Column1" id="1"/>
    <tableColumn name="Column2" id="2"/>
    <tableColumn name="Column3" id="3"/>
  </tableColumns>
  <tableStyleInfo name="Volunteer Info-style 3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hyperlink" Target="http://lifeway.com/" TargetMode="External"/><Relationship Id="rId2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1" Type="http://schemas.openxmlformats.org/officeDocument/2006/relationships/hyperlink" Target="mailto:morcombs25@gmail.com" TargetMode="External"/><Relationship Id="rId10" Type="http://schemas.openxmlformats.org/officeDocument/2006/relationships/hyperlink" Target="mailto:fraybonilla12@gmail.com" TargetMode="External"/><Relationship Id="rId13" Type="http://schemas.openxmlformats.org/officeDocument/2006/relationships/drawing" Target="../drawings/drawing15.xml"/><Relationship Id="rId12" Type="http://schemas.openxmlformats.org/officeDocument/2006/relationships/hyperlink" Target="mailto:tienh7657@gmail.com" TargetMode="External"/><Relationship Id="rId1" Type="http://schemas.openxmlformats.org/officeDocument/2006/relationships/hyperlink" Target="mailto:camaro1457@gmail.com" TargetMode="External"/><Relationship Id="rId2" Type="http://schemas.openxmlformats.org/officeDocument/2006/relationships/hyperlink" Target="mailto:rohitmrfhem@gmail.com" TargetMode="External"/><Relationship Id="rId3" Type="http://schemas.openxmlformats.org/officeDocument/2006/relationships/hyperlink" Target="mailto:lenamariadelb@gmail.com" TargetMode="External"/><Relationship Id="rId4" Type="http://schemas.openxmlformats.org/officeDocument/2006/relationships/hyperlink" Target="mailto:nikkochaz@gmail.com" TargetMode="External"/><Relationship Id="rId9" Type="http://schemas.openxmlformats.org/officeDocument/2006/relationships/hyperlink" Target="mailto:brandondelfin17@icloud.com" TargetMode="External"/><Relationship Id="rId17" Type="http://schemas.openxmlformats.org/officeDocument/2006/relationships/table" Target="../tables/table1.xml"/><Relationship Id="rId5" Type="http://schemas.openxmlformats.org/officeDocument/2006/relationships/hyperlink" Target="mailto:wesdarman@me.com" TargetMode="External"/><Relationship Id="rId19" Type="http://schemas.openxmlformats.org/officeDocument/2006/relationships/table" Target="../tables/table3.xml"/><Relationship Id="rId6" Type="http://schemas.openxmlformats.org/officeDocument/2006/relationships/hyperlink" Target="mailto:ansleyrd@gmail.com" TargetMode="External"/><Relationship Id="rId18" Type="http://schemas.openxmlformats.org/officeDocument/2006/relationships/table" Target="../tables/table2.xml"/><Relationship Id="rId7" Type="http://schemas.openxmlformats.org/officeDocument/2006/relationships/hyperlink" Target="mailto:isaiahstudivent119@gmail.com" TargetMode="External"/><Relationship Id="rId8" Type="http://schemas.openxmlformats.org/officeDocument/2006/relationships/hyperlink" Target="mailto:yareli.villagran@yahoo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2" width="18.63"/>
    <col customWidth="1" min="3" max="3" width="14.75"/>
    <col customWidth="1" min="4" max="4" width="8.63"/>
    <col customWidth="1" min="5" max="6" width="9.38"/>
    <col customWidth="1" min="7" max="26" width="8.63"/>
    <col customWidth="1" min="27" max="29" width="10.25"/>
    <col customWidth="1" min="30" max="30" width="8.63"/>
    <col customWidth="1" min="31" max="33" width="10.25"/>
    <col customWidth="1" min="34" max="35" width="8.63"/>
    <col customWidth="1" min="36" max="36" width="10.25"/>
    <col customWidth="1" min="37" max="37" width="10.13"/>
    <col customWidth="1" min="38" max="38" width="10.25"/>
    <col customWidth="1" min="39" max="45" width="8.63"/>
  </cols>
  <sheetData>
    <row r="1">
      <c r="A1" s="1" t="s">
        <v>0</v>
      </c>
      <c r="B1" s="2" t="s">
        <v>1</v>
      </c>
      <c r="C1" s="3" t="s">
        <v>2</v>
      </c>
      <c r="D1" s="4">
        <v>45417.0</v>
      </c>
      <c r="E1" s="4">
        <v>45424.0</v>
      </c>
      <c r="F1" s="4">
        <v>45431.0</v>
      </c>
      <c r="G1" s="4">
        <v>45438.0</v>
      </c>
      <c r="H1" s="4">
        <v>45445.0</v>
      </c>
      <c r="I1" s="4">
        <v>45452.0</v>
      </c>
      <c r="J1" s="4">
        <v>45459.0</v>
      </c>
      <c r="K1" s="4">
        <v>45466.0</v>
      </c>
      <c r="L1" s="4">
        <v>45473.0</v>
      </c>
      <c r="M1" s="4">
        <v>45480.0</v>
      </c>
      <c r="N1" s="4">
        <v>45487.0</v>
      </c>
      <c r="O1" s="4">
        <v>45494.0</v>
      </c>
      <c r="P1" s="4">
        <v>45501.0</v>
      </c>
      <c r="Q1" s="4">
        <v>45508.0</v>
      </c>
      <c r="R1" s="4">
        <v>45515.0</v>
      </c>
      <c r="S1" s="4">
        <v>45522.0</v>
      </c>
      <c r="T1" s="4">
        <v>45529.0</v>
      </c>
      <c r="U1" s="4">
        <v>45536.0</v>
      </c>
      <c r="V1" s="4">
        <v>45543.0</v>
      </c>
      <c r="W1" s="4">
        <v>45550.0</v>
      </c>
      <c r="X1" s="4">
        <v>45557.0</v>
      </c>
      <c r="Y1" s="4">
        <v>45564.0</v>
      </c>
      <c r="Z1" s="4">
        <v>45571.0</v>
      </c>
      <c r="AA1" s="4">
        <v>45578.0</v>
      </c>
      <c r="AB1" s="4">
        <v>45585.0</v>
      </c>
      <c r="AC1" s="4">
        <v>45592.0</v>
      </c>
      <c r="AD1" s="4">
        <v>45599.0</v>
      </c>
      <c r="AE1" s="4">
        <v>45606.0</v>
      </c>
      <c r="AF1" s="4">
        <v>45613.0</v>
      </c>
      <c r="AG1" s="4">
        <v>45620.0</v>
      </c>
      <c r="AH1" s="4">
        <v>45627.0</v>
      </c>
      <c r="AI1" s="4">
        <v>45634.0</v>
      </c>
      <c r="AJ1" s="4">
        <v>45641.0</v>
      </c>
      <c r="AK1" s="5">
        <v>45648.0</v>
      </c>
      <c r="AL1" s="4">
        <v>45655.0</v>
      </c>
      <c r="AM1" s="4">
        <v>45662.0</v>
      </c>
      <c r="AN1" s="4">
        <v>45669.0</v>
      </c>
      <c r="AO1" s="4">
        <v>45676.0</v>
      </c>
      <c r="AP1" s="4">
        <v>45683.0</v>
      </c>
      <c r="AQ1" s="4">
        <v>45690.0</v>
      </c>
      <c r="AR1" s="4">
        <v>45697.0</v>
      </c>
      <c r="AS1" s="6">
        <v>45704.0</v>
      </c>
    </row>
    <row r="2">
      <c r="A2" s="1">
        <v>50.0</v>
      </c>
      <c r="B2" s="7">
        <f>SUM(B3:B340)</f>
        <v>612</v>
      </c>
      <c r="C2" s="8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10"/>
    </row>
    <row r="3">
      <c r="A3" s="11" t="s">
        <v>3</v>
      </c>
      <c r="B3" s="8">
        <f t="shared" ref="B3:B52" si="1">SUM(C3:CA3)</f>
        <v>249</v>
      </c>
      <c r="C3" s="8">
        <v>66.0</v>
      </c>
      <c r="D3" s="8">
        <v>6.0</v>
      </c>
      <c r="E3" s="8">
        <v>6.0</v>
      </c>
      <c r="F3" s="8">
        <v>6.0</v>
      </c>
      <c r="G3" s="8">
        <v>6.0</v>
      </c>
      <c r="H3" s="8">
        <v>6.0</v>
      </c>
      <c r="I3" s="8">
        <v>6.0</v>
      </c>
      <c r="J3" s="8" t="s">
        <v>4</v>
      </c>
      <c r="K3" s="8">
        <v>6.0</v>
      </c>
      <c r="L3" s="8">
        <v>6.0</v>
      </c>
      <c r="M3" s="8">
        <v>6.0</v>
      </c>
      <c r="N3" s="8">
        <v>6.0</v>
      </c>
      <c r="O3" s="8">
        <v>6.0</v>
      </c>
      <c r="P3" s="8">
        <v>8.0</v>
      </c>
      <c r="Q3" s="8">
        <v>6.0</v>
      </c>
      <c r="R3" s="8">
        <v>6.0</v>
      </c>
      <c r="S3" s="8">
        <v>6.0</v>
      </c>
      <c r="T3" s="8">
        <v>4.0</v>
      </c>
      <c r="U3" s="8">
        <v>4.0</v>
      </c>
      <c r="V3" s="8">
        <v>4.0</v>
      </c>
      <c r="W3" s="8">
        <v>4.0</v>
      </c>
      <c r="X3" s="8">
        <v>4.0</v>
      </c>
      <c r="Y3" s="8">
        <v>7.0</v>
      </c>
      <c r="Z3" s="8">
        <v>7.0</v>
      </c>
      <c r="AA3" s="8">
        <v>7.0</v>
      </c>
      <c r="AB3" s="8">
        <v>7.0</v>
      </c>
      <c r="AC3" s="8">
        <v>7.0</v>
      </c>
      <c r="AD3" s="8">
        <v>3.0</v>
      </c>
      <c r="AE3" s="8">
        <v>7.0</v>
      </c>
      <c r="AF3" s="8">
        <v>6.0</v>
      </c>
      <c r="AG3" s="8">
        <v>10.0</v>
      </c>
      <c r="AH3" s="8">
        <v>5.0</v>
      </c>
      <c r="AI3" s="8">
        <v>5.0</v>
      </c>
      <c r="AJ3" s="8"/>
      <c r="AK3" s="8"/>
      <c r="AL3" s="8"/>
      <c r="AM3" s="8"/>
      <c r="AN3" s="8"/>
      <c r="AO3" s="8"/>
      <c r="AP3" s="8"/>
      <c r="AQ3" s="8"/>
      <c r="AR3" s="8"/>
      <c r="AS3" s="10"/>
    </row>
    <row r="4">
      <c r="A4" s="11" t="s">
        <v>5</v>
      </c>
      <c r="B4" s="8">
        <f t="shared" si="1"/>
        <v>92</v>
      </c>
      <c r="C4" s="8"/>
      <c r="D4" s="8">
        <v>6.0</v>
      </c>
      <c r="E4" s="8">
        <v>6.0</v>
      </c>
      <c r="F4" s="8">
        <v>6.0</v>
      </c>
      <c r="G4" s="8">
        <v>6.0</v>
      </c>
      <c r="H4" s="8">
        <v>6.0</v>
      </c>
      <c r="I4" s="8">
        <v>6.0</v>
      </c>
      <c r="J4" s="8"/>
      <c r="K4" s="8"/>
      <c r="L4" s="8"/>
      <c r="M4" s="8">
        <v>6.0</v>
      </c>
      <c r="N4" s="8">
        <v>6.0</v>
      </c>
      <c r="O4" s="8"/>
      <c r="P4" s="8"/>
      <c r="Q4" s="8"/>
      <c r="R4" s="8">
        <v>6.0</v>
      </c>
      <c r="S4" s="8"/>
      <c r="T4" s="8">
        <v>3.0</v>
      </c>
      <c r="U4" s="8">
        <v>3.0</v>
      </c>
      <c r="V4" s="8">
        <v>3.0</v>
      </c>
      <c r="W4" s="8"/>
      <c r="X4" s="8">
        <v>2.0</v>
      </c>
      <c r="Y4" s="8">
        <v>2.0</v>
      </c>
      <c r="Z4" s="8">
        <v>2.0</v>
      </c>
      <c r="AA4" s="8">
        <v>2.0</v>
      </c>
      <c r="AB4" s="8"/>
      <c r="AC4" s="8">
        <v>2.0</v>
      </c>
      <c r="AD4" s="8">
        <v>3.0</v>
      </c>
      <c r="AE4" s="8">
        <v>3.0</v>
      </c>
      <c r="AF4" s="8"/>
      <c r="AG4" s="8">
        <v>3.0</v>
      </c>
      <c r="AH4" s="8">
        <v>3.0</v>
      </c>
      <c r="AI4" s="8">
        <v>3.0</v>
      </c>
      <c r="AJ4" s="8"/>
      <c r="AK4" s="8">
        <v>4.0</v>
      </c>
      <c r="AL4" s="8"/>
      <c r="AM4" s="8"/>
      <c r="AN4" s="8"/>
      <c r="AO4" s="8"/>
      <c r="AP4" s="8"/>
      <c r="AQ4" s="8"/>
      <c r="AR4" s="8"/>
      <c r="AS4" s="10"/>
    </row>
    <row r="5">
      <c r="A5" s="11" t="s">
        <v>6</v>
      </c>
      <c r="B5" s="8">
        <f t="shared" si="1"/>
        <v>53.5</v>
      </c>
      <c r="C5" s="8"/>
      <c r="D5" s="8"/>
      <c r="E5" s="8"/>
      <c r="F5" s="8"/>
      <c r="G5" s="8"/>
      <c r="H5" s="8"/>
      <c r="I5" s="8"/>
      <c r="J5" s="8"/>
      <c r="K5" s="8">
        <v>2.5</v>
      </c>
      <c r="L5" s="8"/>
      <c r="M5" s="8"/>
      <c r="N5" s="8">
        <v>2.5</v>
      </c>
      <c r="O5" s="8"/>
      <c r="P5" s="8">
        <v>4.0</v>
      </c>
      <c r="Q5" s="8"/>
      <c r="R5" s="8">
        <v>2.5</v>
      </c>
      <c r="S5" s="8">
        <v>4.0</v>
      </c>
      <c r="T5" s="8">
        <v>4.0</v>
      </c>
      <c r="U5" s="8"/>
      <c r="V5" s="8"/>
      <c r="W5" s="8">
        <v>2.0</v>
      </c>
      <c r="X5" s="8">
        <v>2.0</v>
      </c>
      <c r="Y5" s="8">
        <v>2.0</v>
      </c>
      <c r="Z5" s="8">
        <v>2.0</v>
      </c>
      <c r="AA5" s="8">
        <v>2.0</v>
      </c>
      <c r="AB5" s="8">
        <v>2.0</v>
      </c>
      <c r="AC5" s="8">
        <v>2.0</v>
      </c>
      <c r="AD5" s="8">
        <v>2.0</v>
      </c>
      <c r="AE5" s="8">
        <v>3.0</v>
      </c>
      <c r="AF5" s="8">
        <v>6.0</v>
      </c>
      <c r="AG5" s="8"/>
      <c r="AH5" s="8"/>
      <c r="AI5" s="8"/>
      <c r="AJ5" s="8">
        <v>5.0</v>
      </c>
      <c r="AK5" s="8">
        <v>4.0</v>
      </c>
      <c r="AL5" s="8"/>
      <c r="AM5" s="8"/>
      <c r="AN5" s="8"/>
      <c r="AO5" s="8"/>
      <c r="AP5" s="8"/>
      <c r="AQ5" s="8"/>
      <c r="AR5" s="8"/>
      <c r="AS5" s="10"/>
    </row>
    <row r="6">
      <c r="A6" s="11" t="s">
        <v>7</v>
      </c>
      <c r="B6" s="8">
        <f t="shared" si="1"/>
        <v>34</v>
      </c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>
        <v>4.0</v>
      </c>
      <c r="U6" s="8"/>
      <c r="V6" s="8">
        <v>2.0</v>
      </c>
      <c r="W6" s="8">
        <v>2.0</v>
      </c>
      <c r="X6" s="8">
        <v>2.0</v>
      </c>
      <c r="Y6" s="8">
        <v>2.0</v>
      </c>
      <c r="Z6" s="8"/>
      <c r="AA6" s="8">
        <v>2.0</v>
      </c>
      <c r="AB6" s="8">
        <v>2.0</v>
      </c>
      <c r="AC6" s="8"/>
      <c r="AD6" s="8"/>
      <c r="AE6" s="8"/>
      <c r="AF6" s="8">
        <v>2.0</v>
      </c>
      <c r="AG6" s="8">
        <v>2.0</v>
      </c>
      <c r="AH6" s="8"/>
      <c r="AI6" s="8">
        <v>2.0</v>
      </c>
      <c r="AJ6" s="8">
        <v>5.0</v>
      </c>
      <c r="AK6" s="8">
        <v>4.0</v>
      </c>
      <c r="AL6" s="8">
        <v>3.0</v>
      </c>
      <c r="AM6" s="8"/>
      <c r="AN6" s="8"/>
      <c r="AO6" s="8"/>
      <c r="AP6" s="8"/>
      <c r="AQ6" s="8"/>
      <c r="AR6" s="8"/>
      <c r="AS6" s="10"/>
    </row>
    <row r="7">
      <c r="A7" s="11" t="s">
        <v>8</v>
      </c>
      <c r="B7" s="8">
        <f t="shared" si="1"/>
        <v>4</v>
      </c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>
        <v>2.0</v>
      </c>
      <c r="AD7" s="8"/>
      <c r="AE7" s="8"/>
      <c r="AF7" s="8"/>
      <c r="AG7" s="8">
        <v>2.0</v>
      </c>
      <c r="AH7" s="8"/>
      <c r="AI7" s="8"/>
      <c r="AJ7" s="8"/>
      <c r="AK7" s="8"/>
      <c r="AL7" s="8"/>
      <c r="AM7" s="8"/>
      <c r="AN7" s="8"/>
      <c r="AO7" s="8"/>
      <c r="AP7" s="8"/>
      <c r="AQ7" s="8"/>
      <c r="AR7" s="8"/>
      <c r="AS7" s="10"/>
    </row>
    <row r="8">
      <c r="A8" s="11" t="s">
        <v>9</v>
      </c>
      <c r="B8" s="8">
        <f t="shared" si="1"/>
        <v>1</v>
      </c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>
        <v>1.0</v>
      </c>
      <c r="AE8" s="8"/>
      <c r="AF8" s="8"/>
      <c r="AG8" s="8"/>
      <c r="AH8" s="8"/>
      <c r="AI8" s="8"/>
      <c r="AJ8" s="8"/>
      <c r="AK8" s="8"/>
      <c r="AL8" s="8"/>
      <c r="AM8" s="8"/>
      <c r="AN8" s="8"/>
      <c r="AO8" s="8"/>
      <c r="AP8" s="8"/>
      <c r="AQ8" s="8"/>
      <c r="AR8" s="8"/>
      <c r="AS8" s="10"/>
    </row>
    <row r="9">
      <c r="A9" s="11" t="s">
        <v>10</v>
      </c>
      <c r="B9" s="8">
        <f t="shared" si="1"/>
        <v>3</v>
      </c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>
        <v>1.0</v>
      </c>
      <c r="AE9" s="8"/>
      <c r="AF9" s="8"/>
      <c r="AG9" s="8"/>
      <c r="AH9" s="8"/>
      <c r="AI9" s="8"/>
      <c r="AJ9" s="8">
        <v>2.0</v>
      </c>
      <c r="AK9" s="8"/>
      <c r="AL9" s="8"/>
      <c r="AM9" s="8"/>
      <c r="AN9" s="8"/>
      <c r="AO9" s="8"/>
      <c r="AP9" s="8"/>
      <c r="AQ9" s="8"/>
      <c r="AR9" s="8"/>
      <c r="AS9" s="10"/>
    </row>
    <row r="10">
      <c r="A10" s="11" t="s">
        <v>11</v>
      </c>
      <c r="B10" s="8">
        <f t="shared" si="1"/>
        <v>1</v>
      </c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>
        <v>1.0</v>
      </c>
      <c r="AE10" s="8"/>
      <c r="AF10" s="8"/>
      <c r="AG10" s="8"/>
      <c r="AH10" s="8"/>
      <c r="AI10" s="8"/>
      <c r="AJ10" s="8"/>
      <c r="AK10" s="8"/>
      <c r="AL10" s="8"/>
      <c r="AM10" s="8"/>
      <c r="AN10" s="8"/>
      <c r="AO10" s="8"/>
      <c r="AP10" s="8"/>
      <c r="AQ10" s="8"/>
      <c r="AR10" s="8"/>
      <c r="AS10" s="10"/>
    </row>
    <row r="11">
      <c r="A11" s="11" t="s">
        <v>12</v>
      </c>
      <c r="B11" s="8">
        <f t="shared" si="1"/>
        <v>4</v>
      </c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>
        <v>2.0</v>
      </c>
      <c r="AE11" s="8"/>
      <c r="AF11" s="8"/>
      <c r="AG11" s="8"/>
      <c r="AH11" s="8"/>
      <c r="AI11" s="8"/>
      <c r="AJ11" s="8">
        <v>2.0</v>
      </c>
      <c r="AK11" s="8"/>
      <c r="AL11" s="8"/>
      <c r="AM11" s="8"/>
      <c r="AN11" s="8"/>
      <c r="AO11" s="8"/>
      <c r="AP11" s="8"/>
      <c r="AQ11" s="8"/>
      <c r="AR11" s="8"/>
      <c r="AS11" s="10"/>
    </row>
    <row r="12">
      <c r="A12" s="11" t="s">
        <v>13</v>
      </c>
      <c r="B12" s="8">
        <f t="shared" si="1"/>
        <v>6</v>
      </c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>
        <v>2.0</v>
      </c>
      <c r="AE12" s="8">
        <v>2.0</v>
      </c>
      <c r="AF12" s="8"/>
      <c r="AG12" s="8"/>
      <c r="AH12" s="8"/>
      <c r="AI12" s="8"/>
      <c r="AJ12" s="8">
        <v>2.0</v>
      </c>
      <c r="AK12" s="8"/>
      <c r="AL12" s="8"/>
      <c r="AM12" s="8"/>
      <c r="AN12" s="8"/>
      <c r="AO12" s="8"/>
      <c r="AP12" s="8"/>
      <c r="AQ12" s="8"/>
      <c r="AR12" s="8"/>
      <c r="AS12" s="10"/>
    </row>
    <row r="13">
      <c r="A13" s="11" t="s">
        <v>14</v>
      </c>
      <c r="B13" s="8">
        <f t="shared" si="1"/>
        <v>2</v>
      </c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>
        <v>2.0</v>
      </c>
      <c r="AE13" s="8"/>
      <c r="AF13" s="8"/>
      <c r="AG13" s="8"/>
      <c r="AH13" s="8"/>
      <c r="AI13" s="8"/>
      <c r="AJ13" s="8"/>
      <c r="AK13" s="8"/>
      <c r="AL13" s="8"/>
      <c r="AM13" s="8"/>
      <c r="AN13" s="8"/>
      <c r="AO13" s="8"/>
      <c r="AP13" s="8"/>
      <c r="AQ13" s="8"/>
      <c r="AR13" s="8"/>
      <c r="AS13" s="10"/>
    </row>
    <row r="14">
      <c r="A14" s="11" t="s">
        <v>15</v>
      </c>
      <c r="B14" s="8">
        <f t="shared" si="1"/>
        <v>3</v>
      </c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>
        <v>1.0</v>
      </c>
      <c r="AG14" s="8">
        <v>2.0</v>
      </c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10"/>
    </row>
    <row r="15">
      <c r="A15" s="11" t="s">
        <v>16</v>
      </c>
      <c r="B15" s="8">
        <f t="shared" si="1"/>
        <v>7</v>
      </c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>
        <v>2.0</v>
      </c>
      <c r="AE15" s="8">
        <v>2.0</v>
      </c>
      <c r="AF15" s="8"/>
      <c r="AG15" s="8"/>
      <c r="AH15" s="8"/>
      <c r="AI15" s="8"/>
      <c r="AJ15" s="8"/>
      <c r="AK15" s="8"/>
      <c r="AL15" s="8">
        <v>3.0</v>
      </c>
      <c r="AM15" s="8"/>
      <c r="AN15" s="8"/>
      <c r="AO15" s="8"/>
      <c r="AP15" s="8"/>
      <c r="AQ15" s="8"/>
      <c r="AR15" s="8"/>
      <c r="AS15" s="10"/>
    </row>
    <row r="16">
      <c r="A16" s="11" t="s">
        <v>17</v>
      </c>
      <c r="B16" s="8">
        <f t="shared" si="1"/>
        <v>2</v>
      </c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>
        <v>2.0</v>
      </c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10"/>
    </row>
    <row r="17">
      <c r="A17" s="11" t="s">
        <v>18</v>
      </c>
      <c r="B17" s="8">
        <f t="shared" si="1"/>
        <v>2</v>
      </c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>
        <v>2.0</v>
      </c>
      <c r="AJ17" s="8"/>
      <c r="AK17" s="8"/>
      <c r="AL17" s="8"/>
      <c r="AM17" s="8"/>
      <c r="AN17" s="8"/>
      <c r="AO17" s="8"/>
      <c r="AP17" s="8"/>
      <c r="AQ17" s="8"/>
      <c r="AR17" s="8"/>
      <c r="AS17" s="10"/>
    </row>
    <row r="18">
      <c r="A18" s="11" t="s">
        <v>19</v>
      </c>
      <c r="B18" s="8">
        <f t="shared" si="1"/>
        <v>2</v>
      </c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>
        <v>2.0</v>
      </c>
      <c r="AK18" s="8"/>
      <c r="AL18" s="8"/>
      <c r="AM18" s="8"/>
      <c r="AN18" s="8"/>
      <c r="AO18" s="8"/>
      <c r="AP18" s="8"/>
      <c r="AQ18" s="8"/>
      <c r="AR18" s="8"/>
      <c r="AS18" s="10"/>
    </row>
    <row r="19">
      <c r="A19" s="11" t="s">
        <v>20</v>
      </c>
      <c r="B19" s="8">
        <f t="shared" si="1"/>
        <v>4</v>
      </c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>
        <v>2.0</v>
      </c>
      <c r="AJ19" s="8"/>
      <c r="AK19" s="8">
        <v>2.0</v>
      </c>
      <c r="AL19" s="8"/>
      <c r="AM19" s="8"/>
      <c r="AN19" s="8"/>
      <c r="AO19" s="8"/>
      <c r="AP19" s="8"/>
      <c r="AQ19" s="8"/>
      <c r="AR19" s="8"/>
      <c r="AS19" s="10"/>
    </row>
    <row r="20">
      <c r="A20" s="11" t="s">
        <v>21</v>
      </c>
      <c r="B20" s="8">
        <f t="shared" si="1"/>
        <v>2</v>
      </c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>
        <v>2.0</v>
      </c>
      <c r="AJ20" s="8"/>
      <c r="AK20" s="8"/>
      <c r="AL20" s="8"/>
      <c r="AM20" s="8"/>
      <c r="AN20" s="8"/>
      <c r="AO20" s="8"/>
      <c r="AP20" s="8"/>
      <c r="AQ20" s="8"/>
      <c r="AR20" s="8"/>
      <c r="AS20" s="10"/>
    </row>
    <row r="21" ht="15.75" customHeight="1">
      <c r="A21" s="11" t="s">
        <v>22</v>
      </c>
      <c r="B21" s="8">
        <f t="shared" si="1"/>
        <v>2</v>
      </c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>
        <v>2.0</v>
      </c>
      <c r="AF21" s="8"/>
      <c r="AG21" s="8"/>
      <c r="AH21" s="8"/>
      <c r="AI21" s="8"/>
      <c r="AJ21" s="8"/>
      <c r="AK21" s="8"/>
      <c r="AL21" s="8"/>
      <c r="AM21" s="8"/>
      <c r="AN21" s="8"/>
      <c r="AO21" s="8"/>
      <c r="AP21" s="8"/>
      <c r="AQ21" s="8"/>
      <c r="AR21" s="8"/>
      <c r="AS21" s="10"/>
    </row>
    <row r="22" ht="15.75" customHeight="1">
      <c r="A22" s="11" t="s">
        <v>23</v>
      </c>
      <c r="B22" s="8">
        <f t="shared" si="1"/>
        <v>8</v>
      </c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>
        <v>2.0</v>
      </c>
      <c r="AE22" s="8"/>
      <c r="AF22" s="8">
        <v>2.0</v>
      </c>
      <c r="AG22" s="8">
        <v>2.0</v>
      </c>
      <c r="AH22" s="8">
        <v>2.0</v>
      </c>
      <c r="AI22" s="8"/>
      <c r="AJ22" s="8"/>
      <c r="AK22" s="8"/>
      <c r="AL22" s="8"/>
      <c r="AM22" s="8"/>
      <c r="AN22" s="8"/>
      <c r="AO22" s="8"/>
      <c r="AP22" s="8"/>
      <c r="AQ22" s="8"/>
      <c r="AR22" s="8"/>
      <c r="AS22" s="10"/>
    </row>
    <row r="23" ht="15.75" customHeight="1">
      <c r="A23" s="11" t="s">
        <v>24</v>
      </c>
      <c r="B23" s="8">
        <f t="shared" si="1"/>
        <v>4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>
        <v>2.0</v>
      </c>
      <c r="AG23" s="8"/>
      <c r="AH23" s="8"/>
      <c r="AI23" s="8"/>
      <c r="AJ23" s="8">
        <v>2.0</v>
      </c>
      <c r="AK23" s="8"/>
      <c r="AL23" s="8"/>
      <c r="AM23" s="8"/>
      <c r="AN23" s="8"/>
      <c r="AO23" s="8"/>
      <c r="AP23" s="8"/>
      <c r="AQ23" s="8"/>
      <c r="AR23" s="8"/>
      <c r="AS23" s="10"/>
    </row>
    <row r="24" ht="15.75" customHeight="1">
      <c r="A24" s="11" t="s">
        <v>25</v>
      </c>
      <c r="B24" s="8">
        <f t="shared" si="1"/>
        <v>2</v>
      </c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>
        <v>2.0</v>
      </c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  <c r="AO24" s="8"/>
      <c r="AP24" s="8"/>
      <c r="AQ24" s="8"/>
      <c r="AR24" s="8"/>
      <c r="AS24" s="10"/>
    </row>
    <row r="25" ht="15.75" customHeight="1">
      <c r="A25" s="11" t="s">
        <v>26</v>
      </c>
      <c r="B25" s="8">
        <f t="shared" si="1"/>
        <v>10</v>
      </c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>
        <v>2.0</v>
      </c>
      <c r="Z25" s="8">
        <v>2.0</v>
      </c>
      <c r="AA25" s="8">
        <v>2.0</v>
      </c>
      <c r="AB25" s="8">
        <v>2.0</v>
      </c>
      <c r="AC25" s="8"/>
      <c r="AD25" s="8">
        <v>2.0</v>
      </c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10"/>
    </row>
    <row r="26" ht="15.75" customHeight="1">
      <c r="A26" s="11" t="s">
        <v>27</v>
      </c>
      <c r="B26" s="8">
        <f t="shared" si="1"/>
        <v>2</v>
      </c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>
        <v>2.0</v>
      </c>
      <c r="AC26" s="8"/>
      <c r="AD26" s="8"/>
      <c r="AE26" s="8"/>
      <c r="AF26" s="8"/>
      <c r="AG26" s="8"/>
      <c r="AH26" s="8"/>
      <c r="AI26" s="8"/>
      <c r="AJ26" s="8"/>
      <c r="AK26" s="8"/>
      <c r="AL26" s="8"/>
      <c r="AM26" s="8"/>
      <c r="AN26" s="8"/>
      <c r="AO26" s="8"/>
      <c r="AP26" s="8"/>
      <c r="AQ26" s="8"/>
      <c r="AR26" s="8"/>
      <c r="AS26" s="10"/>
    </row>
    <row r="27" ht="15.75" customHeight="1">
      <c r="A27" s="11" t="s">
        <v>28</v>
      </c>
      <c r="B27" s="8">
        <f t="shared" si="1"/>
        <v>4</v>
      </c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>
        <v>2.0</v>
      </c>
      <c r="Z27" s="8"/>
      <c r="AA27" s="8"/>
      <c r="AB27" s="8">
        <v>2.0</v>
      </c>
      <c r="AC27" s="8"/>
      <c r="AD27" s="8"/>
      <c r="AE27" s="8"/>
      <c r="AF27" s="8"/>
      <c r="AG27" s="8"/>
      <c r="AH27" s="8"/>
      <c r="AI27" s="8"/>
      <c r="AJ27" s="8"/>
      <c r="AK27" s="8"/>
      <c r="AL27" s="8"/>
      <c r="AM27" s="8"/>
      <c r="AN27" s="8"/>
      <c r="AO27" s="8"/>
      <c r="AP27" s="8"/>
      <c r="AQ27" s="8"/>
      <c r="AR27" s="8"/>
      <c r="AS27" s="10"/>
    </row>
    <row r="28" ht="15.75" customHeight="1">
      <c r="A28" s="12" t="s">
        <v>29</v>
      </c>
      <c r="B28" s="8">
        <f t="shared" si="1"/>
        <v>2</v>
      </c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>
        <v>2.0</v>
      </c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8"/>
      <c r="AK28" s="8"/>
      <c r="AL28" s="8"/>
      <c r="AM28" s="8"/>
      <c r="AN28" s="8"/>
      <c r="AO28" s="8"/>
      <c r="AP28" s="8"/>
      <c r="AQ28" s="8"/>
      <c r="AR28" s="8"/>
      <c r="AS28" s="10"/>
    </row>
    <row r="29" ht="15.75" customHeight="1">
      <c r="A29" s="11" t="s">
        <v>30</v>
      </c>
      <c r="B29" s="8">
        <f t="shared" si="1"/>
        <v>4</v>
      </c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>
        <v>2.0</v>
      </c>
      <c r="AA29" s="8"/>
      <c r="AB29" s="8"/>
      <c r="AC29" s="8"/>
      <c r="AD29" s="8"/>
      <c r="AE29" s="8"/>
      <c r="AF29" s="8"/>
      <c r="AG29" s="8"/>
      <c r="AH29" s="8"/>
      <c r="AI29" s="8"/>
      <c r="AJ29" s="8"/>
      <c r="AK29" s="8">
        <v>2.0</v>
      </c>
      <c r="AL29" s="8"/>
      <c r="AM29" s="8"/>
      <c r="AN29" s="8"/>
      <c r="AO29" s="8"/>
      <c r="AP29" s="8"/>
      <c r="AQ29" s="8"/>
      <c r="AR29" s="8"/>
      <c r="AS29" s="10"/>
    </row>
    <row r="30" ht="15.75" customHeight="1">
      <c r="A30" s="11" t="s">
        <v>31</v>
      </c>
      <c r="B30" s="8">
        <f t="shared" si="1"/>
        <v>2</v>
      </c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>
        <v>2.0</v>
      </c>
      <c r="AB30" s="8"/>
      <c r="AC30" s="8"/>
      <c r="AD30" s="8"/>
      <c r="AE30" s="8"/>
      <c r="AF30" s="8"/>
      <c r="AG30" s="8"/>
      <c r="AH30" s="8"/>
      <c r="AI30" s="8"/>
      <c r="AJ30" s="8"/>
      <c r="AK30" s="8"/>
      <c r="AL30" s="8"/>
      <c r="AM30" s="8"/>
      <c r="AN30" s="8"/>
      <c r="AO30" s="8"/>
      <c r="AP30" s="8"/>
      <c r="AQ30" s="8"/>
      <c r="AR30" s="8"/>
      <c r="AS30" s="10"/>
    </row>
    <row r="31" ht="15.75" customHeight="1">
      <c r="A31" s="11" t="s">
        <v>32</v>
      </c>
      <c r="B31" s="8">
        <f t="shared" si="1"/>
        <v>4</v>
      </c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>
        <v>2.0</v>
      </c>
      <c r="AB31" s="8"/>
      <c r="AC31" s="8">
        <v>2.0</v>
      </c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  <c r="AO31" s="8"/>
      <c r="AP31" s="8"/>
      <c r="AQ31" s="8"/>
      <c r="AR31" s="8"/>
      <c r="AS31" s="10"/>
    </row>
    <row r="32" ht="15.75" customHeight="1">
      <c r="A32" s="11" t="s">
        <v>33</v>
      </c>
      <c r="B32" s="8">
        <f t="shared" si="1"/>
        <v>4</v>
      </c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>
        <v>2.0</v>
      </c>
      <c r="Z32" s="8"/>
      <c r="AA32" s="8"/>
      <c r="AB32" s="8"/>
      <c r="AC32" s="8"/>
      <c r="AD32" s="8"/>
      <c r="AE32" s="8"/>
      <c r="AF32" s="8"/>
      <c r="AG32" s="8"/>
      <c r="AH32" s="8">
        <v>2.0</v>
      </c>
      <c r="AI32" s="8"/>
      <c r="AJ32" s="8"/>
      <c r="AK32" s="8"/>
      <c r="AL32" s="8"/>
      <c r="AM32" s="8"/>
      <c r="AN32" s="8"/>
      <c r="AO32" s="8"/>
      <c r="AP32" s="8"/>
      <c r="AQ32" s="8"/>
      <c r="AR32" s="8"/>
      <c r="AS32" s="10"/>
    </row>
    <row r="33" ht="15.75" customHeight="1">
      <c r="A33" s="11" t="s">
        <v>34</v>
      </c>
      <c r="B33" s="8">
        <f t="shared" si="1"/>
        <v>2</v>
      </c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>
        <v>2.0</v>
      </c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  <c r="AL33" s="8"/>
      <c r="AM33" s="8"/>
      <c r="AN33" s="8"/>
      <c r="AO33" s="8"/>
      <c r="AP33" s="8"/>
      <c r="AQ33" s="8"/>
      <c r="AR33" s="8"/>
      <c r="AS33" s="10"/>
    </row>
    <row r="34" ht="15.75" customHeight="1">
      <c r="A34" s="12" t="s">
        <v>35</v>
      </c>
      <c r="B34" s="8">
        <f t="shared" si="1"/>
        <v>2</v>
      </c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>
        <v>2.0</v>
      </c>
      <c r="Z34" s="8"/>
      <c r="AA34" s="8"/>
      <c r="AB34" s="8"/>
      <c r="AC34" s="8"/>
      <c r="AD34" s="8"/>
      <c r="AE34" s="8"/>
      <c r="AF34" s="8"/>
      <c r="AG34" s="8"/>
      <c r="AH34" s="8"/>
      <c r="AI34" s="8"/>
      <c r="AJ34" s="8"/>
      <c r="AK34" s="8"/>
      <c r="AL34" s="8"/>
      <c r="AM34" s="8"/>
      <c r="AN34" s="8"/>
      <c r="AO34" s="8"/>
      <c r="AP34" s="8"/>
      <c r="AQ34" s="8"/>
      <c r="AR34" s="8"/>
      <c r="AS34" s="10"/>
    </row>
    <row r="35" ht="15.75" customHeight="1">
      <c r="A35" s="11" t="s">
        <v>36</v>
      </c>
      <c r="B35" s="8">
        <f t="shared" si="1"/>
        <v>2</v>
      </c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>
        <v>2.0</v>
      </c>
      <c r="Z35" s="8"/>
      <c r="AA35" s="8"/>
      <c r="AB35" s="8"/>
      <c r="AC35" s="8"/>
      <c r="AD35" s="8"/>
      <c r="AE35" s="8"/>
      <c r="AF35" s="8"/>
      <c r="AG35" s="8"/>
      <c r="AH35" s="8"/>
      <c r="AI35" s="8"/>
      <c r="AJ35" s="8"/>
      <c r="AK35" s="8"/>
      <c r="AL35" s="8"/>
      <c r="AM35" s="8"/>
      <c r="AN35" s="8"/>
      <c r="AO35" s="8"/>
      <c r="AP35" s="8"/>
      <c r="AQ35" s="8"/>
      <c r="AR35" s="8"/>
      <c r="AS35" s="10"/>
    </row>
    <row r="36" ht="15.75" customHeight="1">
      <c r="A36" s="11" t="s">
        <v>37</v>
      </c>
      <c r="B36" s="8">
        <f t="shared" si="1"/>
        <v>2</v>
      </c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>
        <v>2.0</v>
      </c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  <c r="AI36" s="8"/>
      <c r="AJ36" s="8"/>
      <c r="AK36" s="8"/>
      <c r="AL36" s="8"/>
      <c r="AM36" s="8"/>
      <c r="AN36" s="8"/>
      <c r="AO36" s="8"/>
      <c r="AP36" s="8"/>
      <c r="AQ36" s="8"/>
      <c r="AR36" s="8"/>
      <c r="AS36" s="10"/>
    </row>
    <row r="37" ht="15.75" customHeight="1">
      <c r="A37" s="11" t="s">
        <v>38</v>
      </c>
      <c r="B37" s="8">
        <f t="shared" si="1"/>
        <v>2</v>
      </c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>
        <v>2.0</v>
      </c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I37" s="8"/>
      <c r="AJ37" s="8"/>
      <c r="AK37" s="8"/>
      <c r="AL37" s="8"/>
      <c r="AM37" s="8"/>
      <c r="AN37" s="8"/>
      <c r="AO37" s="8"/>
      <c r="AP37" s="8"/>
      <c r="AQ37" s="8"/>
      <c r="AR37" s="8"/>
      <c r="AS37" s="10"/>
    </row>
    <row r="38" ht="15.75" customHeight="1">
      <c r="A38" s="11" t="s">
        <v>39</v>
      </c>
      <c r="B38" s="8">
        <f t="shared" si="1"/>
        <v>33.5</v>
      </c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>
        <v>2.5</v>
      </c>
      <c r="R38" s="8">
        <v>3.5</v>
      </c>
      <c r="S38" s="8">
        <v>2.5</v>
      </c>
      <c r="T38" s="8">
        <v>4.0</v>
      </c>
      <c r="U38" s="8">
        <v>2.0</v>
      </c>
      <c r="V38" s="8">
        <v>2.0</v>
      </c>
      <c r="W38" s="8">
        <v>2.0</v>
      </c>
      <c r="X38" s="8">
        <v>2.0</v>
      </c>
      <c r="Y38" s="8">
        <v>2.0</v>
      </c>
      <c r="Z38" s="8">
        <v>2.0</v>
      </c>
      <c r="AA38" s="8">
        <v>2.0</v>
      </c>
      <c r="AB38" s="8"/>
      <c r="AC38" s="8"/>
      <c r="AD38" s="8"/>
      <c r="AE38" s="8"/>
      <c r="AF38" s="8"/>
      <c r="AG38" s="8"/>
      <c r="AH38" s="8"/>
      <c r="AI38" s="8"/>
      <c r="AJ38" s="8"/>
      <c r="AK38" s="8">
        <v>4.0</v>
      </c>
      <c r="AL38" s="8">
        <v>3.0</v>
      </c>
      <c r="AM38" s="8"/>
      <c r="AN38" s="8"/>
      <c r="AO38" s="8"/>
      <c r="AP38" s="8"/>
      <c r="AQ38" s="8"/>
      <c r="AR38" s="8"/>
      <c r="AS38" s="10"/>
    </row>
    <row r="39" ht="15.75" customHeight="1">
      <c r="A39" s="11" t="s">
        <v>40</v>
      </c>
      <c r="B39" s="8">
        <f t="shared" si="1"/>
        <v>4.5</v>
      </c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>
        <v>2.5</v>
      </c>
      <c r="O39" s="8"/>
      <c r="P39" s="8"/>
      <c r="Q39" s="8"/>
      <c r="R39" s="8"/>
      <c r="S39" s="8"/>
      <c r="T39" s="8"/>
      <c r="U39" s="8"/>
      <c r="V39" s="8"/>
      <c r="W39" s="8"/>
      <c r="X39" s="8"/>
      <c r="Y39" s="8">
        <v>2.0</v>
      </c>
      <c r="Z39" s="8"/>
      <c r="AA39" s="8"/>
      <c r="AB39" s="8"/>
      <c r="AC39" s="8"/>
      <c r="AD39" s="8"/>
      <c r="AE39" s="8"/>
      <c r="AF39" s="8"/>
      <c r="AG39" s="8"/>
      <c r="AH39" s="8"/>
      <c r="AI39" s="8"/>
      <c r="AJ39" s="8"/>
      <c r="AK39" s="8"/>
      <c r="AL39" s="8"/>
      <c r="AM39" s="8"/>
      <c r="AN39" s="8"/>
      <c r="AO39" s="8"/>
      <c r="AP39" s="8"/>
      <c r="AQ39" s="8"/>
      <c r="AR39" s="8"/>
      <c r="AS39" s="10"/>
    </row>
    <row r="40" ht="15.75" customHeight="1">
      <c r="A40" s="11" t="s">
        <v>41</v>
      </c>
      <c r="B40" s="8">
        <f t="shared" si="1"/>
        <v>6.5</v>
      </c>
      <c r="C40" s="8"/>
      <c r="D40" s="8"/>
      <c r="E40" s="8"/>
      <c r="F40" s="8"/>
      <c r="G40" s="8"/>
      <c r="H40" s="8"/>
      <c r="I40" s="8"/>
      <c r="J40" s="8"/>
      <c r="K40" s="8"/>
      <c r="L40" s="8">
        <v>2.5</v>
      </c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>
        <v>2.0</v>
      </c>
      <c r="AC40" s="8"/>
      <c r="AD40" s="8"/>
      <c r="AE40" s="8"/>
      <c r="AF40" s="8"/>
      <c r="AG40" s="8"/>
      <c r="AH40" s="8"/>
      <c r="AI40" s="8"/>
      <c r="AJ40" s="8"/>
      <c r="AK40" s="8">
        <v>2.0</v>
      </c>
      <c r="AL40" s="8"/>
      <c r="AM40" s="8"/>
      <c r="AN40" s="8"/>
      <c r="AO40" s="8"/>
      <c r="AP40" s="8"/>
      <c r="AQ40" s="8"/>
      <c r="AR40" s="8"/>
      <c r="AS40" s="10"/>
    </row>
    <row r="41" ht="15.75" customHeight="1">
      <c r="A41" s="11" t="s">
        <v>42</v>
      </c>
      <c r="B41" s="8">
        <f t="shared" si="1"/>
        <v>3</v>
      </c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>
        <v>3.0</v>
      </c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I41" s="8"/>
      <c r="AJ41" s="8"/>
      <c r="AK41" s="8"/>
      <c r="AL41" s="8"/>
      <c r="AM41" s="8"/>
      <c r="AN41" s="8"/>
      <c r="AO41" s="8"/>
      <c r="AP41" s="8"/>
      <c r="AQ41" s="8"/>
      <c r="AR41" s="8"/>
      <c r="AS41" s="10"/>
    </row>
    <row r="42" ht="15.75" customHeight="1">
      <c r="A42" s="11" t="s">
        <v>43</v>
      </c>
      <c r="B42" s="8">
        <f t="shared" si="1"/>
        <v>2</v>
      </c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>
        <v>2.0</v>
      </c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I42" s="8"/>
      <c r="AJ42" s="8"/>
      <c r="AK42" s="8"/>
      <c r="AL42" s="8"/>
      <c r="AM42" s="8"/>
      <c r="AN42" s="8"/>
      <c r="AO42" s="8"/>
      <c r="AP42" s="8"/>
      <c r="AQ42" s="8"/>
      <c r="AR42" s="8"/>
      <c r="AS42" s="10"/>
    </row>
    <row r="43" ht="15.75" customHeight="1">
      <c r="A43" s="11" t="s">
        <v>44</v>
      </c>
      <c r="B43" s="8">
        <f t="shared" si="1"/>
        <v>6</v>
      </c>
      <c r="C43" s="8">
        <v>6.0</v>
      </c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8"/>
      <c r="AH43" s="8"/>
      <c r="AI43" s="8"/>
      <c r="AJ43" s="8"/>
      <c r="AK43" s="8"/>
      <c r="AL43" s="8"/>
      <c r="AM43" s="8"/>
      <c r="AN43" s="8"/>
      <c r="AO43" s="8"/>
      <c r="AP43" s="8"/>
      <c r="AQ43" s="8"/>
      <c r="AR43" s="8"/>
      <c r="AS43" s="10"/>
    </row>
    <row r="44" ht="15.75" customHeight="1">
      <c r="A44" s="11" t="s">
        <v>45</v>
      </c>
      <c r="B44" s="8">
        <f t="shared" si="1"/>
        <v>5</v>
      </c>
      <c r="C44" s="8">
        <v>3.0</v>
      </c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8"/>
      <c r="AJ44" s="8"/>
      <c r="AK44" s="8">
        <v>2.0</v>
      </c>
      <c r="AL44" s="8"/>
      <c r="AM44" s="8"/>
      <c r="AN44" s="8"/>
      <c r="AO44" s="8"/>
      <c r="AP44" s="8"/>
      <c r="AQ44" s="8"/>
      <c r="AR44" s="8"/>
      <c r="AS44" s="10"/>
    </row>
    <row r="45" ht="15.75" customHeight="1">
      <c r="A45" s="13" t="s">
        <v>46</v>
      </c>
      <c r="B45" s="8">
        <f t="shared" si="1"/>
        <v>3</v>
      </c>
      <c r="C45" s="14"/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  <c r="AL45" s="14">
        <v>3.0</v>
      </c>
      <c r="AM45" s="14"/>
      <c r="AN45" s="14"/>
      <c r="AO45" s="14"/>
      <c r="AP45" s="14"/>
      <c r="AQ45" s="14"/>
      <c r="AR45" s="14"/>
      <c r="AS45" s="15"/>
    </row>
    <row r="46" ht="15.75" customHeight="1">
      <c r="A46" s="13" t="s">
        <v>47</v>
      </c>
      <c r="B46" s="8">
        <f t="shared" si="1"/>
        <v>3</v>
      </c>
      <c r="C46" s="14"/>
      <c r="D46" s="14"/>
      <c r="E46" s="14"/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  <c r="AL46" s="14">
        <v>3.0</v>
      </c>
      <c r="AM46" s="14"/>
      <c r="AN46" s="14"/>
      <c r="AO46" s="14"/>
      <c r="AP46" s="14"/>
      <c r="AQ46" s="14"/>
      <c r="AR46" s="14"/>
      <c r="AS46" s="15"/>
    </row>
    <row r="47" ht="15.75" customHeight="1">
      <c r="A47" s="13" t="s">
        <v>48</v>
      </c>
      <c r="B47" s="8">
        <f t="shared" si="1"/>
        <v>2</v>
      </c>
      <c r="C47" s="1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>
        <v>2.0</v>
      </c>
      <c r="AL47" s="14"/>
      <c r="AM47" s="14"/>
      <c r="AN47" s="14"/>
      <c r="AO47" s="14"/>
      <c r="AP47" s="14"/>
      <c r="AQ47" s="14"/>
      <c r="AR47" s="14"/>
      <c r="AS47" s="15"/>
    </row>
    <row r="48" ht="15.75" customHeight="1">
      <c r="A48" s="13" t="s">
        <v>49</v>
      </c>
      <c r="B48" s="8">
        <f t="shared" si="1"/>
        <v>2</v>
      </c>
      <c r="C48" s="14"/>
      <c r="D48" s="14"/>
      <c r="E48" s="14"/>
      <c r="F48" s="14"/>
      <c r="G48" s="14"/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  <c r="AL48" s="14">
        <v>2.0</v>
      </c>
      <c r="AM48" s="14"/>
      <c r="AN48" s="14"/>
      <c r="AO48" s="14"/>
      <c r="AP48" s="14"/>
      <c r="AQ48" s="14"/>
      <c r="AR48" s="14"/>
      <c r="AS48" s="15"/>
    </row>
    <row r="49" ht="15.75" customHeight="1">
      <c r="A49" s="13" t="s">
        <v>50</v>
      </c>
      <c r="B49" s="8">
        <f t="shared" si="1"/>
        <v>2</v>
      </c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  <c r="AL49" s="14">
        <v>2.0</v>
      </c>
      <c r="AM49" s="14"/>
      <c r="AN49" s="14"/>
      <c r="AO49" s="14"/>
      <c r="AP49" s="14"/>
      <c r="AQ49" s="14"/>
      <c r="AR49" s="14"/>
      <c r="AS49" s="15"/>
    </row>
    <row r="50" ht="15.75" customHeight="1">
      <c r="A50" s="13" t="s">
        <v>51</v>
      </c>
      <c r="B50" s="8">
        <f t="shared" si="1"/>
        <v>2</v>
      </c>
      <c r="C50" s="14"/>
      <c r="D50" s="14"/>
      <c r="E50" s="14"/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  <c r="AL50" s="14">
        <v>2.0</v>
      </c>
      <c r="AM50" s="14"/>
      <c r="AN50" s="14"/>
      <c r="AO50" s="14"/>
      <c r="AP50" s="14"/>
      <c r="AQ50" s="14"/>
      <c r="AR50" s="14"/>
      <c r="AS50" s="15"/>
    </row>
    <row r="51" ht="15.75" customHeight="1">
      <c r="A51" s="13" t="s">
        <v>52</v>
      </c>
      <c r="B51" s="8">
        <f t="shared" si="1"/>
        <v>2</v>
      </c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  <c r="AL51" s="14">
        <v>2.0</v>
      </c>
      <c r="AM51" s="14"/>
      <c r="AN51" s="14"/>
      <c r="AO51" s="14"/>
      <c r="AP51" s="14"/>
      <c r="AQ51" s="14"/>
      <c r="AR51" s="14"/>
      <c r="AS51" s="15"/>
    </row>
    <row r="52" ht="15.75" customHeight="1">
      <c r="A52" s="16" t="s">
        <v>53</v>
      </c>
      <c r="B52" s="8">
        <f t="shared" si="1"/>
        <v>6</v>
      </c>
      <c r="C52" s="17">
        <v>6.0</v>
      </c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8"/>
    </row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2" width="18.63"/>
    <col customWidth="1" min="3" max="3" width="14.75"/>
    <col customWidth="1" min="4" max="4" width="9.38"/>
    <col customWidth="1" min="5" max="7" width="10.25"/>
    <col customWidth="1" min="8" max="27" width="8.63"/>
  </cols>
  <sheetData>
    <row r="1">
      <c r="A1" s="19" t="s">
        <v>0</v>
      </c>
      <c r="B1" s="2" t="s">
        <v>1</v>
      </c>
      <c r="C1" s="4">
        <v>45626.0</v>
      </c>
      <c r="D1" s="4">
        <v>45633.0</v>
      </c>
      <c r="E1" s="4">
        <v>45640.0</v>
      </c>
      <c r="F1" s="4">
        <v>45647.0</v>
      </c>
      <c r="G1" s="4">
        <v>45654.0</v>
      </c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</row>
    <row r="2">
      <c r="A2" s="1">
        <v>17.0</v>
      </c>
      <c r="B2" s="7">
        <f>SUM(B3:B335)</f>
        <v>53</v>
      </c>
      <c r="C2" s="8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8"/>
      <c r="AA2" s="8"/>
    </row>
    <row r="3">
      <c r="A3" s="11" t="s">
        <v>3</v>
      </c>
      <c r="B3" s="8">
        <f t="shared" ref="B3:B47" si="1">SUM(C3:CA3)</f>
        <v>9</v>
      </c>
      <c r="C3" s="8">
        <v>3.0</v>
      </c>
      <c r="D3" s="8">
        <v>3.0</v>
      </c>
      <c r="E3" s="8">
        <v>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</row>
    <row r="4">
      <c r="A4" s="11" t="s">
        <v>5</v>
      </c>
      <c r="B4" s="8">
        <f t="shared" si="1"/>
        <v>0</v>
      </c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</row>
    <row r="5">
      <c r="A5" s="11" t="s">
        <v>6</v>
      </c>
      <c r="B5" s="8">
        <f t="shared" si="1"/>
        <v>2</v>
      </c>
      <c r="C5" s="8"/>
      <c r="D5" s="8"/>
      <c r="E5" s="8"/>
      <c r="F5" s="8">
        <v>2.0</v>
      </c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</row>
    <row r="6">
      <c r="A6" s="11" t="s">
        <v>7</v>
      </c>
      <c r="B6" s="8">
        <f t="shared" si="1"/>
        <v>7</v>
      </c>
      <c r="C6" s="8"/>
      <c r="D6" s="8"/>
      <c r="E6" s="8">
        <v>3.0</v>
      </c>
      <c r="F6" s="8">
        <v>2.0</v>
      </c>
      <c r="G6" s="8">
        <v>2.0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</row>
    <row r="7">
      <c r="A7" s="11" t="s">
        <v>54</v>
      </c>
      <c r="B7" s="8">
        <f t="shared" si="1"/>
        <v>3</v>
      </c>
      <c r="C7" s="8"/>
      <c r="D7" s="8">
        <v>3.0</v>
      </c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</row>
    <row r="8">
      <c r="A8" s="11" t="s">
        <v>55</v>
      </c>
      <c r="B8" s="8">
        <f t="shared" si="1"/>
        <v>3</v>
      </c>
      <c r="C8" s="8"/>
      <c r="D8" s="8">
        <v>3.0</v>
      </c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</row>
    <row r="9">
      <c r="A9" s="11" t="s">
        <v>17</v>
      </c>
      <c r="B9" s="8">
        <f t="shared" si="1"/>
        <v>3</v>
      </c>
      <c r="C9" s="8"/>
      <c r="D9" s="8">
        <v>3.0</v>
      </c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</row>
    <row r="10">
      <c r="A10" s="11" t="s">
        <v>9</v>
      </c>
      <c r="B10" s="8">
        <f t="shared" si="1"/>
        <v>2</v>
      </c>
      <c r="C10" s="8"/>
      <c r="D10" s="8"/>
      <c r="E10" s="8"/>
      <c r="F10" s="8"/>
      <c r="G10" s="8">
        <v>2.0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</row>
    <row r="11">
      <c r="A11" s="11" t="s">
        <v>10</v>
      </c>
      <c r="B11" s="8">
        <f t="shared" si="1"/>
        <v>2</v>
      </c>
      <c r="C11" s="8"/>
      <c r="D11" s="8"/>
      <c r="E11" s="8"/>
      <c r="F11" s="8"/>
      <c r="G11" s="8">
        <v>2.0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</row>
    <row r="12">
      <c r="A12" s="11" t="s">
        <v>56</v>
      </c>
      <c r="B12" s="8">
        <f t="shared" si="1"/>
        <v>3</v>
      </c>
      <c r="C12" s="8">
        <v>3.0</v>
      </c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</row>
    <row r="13">
      <c r="A13" s="11" t="s">
        <v>57</v>
      </c>
      <c r="B13" s="8">
        <f t="shared" si="1"/>
        <v>3</v>
      </c>
      <c r="C13" s="8">
        <v>3.0</v>
      </c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</row>
    <row r="14">
      <c r="A14" s="11" t="s">
        <v>58</v>
      </c>
      <c r="B14" s="8">
        <f t="shared" si="1"/>
        <v>3</v>
      </c>
      <c r="C14" s="8">
        <v>3.0</v>
      </c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</row>
    <row r="15">
      <c r="A15" s="11" t="s">
        <v>59</v>
      </c>
      <c r="B15" s="8">
        <f t="shared" si="1"/>
        <v>3</v>
      </c>
      <c r="C15" s="8"/>
      <c r="D15" s="8"/>
      <c r="E15" s="8">
        <v>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</row>
    <row r="16">
      <c r="A16" s="11" t="s">
        <v>60</v>
      </c>
      <c r="B16" s="8">
        <f t="shared" si="1"/>
        <v>4</v>
      </c>
      <c r="C16" s="8"/>
      <c r="D16" s="8"/>
      <c r="E16" s="8"/>
      <c r="F16" s="8">
        <v>2.0</v>
      </c>
      <c r="G16" s="8">
        <v>2.0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</row>
    <row r="17">
      <c r="A17" s="11" t="s">
        <v>46</v>
      </c>
      <c r="B17" s="8">
        <f t="shared" si="1"/>
        <v>2</v>
      </c>
      <c r="C17" s="8"/>
      <c r="D17" s="8"/>
      <c r="E17" s="8"/>
      <c r="F17" s="8">
        <v>2.0</v>
      </c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</row>
    <row r="18">
      <c r="A18" s="11" t="s">
        <v>33</v>
      </c>
      <c r="B18" s="8">
        <f t="shared" si="1"/>
        <v>2</v>
      </c>
      <c r="C18" s="8"/>
      <c r="D18" s="8"/>
      <c r="E18" s="8"/>
      <c r="F18" s="8">
        <v>2.0</v>
      </c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</row>
    <row r="19">
      <c r="A19" s="11" t="s">
        <v>61</v>
      </c>
      <c r="B19" s="8">
        <f t="shared" si="1"/>
        <v>2</v>
      </c>
      <c r="C19" s="8"/>
      <c r="D19" s="8"/>
      <c r="E19" s="8"/>
      <c r="F19" s="8">
        <v>2.0</v>
      </c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</row>
    <row r="20">
      <c r="A20" s="11"/>
      <c r="B20" s="8">
        <f t="shared" si="1"/>
        <v>0</v>
      </c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</row>
    <row r="21" ht="15.75" customHeight="1">
      <c r="A21" s="11"/>
      <c r="B21" s="8">
        <f t="shared" si="1"/>
        <v>0</v>
      </c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</row>
    <row r="22" ht="15.75" customHeight="1">
      <c r="A22" s="11"/>
      <c r="B22" s="8">
        <f t="shared" si="1"/>
        <v>0</v>
      </c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</row>
    <row r="23" ht="15.75" customHeight="1">
      <c r="A23" s="11"/>
      <c r="B23" s="8">
        <f t="shared" si="1"/>
        <v>0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</row>
    <row r="24" ht="15.75" customHeight="1">
      <c r="A24" s="11"/>
      <c r="B24" s="8">
        <f t="shared" si="1"/>
        <v>0</v>
      </c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</row>
    <row r="25" ht="15.75" customHeight="1">
      <c r="A25" s="11"/>
      <c r="B25" s="8">
        <f t="shared" si="1"/>
        <v>0</v>
      </c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</row>
    <row r="26" ht="15.75" customHeight="1">
      <c r="A26" s="11"/>
      <c r="B26" s="8">
        <f t="shared" si="1"/>
        <v>0</v>
      </c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</row>
    <row r="27" ht="15.75" customHeight="1">
      <c r="A27" s="11"/>
      <c r="B27" s="8">
        <f t="shared" si="1"/>
        <v>0</v>
      </c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</row>
    <row r="28" ht="15.75" customHeight="1">
      <c r="A28" s="11"/>
      <c r="B28" s="8">
        <f t="shared" si="1"/>
        <v>0</v>
      </c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</row>
    <row r="29" ht="15.75" customHeight="1">
      <c r="A29" s="11"/>
      <c r="B29" s="8">
        <f t="shared" si="1"/>
        <v>0</v>
      </c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</row>
    <row r="30" ht="15.75" customHeight="1">
      <c r="A30" s="11"/>
      <c r="B30" s="8">
        <f t="shared" si="1"/>
        <v>0</v>
      </c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</row>
    <row r="31" ht="15.75" customHeight="1">
      <c r="A31" s="11"/>
      <c r="B31" s="8">
        <f t="shared" si="1"/>
        <v>0</v>
      </c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</row>
    <row r="32" ht="15.75" customHeight="1">
      <c r="A32" s="11"/>
      <c r="B32" s="8">
        <f t="shared" si="1"/>
        <v>0</v>
      </c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</row>
    <row r="33" ht="15.75" customHeight="1">
      <c r="A33" s="11"/>
      <c r="B33" s="8">
        <f t="shared" si="1"/>
        <v>0</v>
      </c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</row>
    <row r="34" ht="15.75" customHeight="1">
      <c r="A34" s="11"/>
      <c r="B34" s="8">
        <f t="shared" si="1"/>
        <v>0</v>
      </c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</row>
    <row r="35" ht="15.75" customHeight="1">
      <c r="A35" s="11"/>
      <c r="B35" s="8">
        <f t="shared" si="1"/>
        <v>0</v>
      </c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</row>
    <row r="36" ht="15.75" customHeight="1">
      <c r="A36" s="11"/>
      <c r="B36" s="8">
        <f t="shared" si="1"/>
        <v>0</v>
      </c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</row>
    <row r="37" ht="15.75" customHeight="1">
      <c r="A37" s="11"/>
      <c r="B37" s="8">
        <f t="shared" si="1"/>
        <v>0</v>
      </c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</row>
    <row r="38" ht="15.75" customHeight="1">
      <c r="A38" s="11"/>
      <c r="B38" s="8">
        <f t="shared" si="1"/>
        <v>0</v>
      </c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</row>
    <row r="39" ht="15.75" customHeight="1">
      <c r="A39" s="11"/>
      <c r="B39" s="8">
        <f t="shared" si="1"/>
        <v>0</v>
      </c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</row>
    <row r="40" ht="15.75" customHeight="1">
      <c r="A40" s="11"/>
      <c r="B40" s="8">
        <f t="shared" si="1"/>
        <v>0</v>
      </c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</row>
    <row r="41" ht="15.75" customHeight="1">
      <c r="A41" s="11"/>
      <c r="B41" s="8">
        <f t="shared" si="1"/>
        <v>0</v>
      </c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</row>
    <row r="42" ht="15.75" customHeight="1">
      <c r="A42" s="11"/>
      <c r="B42" s="8">
        <f t="shared" si="1"/>
        <v>0</v>
      </c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</row>
    <row r="43" ht="15.75" customHeight="1">
      <c r="A43" s="11"/>
      <c r="B43" s="8">
        <f t="shared" si="1"/>
        <v>0</v>
      </c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</row>
    <row r="44" ht="15.75" customHeight="1">
      <c r="A44" s="11"/>
      <c r="B44" s="8">
        <f t="shared" si="1"/>
        <v>0</v>
      </c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</row>
    <row r="45" ht="15.75" customHeight="1">
      <c r="A45" s="11"/>
      <c r="B45" s="8">
        <f t="shared" si="1"/>
        <v>0</v>
      </c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</row>
    <row r="46" ht="15.75" customHeight="1">
      <c r="A46" s="11"/>
      <c r="B46" s="8">
        <f t="shared" si="1"/>
        <v>0</v>
      </c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</row>
    <row r="47" ht="15.75" customHeight="1">
      <c r="A47" s="16"/>
      <c r="B47" s="8">
        <f t="shared" si="1"/>
        <v>0</v>
      </c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</row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1.0"/>
    <col customWidth="1" min="2" max="2" width="18.63"/>
    <col customWidth="1" min="3" max="4" width="14.75"/>
    <col customWidth="1" min="5" max="7" width="9.38"/>
    <col customWidth="1" min="8" max="27" width="8.63"/>
    <col customWidth="1" min="28" max="30" width="10.25"/>
    <col customWidth="1" min="31" max="31" width="10.38"/>
    <col customWidth="1" min="32" max="34" width="10.25"/>
    <col customWidth="1" min="35" max="36" width="10.38"/>
    <col customWidth="1" min="37" max="39" width="10.25"/>
    <col customWidth="1" min="40" max="41" width="10.38"/>
    <col customWidth="1" min="42" max="43" width="8.63"/>
    <col customWidth="1" min="44" max="46" width="10.25"/>
  </cols>
  <sheetData>
    <row r="1">
      <c r="A1" s="1" t="s">
        <v>0</v>
      </c>
      <c r="B1" s="2" t="s">
        <v>1</v>
      </c>
      <c r="C1" s="4">
        <v>45752.0</v>
      </c>
      <c r="D1" s="4">
        <v>45759.0</v>
      </c>
      <c r="E1" s="4">
        <v>45766.0</v>
      </c>
      <c r="F1" s="4">
        <v>45773.0</v>
      </c>
      <c r="G1" s="4">
        <v>45780.0</v>
      </c>
      <c r="H1" s="4">
        <v>45787.0</v>
      </c>
      <c r="I1" s="4">
        <v>45794.0</v>
      </c>
      <c r="J1" s="4">
        <v>45801.0</v>
      </c>
      <c r="K1" s="4">
        <v>45808.0</v>
      </c>
      <c r="L1" s="4">
        <v>45815.0</v>
      </c>
      <c r="M1" s="4">
        <v>45822.0</v>
      </c>
      <c r="N1" s="4">
        <v>45829.0</v>
      </c>
      <c r="O1" s="4">
        <v>45836.0</v>
      </c>
      <c r="P1" s="4">
        <v>45843.0</v>
      </c>
      <c r="Q1" s="4">
        <v>45850.0</v>
      </c>
      <c r="R1" s="4">
        <v>45857.0</v>
      </c>
      <c r="S1" s="4">
        <v>45864.0</v>
      </c>
      <c r="T1" s="4">
        <v>45871.0</v>
      </c>
      <c r="U1" s="4">
        <v>45878.0</v>
      </c>
      <c r="V1" s="4">
        <v>45885.0</v>
      </c>
      <c r="W1" s="4">
        <v>45892.0</v>
      </c>
      <c r="X1" s="4">
        <v>45899.0</v>
      </c>
      <c r="Y1" s="4">
        <v>45906.0</v>
      </c>
      <c r="Z1" s="4">
        <v>45913.0</v>
      </c>
      <c r="AA1" s="4">
        <v>45920.0</v>
      </c>
      <c r="AB1" s="4">
        <v>45927.0</v>
      </c>
      <c r="AC1" s="4">
        <v>45934.0</v>
      </c>
      <c r="AD1" s="4">
        <v>45941.0</v>
      </c>
      <c r="AE1" s="4">
        <v>45948.0</v>
      </c>
      <c r="AF1" s="4">
        <v>45955.0</v>
      </c>
      <c r="AG1" s="4">
        <v>45962.0</v>
      </c>
      <c r="AH1" s="4">
        <v>45969.0</v>
      </c>
      <c r="AI1" s="4">
        <v>45976.0</v>
      </c>
      <c r="AJ1" s="4">
        <v>45983.0</v>
      </c>
      <c r="AK1" s="4">
        <v>45990.0</v>
      </c>
      <c r="AL1" s="4">
        <v>45997.0</v>
      </c>
      <c r="AM1" s="4">
        <v>46004.0</v>
      </c>
      <c r="AN1" s="4">
        <v>46011.0</v>
      </c>
      <c r="AO1" s="4">
        <v>46018.0</v>
      </c>
      <c r="AP1" s="4"/>
      <c r="AQ1" s="4"/>
      <c r="AR1" s="4"/>
      <c r="AS1" s="4"/>
      <c r="AT1" s="6"/>
    </row>
    <row r="2">
      <c r="A2" s="1">
        <v>16.0</v>
      </c>
      <c r="B2" s="7">
        <f>SUM(B3:B315)</f>
        <v>774.75</v>
      </c>
      <c r="C2" s="8"/>
      <c r="D2" s="8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10"/>
    </row>
    <row r="3">
      <c r="A3" s="11" t="s">
        <v>3</v>
      </c>
      <c r="B3" s="8">
        <f t="shared" ref="B3:B200" si="1">SUM(C3:CB3)</f>
        <v>29.25</v>
      </c>
      <c r="C3" s="8">
        <v>3.0</v>
      </c>
      <c r="D3" s="8">
        <v>3.0</v>
      </c>
      <c r="E3" s="8">
        <v>1.0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>
        <v>2.0</v>
      </c>
      <c r="T3" s="8"/>
      <c r="U3" s="8"/>
      <c r="V3" s="8"/>
      <c r="W3" s="8"/>
      <c r="X3" s="8">
        <v>1.5</v>
      </c>
      <c r="Y3" s="8">
        <v>1.75</v>
      </c>
      <c r="Z3" s="8"/>
      <c r="AA3" s="8"/>
      <c r="AB3" s="8">
        <v>2.0</v>
      </c>
      <c r="AC3" s="8">
        <v>2.0</v>
      </c>
      <c r="AD3" s="8"/>
      <c r="AE3" s="20">
        <v>2.0</v>
      </c>
      <c r="AF3" s="20">
        <v>1.5</v>
      </c>
      <c r="AG3" s="20">
        <v>2.5</v>
      </c>
      <c r="AH3" s="20">
        <v>1.5</v>
      </c>
      <c r="AI3" s="21">
        <v>1.75</v>
      </c>
      <c r="AJ3" s="20">
        <v>2.0</v>
      </c>
      <c r="AK3" s="20">
        <v>1.75</v>
      </c>
      <c r="AL3" s="20" t="s">
        <v>62</v>
      </c>
      <c r="AM3" s="20" t="s">
        <v>62</v>
      </c>
      <c r="AN3" s="20" t="s">
        <v>63</v>
      </c>
      <c r="AO3" s="20" t="s">
        <v>62</v>
      </c>
      <c r="AP3" s="8"/>
      <c r="AQ3" s="8"/>
      <c r="AR3" s="8"/>
      <c r="AS3" s="8"/>
      <c r="AT3" s="10"/>
    </row>
    <row r="4">
      <c r="A4" s="11" t="s">
        <v>6</v>
      </c>
      <c r="B4" s="8">
        <f t="shared" si="1"/>
        <v>41</v>
      </c>
      <c r="C4" s="8"/>
      <c r="D4" s="8"/>
      <c r="E4" s="8">
        <v>1.5</v>
      </c>
      <c r="F4" s="8">
        <v>2.0</v>
      </c>
      <c r="G4" s="8"/>
      <c r="H4" s="8"/>
      <c r="I4" s="8"/>
      <c r="J4" s="8">
        <v>1.5</v>
      </c>
      <c r="K4" s="8"/>
      <c r="L4" s="8">
        <v>2.0</v>
      </c>
      <c r="M4" s="8"/>
      <c r="N4" s="8"/>
      <c r="O4" s="8">
        <v>1.5</v>
      </c>
      <c r="P4" s="8">
        <v>1.75</v>
      </c>
      <c r="Q4" s="8"/>
      <c r="R4" s="8">
        <v>2.0</v>
      </c>
      <c r="S4" s="8"/>
      <c r="T4" s="8"/>
      <c r="U4" s="8">
        <v>1.5</v>
      </c>
      <c r="V4" s="8">
        <v>1.5</v>
      </c>
      <c r="W4" s="8">
        <v>2.0</v>
      </c>
      <c r="X4" s="8"/>
      <c r="Y4" s="8"/>
      <c r="Z4" s="8">
        <v>1.25</v>
      </c>
      <c r="AA4" s="8">
        <v>2.0</v>
      </c>
      <c r="AB4" s="8"/>
      <c r="AC4" s="8"/>
      <c r="AD4" s="20">
        <v>2.0</v>
      </c>
      <c r="AE4" s="20">
        <v>2.0</v>
      </c>
      <c r="AF4" s="20">
        <v>2.0</v>
      </c>
      <c r="AG4" s="20">
        <v>1.5</v>
      </c>
      <c r="AH4" s="20">
        <v>2.25</v>
      </c>
      <c r="AI4" s="20">
        <v>2.0</v>
      </c>
      <c r="AJ4" s="20">
        <v>1.75</v>
      </c>
      <c r="AK4" s="20">
        <v>2.0</v>
      </c>
      <c r="AL4" s="20">
        <v>1.5</v>
      </c>
      <c r="AM4" s="20">
        <v>2.25</v>
      </c>
      <c r="AN4" s="20">
        <v>1.25</v>
      </c>
      <c r="AO4" s="8"/>
      <c r="AP4" s="8"/>
      <c r="AQ4" s="8"/>
      <c r="AR4" s="8"/>
      <c r="AS4" s="8"/>
      <c r="AT4" s="10"/>
    </row>
    <row r="5">
      <c r="A5" s="11" t="s">
        <v>7</v>
      </c>
      <c r="B5" s="8">
        <f t="shared" si="1"/>
        <v>39.75</v>
      </c>
      <c r="C5" s="8"/>
      <c r="D5" s="8"/>
      <c r="E5" s="8">
        <v>1.5</v>
      </c>
      <c r="F5" s="8"/>
      <c r="G5" s="8">
        <v>2.0</v>
      </c>
      <c r="H5" s="8"/>
      <c r="I5" s="8"/>
      <c r="J5" s="8"/>
      <c r="K5" s="8">
        <v>1.75</v>
      </c>
      <c r="L5" s="8">
        <v>2.0</v>
      </c>
      <c r="M5" s="8"/>
      <c r="N5" s="8"/>
      <c r="O5" s="8">
        <v>1.5</v>
      </c>
      <c r="P5" s="8"/>
      <c r="Q5" s="8">
        <v>1.5</v>
      </c>
      <c r="R5" s="8">
        <v>2.0</v>
      </c>
      <c r="S5" s="8"/>
      <c r="T5" s="8">
        <v>2.0</v>
      </c>
      <c r="U5" s="8">
        <v>1.5</v>
      </c>
      <c r="V5" s="8">
        <v>1.5</v>
      </c>
      <c r="W5" s="8">
        <v>2.0</v>
      </c>
      <c r="X5" s="8"/>
      <c r="Y5" s="8">
        <v>1.75</v>
      </c>
      <c r="Z5" s="8">
        <v>1.25</v>
      </c>
      <c r="AA5" s="8"/>
      <c r="AB5" s="8"/>
      <c r="AC5" s="8"/>
      <c r="AD5" s="20">
        <v>2.0</v>
      </c>
      <c r="AE5" s="20">
        <v>2.0</v>
      </c>
      <c r="AF5" s="20">
        <v>2.0</v>
      </c>
      <c r="AG5" s="20">
        <v>1.5</v>
      </c>
      <c r="AH5" s="8"/>
      <c r="AI5" s="21">
        <v>2.0</v>
      </c>
      <c r="AJ5" s="20">
        <v>1.75</v>
      </c>
      <c r="AK5" s="20">
        <v>2.0</v>
      </c>
      <c r="AL5" s="20">
        <v>1.5</v>
      </c>
      <c r="AM5" s="8"/>
      <c r="AN5" s="20">
        <v>1.25</v>
      </c>
      <c r="AO5" s="20">
        <v>1.5</v>
      </c>
      <c r="AP5" s="8"/>
      <c r="AQ5" s="8"/>
      <c r="AR5" s="8"/>
      <c r="AS5" s="8"/>
      <c r="AT5" s="10"/>
    </row>
    <row r="6">
      <c r="A6" s="11" t="s">
        <v>51</v>
      </c>
      <c r="B6" s="8">
        <f t="shared" si="1"/>
        <v>7</v>
      </c>
      <c r="C6" s="8"/>
      <c r="D6" s="8"/>
      <c r="E6" s="8"/>
      <c r="F6" s="8"/>
      <c r="G6" s="8"/>
      <c r="H6" s="8"/>
      <c r="I6" s="8"/>
      <c r="J6" s="8"/>
      <c r="K6" s="8"/>
      <c r="L6" s="8"/>
      <c r="M6" s="8">
        <v>2.0</v>
      </c>
      <c r="N6" s="8"/>
      <c r="O6" s="8"/>
      <c r="P6" s="8"/>
      <c r="Q6" s="8">
        <v>1.5</v>
      </c>
      <c r="R6" s="8">
        <v>2.0</v>
      </c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20">
        <v>1.5</v>
      </c>
      <c r="AM6" s="8"/>
      <c r="AN6" s="8"/>
      <c r="AO6" s="8"/>
      <c r="AP6" s="8"/>
      <c r="AQ6" s="8"/>
      <c r="AR6" s="8"/>
      <c r="AS6" s="8"/>
      <c r="AT6" s="10"/>
    </row>
    <row r="7">
      <c r="A7" s="11" t="s">
        <v>13</v>
      </c>
      <c r="B7" s="8">
        <f t="shared" si="1"/>
        <v>0</v>
      </c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  <c r="AJ7" s="8"/>
      <c r="AK7" s="8"/>
      <c r="AL7" s="8"/>
      <c r="AM7" s="8"/>
      <c r="AN7" s="8"/>
      <c r="AO7" s="8"/>
      <c r="AP7" s="8"/>
      <c r="AQ7" s="8"/>
      <c r="AR7" s="8"/>
      <c r="AS7" s="8"/>
      <c r="AT7" s="10"/>
    </row>
    <row r="8">
      <c r="A8" s="11" t="s">
        <v>55</v>
      </c>
      <c r="B8" s="8">
        <f t="shared" si="1"/>
        <v>0</v>
      </c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  <c r="AO8" s="8"/>
      <c r="AP8" s="8"/>
      <c r="AQ8" s="8"/>
      <c r="AR8" s="8"/>
      <c r="AS8" s="8"/>
      <c r="AT8" s="10"/>
    </row>
    <row r="9">
      <c r="A9" s="11" t="s">
        <v>17</v>
      </c>
      <c r="B9" s="8">
        <f t="shared" si="1"/>
        <v>0</v>
      </c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8"/>
      <c r="AM9" s="8"/>
      <c r="AN9" s="8"/>
      <c r="AO9" s="8"/>
      <c r="AP9" s="8"/>
      <c r="AQ9" s="8"/>
      <c r="AR9" s="8"/>
      <c r="AS9" s="8"/>
      <c r="AT9" s="10"/>
    </row>
    <row r="10">
      <c r="A10" s="11" t="s">
        <v>64</v>
      </c>
      <c r="B10" s="8">
        <f t="shared" si="1"/>
        <v>0</v>
      </c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  <c r="AJ10" s="8"/>
      <c r="AK10" s="8"/>
      <c r="AL10" s="8"/>
      <c r="AM10" s="8"/>
      <c r="AN10" s="8"/>
      <c r="AO10" s="8"/>
      <c r="AP10" s="8"/>
      <c r="AQ10" s="8"/>
      <c r="AR10" s="8"/>
      <c r="AS10" s="8"/>
      <c r="AT10" s="10"/>
    </row>
    <row r="11">
      <c r="A11" s="11" t="s">
        <v>65</v>
      </c>
      <c r="B11" s="8">
        <f t="shared" si="1"/>
        <v>0</v>
      </c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  <c r="AN11" s="8"/>
      <c r="AO11" s="8"/>
      <c r="AP11" s="8"/>
      <c r="AQ11" s="8"/>
      <c r="AR11" s="8"/>
      <c r="AS11" s="8"/>
      <c r="AT11" s="10"/>
    </row>
    <row r="12">
      <c r="A12" s="11" t="s">
        <v>66</v>
      </c>
      <c r="B12" s="8">
        <f t="shared" si="1"/>
        <v>0</v>
      </c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  <c r="AO12" s="8"/>
      <c r="AP12" s="8"/>
      <c r="AQ12" s="8"/>
      <c r="AR12" s="8"/>
      <c r="AS12" s="8"/>
      <c r="AT12" s="10"/>
    </row>
    <row r="13">
      <c r="A13" s="11" t="s">
        <v>23</v>
      </c>
      <c r="B13" s="8">
        <f t="shared" si="1"/>
        <v>19.75</v>
      </c>
      <c r="C13" s="8">
        <v>2.0</v>
      </c>
      <c r="D13" s="8">
        <v>2.0</v>
      </c>
      <c r="E13" s="8"/>
      <c r="F13" s="8"/>
      <c r="G13" s="8">
        <v>2.0</v>
      </c>
      <c r="H13" s="8"/>
      <c r="I13" s="8">
        <v>3.0</v>
      </c>
      <c r="J13" s="8"/>
      <c r="K13" s="8">
        <v>1.5</v>
      </c>
      <c r="L13" s="8">
        <v>2.0</v>
      </c>
      <c r="M13" s="8">
        <v>2.0</v>
      </c>
      <c r="N13" s="8">
        <v>1.5</v>
      </c>
      <c r="O13" s="8"/>
      <c r="P13" s="8">
        <v>1.75</v>
      </c>
      <c r="Q13" s="8"/>
      <c r="R13" s="8"/>
      <c r="S13" s="8"/>
      <c r="T13" s="8">
        <v>2.0</v>
      </c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  <c r="AO13" s="8"/>
      <c r="AP13" s="8"/>
      <c r="AQ13" s="8"/>
      <c r="AR13" s="8"/>
      <c r="AS13" s="8"/>
      <c r="AT13" s="10"/>
    </row>
    <row r="14">
      <c r="A14" s="11" t="s">
        <v>24</v>
      </c>
      <c r="B14" s="8">
        <f t="shared" si="1"/>
        <v>0</v>
      </c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10"/>
    </row>
    <row r="15">
      <c r="A15" s="11" t="s">
        <v>33</v>
      </c>
      <c r="B15" s="8">
        <f t="shared" si="1"/>
        <v>9.25</v>
      </c>
      <c r="C15" s="8">
        <v>2.0</v>
      </c>
      <c r="D15" s="8"/>
      <c r="E15" s="8"/>
      <c r="F15" s="8"/>
      <c r="G15" s="8"/>
      <c r="H15" s="8"/>
      <c r="I15" s="8">
        <v>1.5</v>
      </c>
      <c r="J15" s="8"/>
      <c r="K15" s="8"/>
      <c r="L15" s="8"/>
      <c r="M15" s="8">
        <v>2.0</v>
      </c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21">
        <v>2.0</v>
      </c>
      <c r="AJ15" s="20">
        <v>1.75</v>
      </c>
      <c r="AK15" s="8"/>
      <c r="AL15" s="8"/>
      <c r="AM15" s="8"/>
      <c r="AN15" s="8"/>
      <c r="AO15" s="8"/>
      <c r="AP15" s="8"/>
      <c r="AQ15" s="8"/>
      <c r="AR15" s="8"/>
      <c r="AS15" s="8"/>
      <c r="AT15" s="10"/>
    </row>
    <row r="16">
      <c r="A16" s="11" t="s">
        <v>61</v>
      </c>
      <c r="B16" s="8">
        <f t="shared" si="1"/>
        <v>9.25</v>
      </c>
      <c r="C16" s="8">
        <v>2.0</v>
      </c>
      <c r="D16" s="8"/>
      <c r="E16" s="8"/>
      <c r="F16" s="8"/>
      <c r="G16" s="8"/>
      <c r="H16" s="8"/>
      <c r="I16" s="8">
        <v>1.5</v>
      </c>
      <c r="J16" s="8"/>
      <c r="K16" s="8"/>
      <c r="L16" s="8"/>
      <c r="M16" s="8">
        <v>2.0</v>
      </c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21">
        <v>2.0</v>
      </c>
      <c r="AJ16" s="20">
        <v>1.75</v>
      </c>
      <c r="AK16" s="8"/>
      <c r="AL16" s="8"/>
      <c r="AM16" s="8"/>
      <c r="AN16" s="8"/>
      <c r="AO16" s="8"/>
      <c r="AP16" s="8"/>
      <c r="AQ16" s="8"/>
      <c r="AR16" s="8"/>
      <c r="AS16" s="8"/>
      <c r="AT16" s="10"/>
    </row>
    <row r="17">
      <c r="A17" s="11" t="s">
        <v>67</v>
      </c>
      <c r="B17" s="8">
        <f t="shared" si="1"/>
        <v>1.5</v>
      </c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>
        <v>1.5</v>
      </c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  <c r="AL17" s="8"/>
      <c r="AM17" s="8"/>
      <c r="AN17" s="8"/>
      <c r="AO17" s="8"/>
      <c r="AP17" s="8"/>
      <c r="AQ17" s="8"/>
      <c r="AR17" s="8"/>
      <c r="AS17" s="8"/>
      <c r="AT17" s="10"/>
    </row>
    <row r="18">
      <c r="A18" s="11" t="s">
        <v>68</v>
      </c>
      <c r="B18" s="8">
        <f t="shared" si="1"/>
        <v>0</v>
      </c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10"/>
    </row>
    <row r="19">
      <c r="A19" s="11" t="s">
        <v>69</v>
      </c>
      <c r="B19" s="8">
        <f t="shared" si="1"/>
        <v>38.5</v>
      </c>
      <c r="C19" s="8"/>
      <c r="D19" s="8"/>
      <c r="E19" s="8"/>
      <c r="F19" s="8">
        <v>1.5</v>
      </c>
      <c r="G19" s="8">
        <v>2.0</v>
      </c>
      <c r="H19" s="8"/>
      <c r="I19" s="8"/>
      <c r="J19" s="8"/>
      <c r="K19" s="8"/>
      <c r="L19" s="8"/>
      <c r="M19" s="8"/>
      <c r="N19" s="8">
        <v>1.5</v>
      </c>
      <c r="O19" s="8"/>
      <c r="P19" s="8">
        <v>1.75</v>
      </c>
      <c r="Q19" s="8">
        <v>1.5</v>
      </c>
      <c r="R19" s="8">
        <v>2.0</v>
      </c>
      <c r="S19" s="8">
        <v>2.0</v>
      </c>
      <c r="T19" s="8">
        <v>2.0</v>
      </c>
      <c r="U19" s="8">
        <v>1.5</v>
      </c>
      <c r="V19" s="8">
        <v>1.5</v>
      </c>
      <c r="W19" s="8">
        <v>2.0</v>
      </c>
      <c r="X19" s="8"/>
      <c r="Y19" s="8">
        <v>1.75</v>
      </c>
      <c r="Z19" s="8"/>
      <c r="AA19" s="8"/>
      <c r="AB19" s="8">
        <v>2.0</v>
      </c>
      <c r="AC19" s="8">
        <v>1.75</v>
      </c>
      <c r="AD19" s="8"/>
      <c r="AE19" s="20">
        <v>1.75</v>
      </c>
      <c r="AF19" s="20">
        <v>2.0</v>
      </c>
      <c r="AG19" s="20">
        <v>2.5</v>
      </c>
      <c r="AH19" s="20">
        <v>2.25</v>
      </c>
      <c r="AI19" s="20">
        <v>2.0</v>
      </c>
      <c r="AJ19" s="20">
        <v>1.75</v>
      </c>
      <c r="AK19" s="8"/>
      <c r="AL19" s="20">
        <v>1.5</v>
      </c>
      <c r="AM19" s="8"/>
      <c r="AN19" s="8"/>
      <c r="AO19" s="8"/>
      <c r="AP19" s="8"/>
      <c r="AQ19" s="8"/>
      <c r="AR19" s="8"/>
      <c r="AS19" s="8"/>
      <c r="AT19" s="10"/>
    </row>
    <row r="20">
      <c r="A20" s="11" t="s">
        <v>70</v>
      </c>
      <c r="B20" s="8">
        <f t="shared" si="1"/>
        <v>0</v>
      </c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  <c r="AO20" s="8"/>
      <c r="AP20" s="8"/>
      <c r="AQ20" s="8"/>
      <c r="AR20" s="8"/>
      <c r="AS20" s="8"/>
      <c r="AT20" s="10"/>
    </row>
    <row r="21" ht="15.75" customHeight="1">
      <c r="A21" s="11" t="s">
        <v>52</v>
      </c>
      <c r="B21" s="8">
        <f t="shared" si="1"/>
        <v>0</v>
      </c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  <c r="AJ21" s="8"/>
      <c r="AK21" s="8"/>
      <c r="AL21" s="8"/>
      <c r="AM21" s="8"/>
      <c r="AN21" s="8"/>
      <c r="AO21" s="8"/>
      <c r="AP21" s="8"/>
      <c r="AQ21" s="8"/>
      <c r="AR21" s="8"/>
      <c r="AS21" s="8"/>
      <c r="AT21" s="10"/>
    </row>
    <row r="22" ht="15.75" customHeight="1">
      <c r="A22" s="11" t="s">
        <v>16</v>
      </c>
      <c r="B22" s="8">
        <f t="shared" si="1"/>
        <v>0</v>
      </c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  <c r="AO22" s="8"/>
      <c r="AP22" s="8"/>
      <c r="AQ22" s="8"/>
      <c r="AR22" s="8"/>
      <c r="AS22" s="8"/>
      <c r="AT22" s="10"/>
    </row>
    <row r="23" ht="15.75" customHeight="1">
      <c r="A23" s="11" t="s">
        <v>46</v>
      </c>
      <c r="B23" s="8">
        <f t="shared" si="1"/>
        <v>0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  <c r="AJ23" s="8"/>
      <c r="AK23" s="8"/>
      <c r="AL23" s="8"/>
      <c r="AM23" s="8"/>
      <c r="AN23" s="8"/>
      <c r="AO23" s="8"/>
      <c r="AP23" s="8"/>
      <c r="AQ23" s="8"/>
      <c r="AR23" s="8"/>
      <c r="AS23" s="8"/>
      <c r="AT23" s="10"/>
    </row>
    <row r="24" ht="15.75" customHeight="1">
      <c r="A24" s="11" t="s">
        <v>71</v>
      </c>
      <c r="B24" s="8">
        <f t="shared" si="1"/>
        <v>0</v>
      </c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  <c r="AO24" s="8"/>
      <c r="AP24" s="8"/>
      <c r="AQ24" s="8"/>
      <c r="AR24" s="8"/>
      <c r="AS24" s="8"/>
      <c r="AT24" s="10"/>
    </row>
    <row r="25" ht="15.75" customHeight="1">
      <c r="A25" s="11" t="s">
        <v>72</v>
      </c>
      <c r="B25" s="8">
        <f t="shared" si="1"/>
        <v>0</v>
      </c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  <c r="AT25" s="10"/>
    </row>
    <row r="26" ht="15.75" customHeight="1">
      <c r="A26" s="11" t="s">
        <v>48</v>
      </c>
      <c r="B26" s="8">
        <f t="shared" si="1"/>
        <v>4.5</v>
      </c>
      <c r="C26" s="8"/>
      <c r="D26" s="8"/>
      <c r="E26" s="8"/>
      <c r="F26" s="8">
        <v>1.5</v>
      </c>
      <c r="G26" s="8"/>
      <c r="H26" s="8"/>
      <c r="I26" s="8">
        <v>1.5</v>
      </c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>
        <v>1.5</v>
      </c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8"/>
      <c r="AJ26" s="8"/>
      <c r="AK26" s="8"/>
      <c r="AL26" s="8"/>
      <c r="AM26" s="8"/>
      <c r="AN26" s="8"/>
      <c r="AO26" s="8"/>
      <c r="AP26" s="8"/>
      <c r="AQ26" s="8"/>
      <c r="AR26" s="8"/>
      <c r="AS26" s="8"/>
      <c r="AT26" s="10"/>
    </row>
    <row r="27" ht="15.75" customHeight="1">
      <c r="A27" s="11" t="s">
        <v>41</v>
      </c>
      <c r="B27" s="8">
        <f t="shared" si="1"/>
        <v>1.5</v>
      </c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>
        <v>1.5</v>
      </c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I27" s="8"/>
      <c r="AJ27" s="8"/>
      <c r="AK27" s="8"/>
      <c r="AL27" s="8"/>
      <c r="AM27" s="8"/>
      <c r="AN27" s="8"/>
      <c r="AO27" s="8"/>
      <c r="AP27" s="8"/>
      <c r="AQ27" s="8"/>
      <c r="AR27" s="8"/>
      <c r="AS27" s="8"/>
      <c r="AT27" s="10"/>
    </row>
    <row r="28" ht="15.75" customHeight="1">
      <c r="A28" s="11" t="s">
        <v>40</v>
      </c>
      <c r="B28" s="8">
        <f t="shared" si="1"/>
        <v>3.25</v>
      </c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>
        <v>2.0</v>
      </c>
      <c r="AB28" s="8"/>
      <c r="AC28" s="8"/>
      <c r="AD28" s="8"/>
      <c r="AE28" s="8"/>
      <c r="AF28" s="8"/>
      <c r="AG28" s="8"/>
      <c r="AH28" s="8"/>
      <c r="AI28" s="8"/>
      <c r="AJ28" s="8"/>
      <c r="AK28" s="8"/>
      <c r="AL28" s="8"/>
      <c r="AM28" s="8"/>
      <c r="AN28" s="20">
        <v>1.25</v>
      </c>
      <c r="AO28" s="8"/>
      <c r="AP28" s="8"/>
      <c r="AQ28" s="8"/>
      <c r="AR28" s="8"/>
      <c r="AS28" s="8"/>
      <c r="AT28" s="10"/>
    </row>
    <row r="29" ht="15.75" customHeight="1">
      <c r="A29" s="11" t="s">
        <v>10</v>
      </c>
      <c r="B29" s="8">
        <f t="shared" si="1"/>
        <v>3.5</v>
      </c>
      <c r="C29" s="8"/>
      <c r="D29" s="8">
        <v>2.0</v>
      </c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20">
        <v>1.5</v>
      </c>
      <c r="AG29" s="8"/>
      <c r="AH29" s="8"/>
      <c r="AI29" s="8"/>
      <c r="AJ29" s="8"/>
      <c r="AK29" s="8"/>
      <c r="AL29" s="8"/>
      <c r="AM29" s="8"/>
      <c r="AN29" s="8"/>
      <c r="AO29" s="8"/>
      <c r="AP29" s="8"/>
      <c r="AQ29" s="8"/>
      <c r="AR29" s="8"/>
      <c r="AS29" s="8"/>
      <c r="AT29" s="10"/>
    </row>
    <row r="30" ht="15.75" customHeight="1">
      <c r="A30" s="11" t="s">
        <v>9</v>
      </c>
      <c r="B30" s="8">
        <f t="shared" si="1"/>
        <v>2</v>
      </c>
      <c r="C30" s="8"/>
      <c r="D30" s="8">
        <v>2.0</v>
      </c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  <c r="AJ30" s="8"/>
      <c r="AK30" s="8"/>
      <c r="AL30" s="8"/>
      <c r="AM30" s="8"/>
      <c r="AN30" s="8"/>
      <c r="AO30" s="8"/>
      <c r="AP30" s="8"/>
      <c r="AQ30" s="8"/>
      <c r="AR30" s="8"/>
      <c r="AS30" s="8"/>
      <c r="AT30" s="10"/>
    </row>
    <row r="31" ht="15.75" customHeight="1">
      <c r="A31" s="11" t="s">
        <v>73</v>
      </c>
      <c r="B31" s="8">
        <f t="shared" si="1"/>
        <v>0</v>
      </c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  <c r="AO31" s="8"/>
      <c r="AP31" s="8"/>
      <c r="AQ31" s="8"/>
      <c r="AR31" s="8"/>
      <c r="AS31" s="8"/>
      <c r="AT31" s="10"/>
    </row>
    <row r="32" ht="15.75" customHeight="1">
      <c r="A32" s="11" t="s">
        <v>31</v>
      </c>
      <c r="B32" s="8">
        <f t="shared" si="1"/>
        <v>2</v>
      </c>
      <c r="C32" s="8"/>
      <c r="D32" s="8"/>
      <c r="E32" s="8"/>
      <c r="F32" s="8"/>
      <c r="G32" s="8"/>
      <c r="H32" s="8"/>
      <c r="I32" s="8"/>
      <c r="J32" s="8"/>
      <c r="K32" s="8"/>
      <c r="L32" s="8"/>
      <c r="M32" s="8">
        <v>2.0</v>
      </c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  <c r="AO32" s="8"/>
      <c r="AP32" s="8"/>
      <c r="AQ32" s="8"/>
      <c r="AR32" s="8"/>
      <c r="AS32" s="8"/>
      <c r="AT32" s="10"/>
    </row>
    <row r="33" ht="15.75" customHeight="1">
      <c r="A33" s="11" t="s">
        <v>74</v>
      </c>
      <c r="B33" s="8">
        <f t="shared" si="1"/>
        <v>0</v>
      </c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  <c r="AL33" s="8"/>
      <c r="AM33" s="8"/>
      <c r="AN33" s="8"/>
      <c r="AO33" s="8"/>
      <c r="AP33" s="8"/>
      <c r="AQ33" s="8"/>
      <c r="AR33" s="8"/>
      <c r="AS33" s="8"/>
      <c r="AT33" s="10"/>
    </row>
    <row r="34" ht="15.75" customHeight="1">
      <c r="A34" s="11" t="s">
        <v>75</v>
      </c>
      <c r="B34" s="8">
        <f t="shared" si="1"/>
        <v>0</v>
      </c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8"/>
      <c r="AJ34" s="8"/>
      <c r="AK34" s="8"/>
      <c r="AL34" s="8"/>
      <c r="AM34" s="8"/>
      <c r="AN34" s="8"/>
      <c r="AO34" s="8"/>
      <c r="AP34" s="8"/>
      <c r="AQ34" s="8"/>
      <c r="AR34" s="8"/>
      <c r="AS34" s="8"/>
      <c r="AT34" s="10"/>
    </row>
    <row r="35" ht="15.75" customHeight="1">
      <c r="A35" s="11" t="s">
        <v>15</v>
      </c>
      <c r="B35" s="8">
        <f t="shared" si="1"/>
        <v>4.5</v>
      </c>
      <c r="C35" s="8"/>
      <c r="D35" s="8"/>
      <c r="E35" s="8">
        <v>1.0</v>
      </c>
      <c r="F35" s="8"/>
      <c r="G35" s="8">
        <v>2.0</v>
      </c>
      <c r="H35" s="8"/>
      <c r="I35" s="8"/>
      <c r="J35" s="8"/>
      <c r="K35" s="8"/>
      <c r="L35" s="8"/>
      <c r="M35" s="8"/>
      <c r="N35" s="8"/>
      <c r="O35" s="8">
        <v>1.5</v>
      </c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8"/>
      <c r="AH35" s="8"/>
      <c r="AI35" s="8"/>
      <c r="AJ35" s="8"/>
      <c r="AK35" s="8"/>
      <c r="AL35" s="8"/>
      <c r="AM35" s="8"/>
      <c r="AN35" s="8"/>
      <c r="AO35" s="8"/>
      <c r="AP35" s="8"/>
      <c r="AQ35" s="8"/>
      <c r="AR35" s="8"/>
      <c r="AS35" s="8"/>
      <c r="AT35" s="10"/>
    </row>
    <row r="36" ht="15.75" customHeight="1">
      <c r="A36" s="11" t="s">
        <v>12</v>
      </c>
      <c r="B36" s="8">
        <f t="shared" si="1"/>
        <v>4</v>
      </c>
      <c r="C36" s="8">
        <v>2.0</v>
      </c>
      <c r="D36" s="8"/>
      <c r="E36" s="8"/>
      <c r="F36" s="8"/>
      <c r="G36" s="8">
        <v>2.0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  <c r="AI36" s="8"/>
      <c r="AJ36" s="8"/>
      <c r="AK36" s="8"/>
      <c r="AL36" s="8"/>
      <c r="AM36" s="8"/>
      <c r="AN36" s="8"/>
      <c r="AO36" s="8"/>
      <c r="AP36" s="8"/>
      <c r="AQ36" s="8"/>
      <c r="AR36" s="8"/>
      <c r="AS36" s="8"/>
      <c r="AT36" s="10"/>
    </row>
    <row r="37" ht="15.75" customHeight="1">
      <c r="A37" s="11" t="s">
        <v>76</v>
      </c>
      <c r="B37" s="8">
        <f t="shared" si="1"/>
        <v>0</v>
      </c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I37" s="8"/>
      <c r="AJ37" s="8"/>
      <c r="AK37" s="8"/>
      <c r="AL37" s="8"/>
      <c r="AM37" s="8"/>
      <c r="AN37" s="8"/>
      <c r="AO37" s="8"/>
      <c r="AP37" s="8"/>
      <c r="AQ37" s="8"/>
      <c r="AR37" s="8"/>
      <c r="AS37" s="8"/>
      <c r="AT37" s="10"/>
    </row>
    <row r="38" ht="15.75" customHeight="1">
      <c r="A38" s="11" t="s">
        <v>77</v>
      </c>
      <c r="B38" s="8">
        <f t="shared" si="1"/>
        <v>8.5</v>
      </c>
      <c r="C38" s="8">
        <v>2.0</v>
      </c>
      <c r="D38" s="8"/>
      <c r="E38" s="8">
        <v>1.0</v>
      </c>
      <c r="F38" s="8">
        <v>1.5</v>
      </c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>
        <v>2.0</v>
      </c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I38" s="8"/>
      <c r="AJ38" s="8"/>
      <c r="AK38" s="20">
        <v>2.0</v>
      </c>
      <c r="AL38" s="8"/>
      <c r="AM38" s="8"/>
      <c r="AN38" s="8"/>
      <c r="AO38" s="8"/>
      <c r="AP38" s="8"/>
      <c r="AQ38" s="8"/>
      <c r="AR38" s="8"/>
      <c r="AS38" s="8"/>
      <c r="AT38" s="10"/>
    </row>
    <row r="39" ht="15.75" customHeight="1">
      <c r="A39" s="11" t="s">
        <v>78</v>
      </c>
      <c r="B39" s="8">
        <f t="shared" si="1"/>
        <v>0</v>
      </c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  <c r="AF39" s="8"/>
      <c r="AG39" s="8"/>
      <c r="AH39" s="8"/>
      <c r="AI39" s="8"/>
      <c r="AJ39" s="8"/>
      <c r="AK39" s="8"/>
      <c r="AL39" s="8"/>
      <c r="AM39" s="8"/>
      <c r="AN39" s="8"/>
      <c r="AO39" s="8"/>
      <c r="AP39" s="8"/>
      <c r="AQ39" s="8"/>
      <c r="AR39" s="8"/>
      <c r="AS39" s="8"/>
      <c r="AT39" s="10"/>
    </row>
    <row r="40" ht="15.75" customHeight="1">
      <c r="A40" s="11" t="s">
        <v>79</v>
      </c>
      <c r="B40" s="8">
        <f t="shared" si="1"/>
        <v>15</v>
      </c>
      <c r="C40" s="8">
        <v>2.0</v>
      </c>
      <c r="D40" s="8">
        <v>2.0</v>
      </c>
      <c r="E40" s="8"/>
      <c r="F40" s="8"/>
      <c r="G40" s="8"/>
      <c r="H40" s="8"/>
      <c r="I40" s="8"/>
      <c r="J40" s="8">
        <v>1.25</v>
      </c>
      <c r="K40" s="8"/>
      <c r="L40" s="8">
        <v>2.0</v>
      </c>
      <c r="M40" s="8"/>
      <c r="N40" s="8"/>
      <c r="O40" s="8"/>
      <c r="P40" s="8"/>
      <c r="Q40" s="8"/>
      <c r="R40" s="8">
        <v>2.0</v>
      </c>
      <c r="S40" s="8"/>
      <c r="T40" s="8"/>
      <c r="U40" s="8">
        <v>1.5</v>
      </c>
      <c r="V40" s="8"/>
      <c r="W40" s="8"/>
      <c r="X40" s="8"/>
      <c r="Y40" s="8">
        <v>1.75</v>
      </c>
      <c r="Z40" s="8"/>
      <c r="AA40" s="8"/>
      <c r="AB40" s="8"/>
      <c r="AC40" s="8"/>
      <c r="AD40" s="8"/>
      <c r="AE40" s="8"/>
      <c r="AF40" s="8"/>
      <c r="AG40" s="20">
        <v>2.5</v>
      </c>
      <c r="AH40" s="8"/>
      <c r="AI40" s="8"/>
      <c r="AJ40" s="8"/>
      <c r="AK40" s="8"/>
      <c r="AL40" s="8"/>
      <c r="AM40" s="8"/>
      <c r="AN40" s="8"/>
      <c r="AO40" s="8"/>
      <c r="AP40" s="8"/>
      <c r="AQ40" s="8"/>
      <c r="AR40" s="8"/>
      <c r="AS40" s="8"/>
      <c r="AT40" s="10"/>
    </row>
    <row r="41" ht="15.75" customHeight="1">
      <c r="A41" s="11" t="s">
        <v>80</v>
      </c>
      <c r="B41" s="8">
        <f t="shared" si="1"/>
        <v>0</v>
      </c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I41" s="8"/>
      <c r="AJ41" s="8"/>
      <c r="AK41" s="8"/>
      <c r="AL41" s="8"/>
      <c r="AM41" s="8"/>
      <c r="AN41" s="8"/>
      <c r="AO41" s="8"/>
      <c r="AP41" s="8"/>
      <c r="AQ41" s="8"/>
      <c r="AR41" s="8"/>
      <c r="AS41" s="8"/>
      <c r="AT41" s="10"/>
    </row>
    <row r="42" ht="15.75" customHeight="1">
      <c r="A42" s="11" t="s">
        <v>81</v>
      </c>
      <c r="B42" s="8">
        <f t="shared" si="1"/>
        <v>0</v>
      </c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I42" s="8"/>
      <c r="AJ42" s="8"/>
      <c r="AK42" s="8"/>
      <c r="AL42" s="8"/>
      <c r="AM42" s="8"/>
      <c r="AN42" s="8"/>
      <c r="AO42" s="8"/>
      <c r="AP42" s="8"/>
      <c r="AQ42" s="8"/>
      <c r="AR42" s="8"/>
      <c r="AS42" s="8"/>
      <c r="AT42" s="10"/>
    </row>
    <row r="43" ht="15.75" customHeight="1">
      <c r="A43" s="11" t="s">
        <v>82</v>
      </c>
      <c r="B43" s="8">
        <f t="shared" si="1"/>
        <v>0</v>
      </c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8"/>
      <c r="AH43" s="8"/>
      <c r="AI43" s="8"/>
      <c r="AJ43" s="8"/>
      <c r="AK43" s="8"/>
      <c r="AL43" s="8"/>
      <c r="AM43" s="8"/>
      <c r="AN43" s="8"/>
      <c r="AO43" s="8"/>
      <c r="AP43" s="8"/>
      <c r="AQ43" s="8"/>
      <c r="AR43" s="8"/>
      <c r="AS43" s="8"/>
      <c r="AT43" s="10"/>
    </row>
    <row r="44" ht="15.75" customHeight="1">
      <c r="A44" s="11" t="s">
        <v>83</v>
      </c>
      <c r="B44" s="8">
        <f t="shared" si="1"/>
        <v>4</v>
      </c>
      <c r="C44" s="8">
        <v>2.0</v>
      </c>
      <c r="D44" s="8"/>
      <c r="E44" s="8"/>
      <c r="F44" s="8"/>
      <c r="G44" s="8">
        <v>2.0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8"/>
      <c r="AJ44" s="8"/>
      <c r="AK44" s="8"/>
      <c r="AL44" s="8"/>
      <c r="AM44" s="8"/>
      <c r="AN44" s="8"/>
      <c r="AO44" s="8"/>
      <c r="AP44" s="8"/>
      <c r="AQ44" s="8"/>
      <c r="AR44" s="8"/>
      <c r="AS44" s="8"/>
      <c r="AT44" s="10"/>
    </row>
    <row r="45" ht="15.75" customHeight="1">
      <c r="A45" s="11" t="s">
        <v>84</v>
      </c>
      <c r="B45" s="8">
        <f t="shared" si="1"/>
        <v>7.5</v>
      </c>
      <c r="C45" s="8">
        <v>2.0</v>
      </c>
      <c r="D45" s="8">
        <v>2.0</v>
      </c>
      <c r="E45" s="8"/>
      <c r="F45" s="8"/>
      <c r="G45" s="8"/>
      <c r="H45" s="8"/>
      <c r="I45" s="8"/>
      <c r="J45" s="8"/>
      <c r="K45" s="8"/>
      <c r="L45" s="8"/>
      <c r="M45" s="8"/>
      <c r="N45" s="8">
        <v>1.5</v>
      </c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>
        <v>2.0</v>
      </c>
      <c r="AD45" s="8"/>
      <c r="AE45" s="8"/>
      <c r="AF45" s="8"/>
      <c r="AG45" s="8"/>
      <c r="AH45" s="8"/>
      <c r="AI45" s="8"/>
      <c r="AJ45" s="8"/>
      <c r="AK45" s="8"/>
      <c r="AL45" s="8"/>
      <c r="AM45" s="8"/>
      <c r="AN45" s="8"/>
      <c r="AO45" s="8"/>
      <c r="AP45" s="8"/>
      <c r="AQ45" s="8"/>
      <c r="AR45" s="8"/>
      <c r="AS45" s="8"/>
      <c r="AT45" s="10"/>
    </row>
    <row r="46" ht="15.75" customHeight="1">
      <c r="A46" s="11" t="s">
        <v>85</v>
      </c>
      <c r="B46" s="8">
        <f t="shared" si="1"/>
        <v>5.5</v>
      </c>
      <c r="C46" s="8">
        <v>2.0</v>
      </c>
      <c r="D46" s="8"/>
      <c r="E46" s="8"/>
      <c r="F46" s="8"/>
      <c r="G46" s="8"/>
      <c r="H46" s="8"/>
      <c r="I46" s="8"/>
      <c r="J46" s="8"/>
      <c r="K46" s="8"/>
      <c r="L46" s="8"/>
      <c r="M46" s="8"/>
      <c r="N46" s="8">
        <v>1.5</v>
      </c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>
        <v>2.0</v>
      </c>
      <c r="AD46" s="8"/>
      <c r="AE46" s="8"/>
      <c r="AF46" s="8"/>
      <c r="AG46" s="8"/>
      <c r="AH46" s="8"/>
      <c r="AI46" s="8"/>
      <c r="AJ46" s="8"/>
      <c r="AK46" s="8"/>
      <c r="AL46" s="8"/>
      <c r="AM46" s="8"/>
      <c r="AN46" s="8"/>
      <c r="AO46" s="8"/>
      <c r="AP46" s="8"/>
      <c r="AQ46" s="8"/>
      <c r="AR46" s="8"/>
      <c r="AS46" s="8"/>
      <c r="AT46" s="10"/>
    </row>
    <row r="47" ht="15.75" customHeight="1">
      <c r="A47" s="11" t="s">
        <v>86</v>
      </c>
      <c r="B47" s="8">
        <f t="shared" si="1"/>
        <v>1.5</v>
      </c>
      <c r="C47" s="8"/>
      <c r="D47" s="8"/>
      <c r="E47" s="8"/>
      <c r="F47" s="8">
        <v>1.5</v>
      </c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8"/>
      <c r="AJ47" s="8"/>
      <c r="AK47" s="8"/>
      <c r="AL47" s="8"/>
      <c r="AM47" s="8"/>
      <c r="AN47" s="8"/>
      <c r="AO47" s="8"/>
      <c r="AP47" s="8"/>
      <c r="AQ47" s="8"/>
      <c r="AR47" s="8"/>
      <c r="AS47" s="8"/>
      <c r="AT47" s="10"/>
    </row>
    <row r="48" ht="15.75" customHeight="1">
      <c r="A48" s="11" t="s">
        <v>87</v>
      </c>
      <c r="B48" s="8">
        <f t="shared" si="1"/>
        <v>1.5</v>
      </c>
      <c r="C48" s="8"/>
      <c r="D48" s="8"/>
      <c r="E48" s="8"/>
      <c r="F48" s="8">
        <v>1.5</v>
      </c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  <c r="AE48" s="8"/>
      <c r="AF48" s="8"/>
      <c r="AG48" s="8"/>
      <c r="AH48" s="8"/>
      <c r="AI48" s="8"/>
      <c r="AJ48" s="8"/>
      <c r="AK48" s="8"/>
      <c r="AL48" s="8"/>
      <c r="AM48" s="8"/>
      <c r="AN48" s="8"/>
      <c r="AO48" s="8"/>
      <c r="AP48" s="8"/>
      <c r="AQ48" s="8"/>
      <c r="AR48" s="8"/>
      <c r="AS48" s="8"/>
      <c r="AT48" s="10"/>
    </row>
    <row r="49" ht="15.75" customHeight="1">
      <c r="A49" s="11" t="s">
        <v>88</v>
      </c>
      <c r="B49" s="8">
        <f t="shared" si="1"/>
        <v>1.5</v>
      </c>
      <c r="C49" s="8"/>
      <c r="D49" s="8"/>
      <c r="E49" s="8"/>
      <c r="F49" s="8">
        <v>1.5</v>
      </c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  <c r="AE49" s="8"/>
      <c r="AF49" s="8"/>
      <c r="AG49" s="8"/>
      <c r="AH49" s="8"/>
      <c r="AI49" s="8"/>
      <c r="AJ49" s="8"/>
      <c r="AK49" s="8"/>
      <c r="AL49" s="8"/>
      <c r="AM49" s="8"/>
      <c r="AN49" s="8"/>
      <c r="AO49" s="8"/>
      <c r="AP49" s="8"/>
      <c r="AQ49" s="8"/>
      <c r="AR49" s="8"/>
      <c r="AS49" s="8"/>
      <c r="AT49" s="10"/>
    </row>
    <row r="50" ht="15.75" customHeight="1">
      <c r="A50" s="11" t="s">
        <v>89</v>
      </c>
      <c r="B50" s="8">
        <f t="shared" si="1"/>
        <v>1.5</v>
      </c>
      <c r="C50" s="8"/>
      <c r="D50" s="8"/>
      <c r="E50" s="8"/>
      <c r="F50" s="8">
        <v>1.5</v>
      </c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  <c r="AE50" s="8"/>
      <c r="AF50" s="8"/>
      <c r="AG50" s="8"/>
      <c r="AH50" s="8"/>
      <c r="AI50" s="8"/>
      <c r="AJ50" s="8"/>
      <c r="AK50" s="8"/>
      <c r="AL50" s="8"/>
      <c r="AM50" s="8"/>
      <c r="AN50" s="8"/>
      <c r="AO50" s="8"/>
      <c r="AP50" s="8"/>
      <c r="AQ50" s="8"/>
      <c r="AR50" s="8"/>
      <c r="AS50" s="8"/>
      <c r="AT50" s="10"/>
    </row>
    <row r="51" ht="15.75" customHeight="1">
      <c r="A51" s="11" t="s">
        <v>90</v>
      </c>
      <c r="B51" s="8">
        <f t="shared" si="1"/>
        <v>7.25</v>
      </c>
      <c r="C51" s="8"/>
      <c r="D51" s="8"/>
      <c r="E51" s="8"/>
      <c r="F51" s="8"/>
      <c r="G51" s="8"/>
      <c r="H51" s="8"/>
      <c r="I51" s="8">
        <v>1.5</v>
      </c>
      <c r="J51" s="8"/>
      <c r="K51" s="8">
        <v>1.5</v>
      </c>
      <c r="L51" s="8"/>
      <c r="M51" s="8"/>
      <c r="N51" s="8"/>
      <c r="O51" s="8"/>
      <c r="P51" s="8"/>
      <c r="Q51" s="8">
        <v>1.5</v>
      </c>
      <c r="R51" s="8"/>
      <c r="S51" s="8"/>
      <c r="T51" s="8"/>
      <c r="U51" s="8">
        <v>1.5</v>
      </c>
      <c r="V51" s="8"/>
      <c r="W51" s="8"/>
      <c r="X51" s="8"/>
      <c r="Y51" s="8"/>
      <c r="Z51" s="8"/>
      <c r="AA51" s="8"/>
      <c r="AB51" s="8"/>
      <c r="AC51" s="8"/>
      <c r="AD51" s="8"/>
      <c r="AE51" s="8"/>
      <c r="AF51" s="20">
        <v>1.25</v>
      </c>
      <c r="AG51" s="8"/>
      <c r="AH51" s="8"/>
      <c r="AI51" s="8"/>
      <c r="AJ51" s="8"/>
      <c r="AK51" s="8"/>
      <c r="AL51" s="8"/>
      <c r="AM51" s="8"/>
      <c r="AN51" s="8"/>
      <c r="AO51" s="8"/>
      <c r="AP51" s="8"/>
      <c r="AQ51" s="8"/>
      <c r="AR51" s="8"/>
      <c r="AS51" s="8"/>
      <c r="AT51" s="10"/>
    </row>
    <row r="52" ht="15.75" customHeight="1">
      <c r="A52" s="11" t="s">
        <v>91</v>
      </c>
      <c r="B52" s="8">
        <f t="shared" si="1"/>
        <v>2.75</v>
      </c>
      <c r="C52" s="8"/>
      <c r="D52" s="8"/>
      <c r="E52" s="8"/>
      <c r="F52" s="8"/>
      <c r="G52" s="8"/>
      <c r="H52" s="8"/>
      <c r="I52" s="8">
        <v>1.5</v>
      </c>
      <c r="J52" s="8">
        <v>1.25</v>
      </c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  <c r="AD52" s="8"/>
      <c r="AE52" s="8"/>
      <c r="AF52" s="8"/>
      <c r="AG52" s="8"/>
      <c r="AH52" s="8"/>
      <c r="AI52" s="8"/>
      <c r="AJ52" s="8"/>
      <c r="AK52" s="8"/>
      <c r="AL52" s="8"/>
      <c r="AM52" s="8"/>
      <c r="AN52" s="8"/>
      <c r="AO52" s="8"/>
      <c r="AP52" s="8"/>
      <c r="AQ52" s="8"/>
      <c r="AR52" s="8"/>
      <c r="AS52" s="8"/>
      <c r="AT52" s="10"/>
    </row>
    <row r="53" ht="15.75" customHeight="1">
      <c r="A53" s="11" t="s">
        <v>92</v>
      </c>
      <c r="B53" s="8">
        <f t="shared" si="1"/>
        <v>31.75</v>
      </c>
      <c r="C53" s="8"/>
      <c r="D53" s="8"/>
      <c r="E53" s="8"/>
      <c r="F53" s="8"/>
      <c r="G53" s="8"/>
      <c r="H53" s="8"/>
      <c r="I53" s="8">
        <v>1.5</v>
      </c>
      <c r="J53" s="8"/>
      <c r="K53" s="8">
        <v>1.5</v>
      </c>
      <c r="L53" s="8"/>
      <c r="M53" s="8">
        <v>2.0</v>
      </c>
      <c r="N53" s="8"/>
      <c r="O53" s="8">
        <v>1.5</v>
      </c>
      <c r="P53" s="8">
        <v>1.75</v>
      </c>
      <c r="Q53" s="8"/>
      <c r="R53" s="8">
        <v>2.0</v>
      </c>
      <c r="S53" s="8">
        <v>2.0</v>
      </c>
      <c r="T53" s="8"/>
      <c r="U53" s="8">
        <v>1.5</v>
      </c>
      <c r="V53" s="8">
        <v>1.5</v>
      </c>
      <c r="W53" s="8"/>
      <c r="X53" s="8"/>
      <c r="Y53" s="8">
        <v>1.75</v>
      </c>
      <c r="Z53" s="8">
        <v>1.25</v>
      </c>
      <c r="AA53" s="8">
        <v>2.0</v>
      </c>
      <c r="AB53" s="8"/>
      <c r="AC53" s="8"/>
      <c r="AD53" s="20">
        <v>2.0</v>
      </c>
      <c r="AE53" s="20">
        <v>2.0</v>
      </c>
      <c r="AF53" s="8"/>
      <c r="AG53" s="20">
        <v>1.5</v>
      </c>
      <c r="AH53" s="8"/>
      <c r="AI53" s="8"/>
      <c r="AJ53" s="20">
        <v>2.0</v>
      </c>
      <c r="AK53" s="8"/>
      <c r="AL53" s="8"/>
      <c r="AM53" s="8"/>
      <c r="AN53" s="20">
        <v>2.5</v>
      </c>
      <c r="AO53" s="20">
        <v>1.5</v>
      </c>
      <c r="AP53" s="8"/>
      <c r="AQ53" s="8"/>
      <c r="AR53" s="8"/>
      <c r="AS53" s="8"/>
      <c r="AT53" s="10"/>
    </row>
    <row r="54" ht="15.75" customHeight="1">
      <c r="A54" s="11" t="s">
        <v>93</v>
      </c>
      <c r="B54" s="8">
        <f t="shared" si="1"/>
        <v>6.75</v>
      </c>
      <c r="C54" s="8"/>
      <c r="D54" s="8"/>
      <c r="E54" s="8"/>
      <c r="F54" s="8"/>
      <c r="G54" s="8"/>
      <c r="H54" s="8"/>
      <c r="I54" s="8">
        <v>1.5</v>
      </c>
      <c r="J54" s="8">
        <v>1.25</v>
      </c>
      <c r="K54" s="8"/>
      <c r="L54" s="8"/>
      <c r="M54" s="8"/>
      <c r="N54" s="8"/>
      <c r="O54" s="8"/>
      <c r="P54" s="8"/>
      <c r="Q54" s="8"/>
      <c r="R54" s="8">
        <v>2.0</v>
      </c>
      <c r="S54" s="8">
        <v>2.0</v>
      </c>
      <c r="T54" s="8"/>
      <c r="U54" s="8"/>
      <c r="V54" s="8"/>
      <c r="W54" s="8"/>
      <c r="X54" s="8"/>
      <c r="Y54" s="8"/>
      <c r="Z54" s="8"/>
      <c r="AA54" s="8"/>
      <c r="AB54" s="8"/>
      <c r="AC54" s="8"/>
      <c r="AD54" s="8"/>
      <c r="AE54" s="8"/>
      <c r="AF54" s="8"/>
      <c r="AG54" s="8"/>
      <c r="AH54" s="8"/>
      <c r="AI54" s="8"/>
      <c r="AJ54" s="8"/>
      <c r="AK54" s="8"/>
      <c r="AL54" s="8"/>
      <c r="AM54" s="8"/>
      <c r="AN54" s="8"/>
      <c r="AO54" s="8"/>
      <c r="AP54" s="8"/>
      <c r="AQ54" s="8"/>
      <c r="AR54" s="8"/>
      <c r="AS54" s="8"/>
      <c r="AT54" s="10"/>
    </row>
    <row r="55" ht="15.75" customHeight="1">
      <c r="A55" s="11" t="s">
        <v>94</v>
      </c>
      <c r="B55" s="8">
        <f t="shared" si="1"/>
        <v>1.25</v>
      </c>
      <c r="C55" s="8"/>
      <c r="D55" s="8"/>
      <c r="E55" s="8"/>
      <c r="F55" s="8"/>
      <c r="G55" s="8"/>
      <c r="H55" s="8"/>
      <c r="I55" s="8"/>
      <c r="J55" s="8">
        <v>1.25</v>
      </c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  <c r="AD55" s="8"/>
      <c r="AE55" s="8"/>
      <c r="AF55" s="8"/>
      <c r="AG55" s="8"/>
      <c r="AH55" s="8"/>
      <c r="AI55" s="8"/>
      <c r="AJ55" s="8"/>
      <c r="AK55" s="8"/>
      <c r="AL55" s="8"/>
      <c r="AM55" s="8"/>
      <c r="AN55" s="8"/>
      <c r="AO55" s="8"/>
      <c r="AP55" s="8"/>
      <c r="AQ55" s="8"/>
      <c r="AR55" s="8"/>
      <c r="AS55" s="8"/>
      <c r="AT55" s="10"/>
    </row>
    <row r="56" ht="15.75" customHeight="1">
      <c r="A56" s="11" t="s">
        <v>95</v>
      </c>
      <c r="B56" s="8">
        <f t="shared" si="1"/>
        <v>7.5</v>
      </c>
      <c r="C56" s="8"/>
      <c r="D56" s="8"/>
      <c r="E56" s="8"/>
      <c r="F56" s="8"/>
      <c r="G56" s="8"/>
      <c r="H56" s="8"/>
      <c r="I56" s="8"/>
      <c r="J56" s="8">
        <v>1.25</v>
      </c>
      <c r="K56" s="8"/>
      <c r="L56" s="8"/>
      <c r="M56" s="8"/>
      <c r="N56" s="8">
        <v>1.5</v>
      </c>
      <c r="O56" s="8"/>
      <c r="P56" s="8"/>
      <c r="Q56" s="8"/>
      <c r="R56" s="8"/>
      <c r="S56" s="8">
        <v>2.0</v>
      </c>
      <c r="T56" s="8"/>
      <c r="U56" s="8"/>
      <c r="V56" s="8">
        <v>1.5</v>
      </c>
      <c r="W56" s="8"/>
      <c r="X56" s="8"/>
      <c r="Y56" s="8"/>
      <c r="Z56" s="8">
        <v>1.25</v>
      </c>
      <c r="AA56" s="8"/>
      <c r="AB56" s="8"/>
      <c r="AC56" s="8"/>
      <c r="AD56" s="8"/>
      <c r="AE56" s="8"/>
      <c r="AF56" s="8"/>
      <c r="AG56" s="8"/>
      <c r="AH56" s="8"/>
      <c r="AI56" s="8"/>
      <c r="AJ56" s="8"/>
      <c r="AK56" s="8"/>
      <c r="AL56" s="8"/>
      <c r="AM56" s="8"/>
      <c r="AN56" s="8"/>
      <c r="AO56" s="8"/>
      <c r="AP56" s="8"/>
      <c r="AQ56" s="8"/>
      <c r="AR56" s="8"/>
      <c r="AS56" s="8"/>
      <c r="AT56" s="10"/>
    </row>
    <row r="57" ht="15.75" customHeight="1">
      <c r="A57" s="11" t="s">
        <v>96</v>
      </c>
      <c r="B57" s="8">
        <f t="shared" si="1"/>
        <v>7.5</v>
      </c>
      <c r="C57" s="8"/>
      <c r="D57" s="8"/>
      <c r="E57" s="8"/>
      <c r="F57" s="8"/>
      <c r="G57" s="8"/>
      <c r="H57" s="8"/>
      <c r="I57" s="8"/>
      <c r="J57" s="8">
        <v>1.25</v>
      </c>
      <c r="K57" s="8"/>
      <c r="L57" s="8"/>
      <c r="M57" s="8"/>
      <c r="N57" s="8">
        <v>1.5</v>
      </c>
      <c r="O57" s="8"/>
      <c r="P57" s="8"/>
      <c r="Q57" s="8"/>
      <c r="R57" s="8"/>
      <c r="S57" s="8">
        <v>2.0</v>
      </c>
      <c r="T57" s="8"/>
      <c r="U57" s="8"/>
      <c r="V57" s="8">
        <v>1.5</v>
      </c>
      <c r="W57" s="8"/>
      <c r="X57" s="8"/>
      <c r="Y57" s="8"/>
      <c r="Z57" s="8">
        <v>1.25</v>
      </c>
      <c r="AA57" s="8"/>
      <c r="AB57" s="8"/>
      <c r="AC57" s="8"/>
      <c r="AD57" s="8"/>
      <c r="AE57" s="8"/>
      <c r="AF57" s="8"/>
      <c r="AG57" s="8"/>
      <c r="AH57" s="8"/>
      <c r="AI57" s="8"/>
      <c r="AJ57" s="8"/>
      <c r="AK57" s="8"/>
      <c r="AL57" s="8"/>
      <c r="AM57" s="8"/>
      <c r="AN57" s="8"/>
      <c r="AO57" s="8"/>
      <c r="AP57" s="8"/>
      <c r="AQ57" s="8"/>
      <c r="AR57" s="8"/>
      <c r="AS57" s="8"/>
      <c r="AT57" s="10"/>
    </row>
    <row r="58" ht="15.75" customHeight="1">
      <c r="A58" s="11" t="s">
        <v>97</v>
      </c>
      <c r="B58" s="8">
        <f t="shared" si="1"/>
        <v>1.25</v>
      </c>
      <c r="C58" s="8"/>
      <c r="D58" s="8"/>
      <c r="E58" s="8"/>
      <c r="F58" s="8"/>
      <c r="G58" s="8"/>
      <c r="H58" s="8"/>
      <c r="I58" s="8"/>
      <c r="J58" s="8">
        <v>1.25</v>
      </c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  <c r="AD58" s="8"/>
      <c r="AE58" s="8"/>
      <c r="AF58" s="8"/>
      <c r="AG58" s="8"/>
      <c r="AH58" s="8"/>
      <c r="AI58" s="8"/>
      <c r="AJ58" s="8"/>
      <c r="AK58" s="8"/>
      <c r="AL58" s="8"/>
      <c r="AM58" s="8"/>
      <c r="AN58" s="8"/>
      <c r="AO58" s="8"/>
      <c r="AP58" s="8"/>
      <c r="AQ58" s="8"/>
      <c r="AR58" s="8"/>
      <c r="AS58" s="8"/>
      <c r="AT58" s="10"/>
    </row>
    <row r="59" ht="15.75" customHeight="1">
      <c r="A59" s="11" t="s">
        <v>98</v>
      </c>
      <c r="B59" s="8">
        <f t="shared" si="1"/>
        <v>5.5</v>
      </c>
      <c r="C59" s="8"/>
      <c r="D59" s="8"/>
      <c r="E59" s="8"/>
      <c r="F59" s="8"/>
      <c r="G59" s="8"/>
      <c r="H59" s="8"/>
      <c r="I59" s="8"/>
      <c r="J59" s="8"/>
      <c r="K59" s="8">
        <v>1.5</v>
      </c>
      <c r="L59" s="8"/>
      <c r="M59" s="8">
        <v>2.0</v>
      </c>
      <c r="N59" s="8"/>
      <c r="O59" s="8"/>
      <c r="P59" s="8"/>
      <c r="Q59" s="8"/>
      <c r="R59" s="8"/>
      <c r="S59" s="8">
        <v>2.0</v>
      </c>
      <c r="T59" s="8"/>
      <c r="U59" s="8"/>
      <c r="V59" s="8"/>
      <c r="W59" s="8"/>
      <c r="X59" s="8"/>
      <c r="Y59" s="8"/>
      <c r="Z59" s="8"/>
      <c r="AA59" s="8"/>
      <c r="AB59" s="8"/>
      <c r="AC59" s="8"/>
      <c r="AD59" s="8"/>
      <c r="AE59" s="8"/>
      <c r="AF59" s="8"/>
      <c r="AG59" s="8"/>
      <c r="AH59" s="8"/>
      <c r="AI59" s="8"/>
      <c r="AJ59" s="8"/>
      <c r="AK59" s="8"/>
      <c r="AL59" s="8"/>
      <c r="AM59" s="8"/>
      <c r="AN59" s="8"/>
      <c r="AO59" s="8"/>
      <c r="AP59" s="8"/>
      <c r="AQ59" s="8"/>
      <c r="AR59" s="8"/>
      <c r="AS59" s="8"/>
      <c r="AT59" s="10"/>
    </row>
    <row r="60" ht="15.75" customHeight="1">
      <c r="A60" s="11" t="s">
        <v>99</v>
      </c>
      <c r="B60" s="8">
        <f t="shared" si="1"/>
        <v>3.25</v>
      </c>
      <c r="C60" s="8"/>
      <c r="D60" s="8"/>
      <c r="E60" s="8"/>
      <c r="F60" s="8"/>
      <c r="G60" s="8"/>
      <c r="H60" s="8"/>
      <c r="I60" s="8"/>
      <c r="J60" s="8"/>
      <c r="K60" s="8">
        <v>1.5</v>
      </c>
      <c r="L60" s="8"/>
      <c r="M60" s="8"/>
      <c r="N60" s="8"/>
      <c r="O60" s="8"/>
      <c r="P60" s="8">
        <v>1.75</v>
      </c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  <c r="AD60" s="8"/>
      <c r="AE60" s="8"/>
      <c r="AF60" s="8"/>
      <c r="AG60" s="8"/>
      <c r="AH60" s="8"/>
      <c r="AI60" s="8"/>
      <c r="AJ60" s="8"/>
      <c r="AK60" s="8"/>
      <c r="AL60" s="8"/>
      <c r="AM60" s="8"/>
      <c r="AN60" s="8"/>
      <c r="AO60" s="8"/>
      <c r="AP60" s="8"/>
      <c r="AQ60" s="8"/>
      <c r="AR60" s="8"/>
      <c r="AS60" s="8"/>
      <c r="AT60" s="10"/>
    </row>
    <row r="61" ht="15.75" customHeight="1">
      <c r="A61" s="11" t="s">
        <v>100</v>
      </c>
      <c r="B61" s="8">
        <f t="shared" si="1"/>
        <v>6.75</v>
      </c>
      <c r="C61" s="8"/>
      <c r="D61" s="8"/>
      <c r="E61" s="8"/>
      <c r="F61" s="8"/>
      <c r="G61" s="8"/>
      <c r="H61" s="8"/>
      <c r="I61" s="8"/>
      <c r="J61" s="8"/>
      <c r="K61" s="8"/>
      <c r="L61" s="8">
        <v>2.0</v>
      </c>
      <c r="M61" s="8"/>
      <c r="N61" s="8"/>
      <c r="O61" s="8">
        <v>1.5</v>
      </c>
      <c r="P61" s="8"/>
      <c r="Q61" s="8">
        <v>1.5</v>
      </c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  <c r="AD61" s="8"/>
      <c r="AE61" s="8"/>
      <c r="AF61" s="8"/>
      <c r="AG61" s="8"/>
      <c r="AH61" s="8"/>
      <c r="AI61" s="21">
        <v>1.75</v>
      </c>
      <c r="AJ61" s="8"/>
      <c r="AK61" s="8"/>
      <c r="AL61" s="8"/>
      <c r="AM61" s="8"/>
      <c r="AN61" s="8"/>
      <c r="AO61" s="8"/>
      <c r="AP61" s="8"/>
      <c r="AQ61" s="8"/>
      <c r="AR61" s="8"/>
      <c r="AS61" s="8"/>
      <c r="AT61" s="10"/>
    </row>
    <row r="62" ht="15.75" customHeight="1">
      <c r="A62" s="11" t="s">
        <v>101</v>
      </c>
      <c r="B62" s="8">
        <f t="shared" si="1"/>
        <v>3.5</v>
      </c>
      <c r="C62" s="8"/>
      <c r="D62" s="8"/>
      <c r="E62" s="8"/>
      <c r="F62" s="8"/>
      <c r="G62" s="8"/>
      <c r="H62" s="8"/>
      <c r="I62" s="8"/>
      <c r="J62" s="8"/>
      <c r="K62" s="8"/>
      <c r="L62" s="8">
        <v>2.0</v>
      </c>
      <c r="M62" s="8"/>
      <c r="N62" s="8"/>
      <c r="O62" s="8">
        <v>1.5</v>
      </c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  <c r="AC62" s="8"/>
      <c r="AD62" s="8"/>
      <c r="AE62" s="8"/>
      <c r="AF62" s="8"/>
      <c r="AG62" s="8"/>
      <c r="AH62" s="8"/>
      <c r="AI62" s="8"/>
      <c r="AJ62" s="8"/>
      <c r="AK62" s="8"/>
      <c r="AL62" s="8"/>
      <c r="AM62" s="8"/>
      <c r="AN62" s="8"/>
      <c r="AO62" s="8"/>
      <c r="AP62" s="8"/>
      <c r="AQ62" s="8"/>
      <c r="AR62" s="8"/>
      <c r="AS62" s="8"/>
      <c r="AT62" s="10"/>
    </row>
    <row r="63" ht="15.75" customHeight="1">
      <c r="A63" s="11" t="s">
        <v>102</v>
      </c>
      <c r="B63" s="8">
        <f t="shared" si="1"/>
        <v>2</v>
      </c>
      <c r="C63" s="8"/>
      <c r="D63" s="8"/>
      <c r="E63" s="8"/>
      <c r="F63" s="8"/>
      <c r="G63" s="8"/>
      <c r="H63" s="8"/>
      <c r="I63" s="8"/>
      <c r="J63" s="8"/>
      <c r="K63" s="8"/>
      <c r="L63" s="8"/>
      <c r="M63" s="8">
        <v>2.0</v>
      </c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  <c r="AD63" s="8"/>
      <c r="AE63" s="8"/>
      <c r="AF63" s="8"/>
      <c r="AG63" s="8"/>
      <c r="AH63" s="8"/>
      <c r="AI63" s="8"/>
      <c r="AJ63" s="8"/>
      <c r="AK63" s="8"/>
      <c r="AL63" s="8"/>
      <c r="AM63" s="8"/>
      <c r="AN63" s="8"/>
      <c r="AO63" s="8"/>
      <c r="AP63" s="8"/>
      <c r="AQ63" s="8"/>
      <c r="AR63" s="8"/>
      <c r="AS63" s="8"/>
      <c r="AT63" s="10"/>
    </row>
    <row r="64" ht="15.75" customHeight="1">
      <c r="A64" s="11" t="s">
        <v>103</v>
      </c>
      <c r="B64" s="8">
        <f t="shared" si="1"/>
        <v>2</v>
      </c>
      <c r="C64" s="8"/>
      <c r="D64" s="8"/>
      <c r="E64" s="8"/>
      <c r="F64" s="8"/>
      <c r="G64" s="8"/>
      <c r="H64" s="8"/>
      <c r="I64" s="8"/>
      <c r="J64" s="8"/>
      <c r="K64" s="8"/>
      <c r="L64" s="8"/>
      <c r="M64" s="8">
        <v>2.0</v>
      </c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8"/>
      <c r="AH64" s="8"/>
      <c r="AI64" s="8"/>
      <c r="AJ64" s="8"/>
      <c r="AK64" s="8"/>
      <c r="AL64" s="8"/>
      <c r="AM64" s="8"/>
      <c r="AN64" s="8"/>
      <c r="AO64" s="8"/>
      <c r="AP64" s="8"/>
      <c r="AQ64" s="8"/>
      <c r="AR64" s="8"/>
      <c r="AS64" s="8"/>
      <c r="AT64" s="10"/>
    </row>
    <row r="65" ht="15.75" customHeight="1">
      <c r="A65" s="11" t="s">
        <v>104</v>
      </c>
      <c r="B65" s="8">
        <f t="shared" si="1"/>
        <v>2</v>
      </c>
      <c r="C65" s="8"/>
      <c r="D65" s="8"/>
      <c r="E65" s="8"/>
      <c r="F65" s="8"/>
      <c r="G65" s="8"/>
      <c r="H65" s="8"/>
      <c r="I65" s="8"/>
      <c r="J65" s="8"/>
      <c r="K65" s="8"/>
      <c r="L65" s="8"/>
      <c r="M65" s="8">
        <v>2.0</v>
      </c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  <c r="AE65" s="8"/>
      <c r="AF65" s="8"/>
      <c r="AG65" s="8"/>
      <c r="AH65" s="8"/>
      <c r="AI65" s="8"/>
      <c r="AJ65" s="8"/>
      <c r="AK65" s="8"/>
      <c r="AL65" s="8"/>
      <c r="AM65" s="8"/>
      <c r="AN65" s="8"/>
      <c r="AO65" s="8"/>
      <c r="AP65" s="8"/>
      <c r="AQ65" s="8"/>
      <c r="AR65" s="8"/>
      <c r="AS65" s="8"/>
      <c r="AT65" s="10"/>
    </row>
    <row r="66" ht="15.75" customHeight="1">
      <c r="A66" s="11" t="s">
        <v>105</v>
      </c>
      <c r="B66" s="8">
        <f t="shared" si="1"/>
        <v>2</v>
      </c>
      <c r="C66" s="8"/>
      <c r="D66" s="8"/>
      <c r="E66" s="8"/>
      <c r="F66" s="8"/>
      <c r="G66" s="8"/>
      <c r="H66" s="8"/>
      <c r="I66" s="8"/>
      <c r="J66" s="8"/>
      <c r="K66" s="8"/>
      <c r="L66" s="8"/>
      <c r="M66" s="8">
        <v>2.0</v>
      </c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  <c r="AD66" s="8"/>
      <c r="AE66" s="8"/>
      <c r="AF66" s="8"/>
      <c r="AG66" s="8"/>
      <c r="AH66" s="8"/>
      <c r="AI66" s="8"/>
      <c r="AJ66" s="8"/>
      <c r="AK66" s="8"/>
      <c r="AL66" s="8"/>
      <c r="AM66" s="8"/>
      <c r="AN66" s="8"/>
      <c r="AO66" s="8"/>
      <c r="AP66" s="8"/>
      <c r="AQ66" s="8"/>
      <c r="AR66" s="8"/>
      <c r="AS66" s="8"/>
      <c r="AT66" s="10"/>
    </row>
    <row r="67" ht="15.75" customHeight="1">
      <c r="A67" s="11" t="s">
        <v>106</v>
      </c>
      <c r="B67" s="8">
        <f t="shared" si="1"/>
        <v>1.5</v>
      </c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>
        <v>1.5</v>
      </c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  <c r="AD67" s="8"/>
      <c r="AE67" s="8"/>
      <c r="AF67" s="8"/>
      <c r="AG67" s="8"/>
      <c r="AH67" s="8"/>
      <c r="AI67" s="8"/>
      <c r="AJ67" s="8"/>
      <c r="AK67" s="8"/>
      <c r="AL67" s="8"/>
      <c r="AM67" s="8"/>
      <c r="AN67" s="8"/>
      <c r="AO67" s="8"/>
      <c r="AP67" s="8"/>
      <c r="AQ67" s="8"/>
      <c r="AR67" s="8"/>
      <c r="AS67" s="8"/>
      <c r="AT67" s="10"/>
    </row>
    <row r="68" ht="15.75" customHeight="1">
      <c r="A68" s="11" t="s">
        <v>107</v>
      </c>
      <c r="B68" s="8">
        <f t="shared" si="1"/>
        <v>1.5</v>
      </c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>
        <v>1.5</v>
      </c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  <c r="AD68" s="8"/>
      <c r="AE68" s="8"/>
      <c r="AF68" s="8"/>
      <c r="AG68" s="8"/>
      <c r="AH68" s="8"/>
      <c r="AI68" s="8"/>
      <c r="AJ68" s="8"/>
      <c r="AK68" s="8"/>
      <c r="AL68" s="8"/>
      <c r="AM68" s="8"/>
      <c r="AN68" s="8"/>
      <c r="AO68" s="8"/>
      <c r="AP68" s="8"/>
      <c r="AQ68" s="8"/>
      <c r="AR68" s="8"/>
      <c r="AS68" s="8"/>
      <c r="AT68" s="10"/>
    </row>
    <row r="69" ht="15.75" customHeight="1">
      <c r="A69" s="11" t="s">
        <v>108</v>
      </c>
      <c r="B69" s="8">
        <f t="shared" si="1"/>
        <v>1.5</v>
      </c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>
        <v>1.5</v>
      </c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  <c r="AE69" s="8"/>
      <c r="AF69" s="8"/>
      <c r="AG69" s="8"/>
      <c r="AH69" s="8"/>
      <c r="AI69" s="8"/>
      <c r="AJ69" s="8"/>
      <c r="AK69" s="8"/>
      <c r="AL69" s="8"/>
      <c r="AM69" s="8"/>
      <c r="AN69" s="8"/>
      <c r="AO69" s="8"/>
      <c r="AP69" s="8"/>
      <c r="AQ69" s="8"/>
      <c r="AR69" s="8"/>
      <c r="AS69" s="8"/>
      <c r="AT69" s="10"/>
    </row>
    <row r="70" ht="15.75" customHeight="1">
      <c r="A70" s="11" t="s">
        <v>109</v>
      </c>
      <c r="B70" s="8">
        <f t="shared" si="1"/>
        <v>9.75</v>
      </c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>
        <v>1.75</v>
      </c>
      <c r="Q70" s="8">
        <v>1.5</v>
      </c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/>
      <c r="AF70" s="20">
        <v>2.0</v>
      </c>
      <c r="AG70" s="8"/>
      <c r="AH70" s="8"/>
      <c r="AI70" s="21">
        <v>1.0</v>
      </c>
      <c r="AJ70" s="8"/>
      <c r="AK70" s="20">
        <v>2.0</v>
      </c>
      <c r="AL70" s="8"/>
      <c r="AM70" s="8"/>
      <c r="AN70" s="8"/>
      <c r="AO70" s="20">
        <v>1.5</v>
      </c>
      <c r="AP70" s="8"/>
      <c r="AQ70" s="8"/>
      <c r="AR70" s="8"/>
      <c r="AS70" s="8"/>
      <c r="AT70" s="10"/>
    </row>
    <row r="71" ht="15.75" customHeight="1">
      <c r="A71" s="11" t="s">
        <v>110</v>
      </c>
      <c r="B71" s="8">
        <f t="shared" si="1"/>
        <v>1.75</v>
      </c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>
        <v>1.75</v>
      </c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  <c r="AE71" s="8"/>
      <c r="AF71" s="8"/>
      <c r="AG71" s="8"/>
      <c r="AH71" s="8"/>
      <c r="AI71" s="8"/>
      <c r="AJ71" s="8"/>
      <c r="AK71" s="8"/>
      <c r="AL71" s="8"/>
      <c r="AM71" s="8"/>
      <c r="AN71" s="8"/>
      <c r="AO71" s="8"/>
      <c r="AP71" s="8"/>
      <c r="AQ71" s="8"/>
      <c r="AR71" s="8"/>
      <c r="AS71" s="8"/>
      <c r="AT71" s="10"/>
    </row>
    <row r="72" ht="15.75" customHeight="1">
      <c r="A72" s="11" t="s">
        <v>111</v>
      </c>
      <c r="B72" s="8">
        <f t="shared" si="1"/>
        <v>1.5</v>
      </c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>
        <v>1.5</v>
      </c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  <c r="AD72" s="8"/>
      <c r="AE72" s="8"/>
      <c r="AF72" s="8"/>
      <c r="AG72" s="8"/>
      <c r="AH72" s="8"/>
      <c r="AI72" s="8"/>
      <c r="AJ72" s="8"/>
      <c r="AK72" s="8"/>
      <c r="AL72" s="8"/>
      <c r="AM72" s="8"/>
      <c r="AN72" s="8"/>
      <c r="AO72" s="8"/>
      <c r="AP72" s="8"/>
      <c r="AQ72" s="8"/>
      <c r="AR72" s="8"/>
      <c r="AS72" s="8"/>
      <c r="AT72" s="10"/>
    </row>
    <row r="73" ht="15.75" customHeight="1">
      <c r="A73" s="11" t="s">
        <v>112</v>
      </c>
      <c r="B73" s="8">
        <f t="shared" si="1"/>
        <v>4</v>
      </c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>
        <v>2.0</v>
      </c>
      <c r="S73" s="8"/>
      <c r="T73" s="8">
        <v>2.0</v>
      </c>
      <c r="U73" s="8"/>
      <c r="V73" s="8"/>
      <c r="W73" s="8"/>
      <c r="X73" s="8"/>
      <c r="Y73" s="8"/>
      <c r="Z73" s="8"/>
      <c r="AA73" s="8"/>
      <c r="AB73" s="8"/>
      <c r="AC73" s="8"/>
      <c r="AD73" s="8"/>
      <c r="AE73" s="8"/>
      <c r="AF73" s="8"/>
      <c r="AG73" s="8"/>
      <c r="AH73" s="8"/>
      <c r="AI73" s="8"/>
      <c r="AJ73" s="8"/>
      <c r="AK73" s="8"/>
      <c r="AL73" s="8"/>
      <c r="AM73" s="8"/>
      <c r="AN73" s="8"/>
      <c r="AO73" s="8"/>
      <c r="AP73" s="8"/>
      <c r="AQ73" s="8"/>
      <c r="AR73" s="8"/>
      <c r="AS73" s="8"/>
      <c r="AT73" s="10"/>
    </row>
    <row r="74" ht="15.75" customHeight="1">
      <c r="A74" s="11" t="s">
        <v>113</v>
      </c>
      <c r="B74" s="8">
        <f t="shared" si="1"/>
        <v>2</v>
      </c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>
        <v>2.0</v>
      </c>
      <c r="T74" s="8"/>
      <c r="U74" s="8"/>
      <c r="V74" s="8"/>
      <c r="W74" s="8"/>
      <c r="X74" s="8"/>
      <c r="Y74" s="8"/>
      <c r="Z74" s="8"/>
      <c r="AA74" s="8"/>
      <c r="AB74" s="8"/>
      <c r="AC74" s="8"/>
      <c r="AD74" s="8"/>
      <c r="AE74" s="8"/>
      <c r="AF74" s="8"/>
      <c r="AG74" s="8"/>
      <c r="AH74" s="8"/>
      <c r="AI74" s="8"/>
      <c r="AJ74" s="8"/>
      <c r="AK74" s="8"/>
      <c r="AL74" s="8"/>
      <c r="AM74" s="8"/>
      <c r="AN74" s="8"/>
      <c r="AO74" s="8"/>
      <c r="AP74" s="8"/>
      <c r="AQ74" s="8"/>
      <c r="AR74" s="8"/>
      <c r="AS74" s="8"/>
      <c r="AT74" s="10"/>
    </row>
    <row r="75" ht="15.75" customHeight="1">
      <c r="A75" s="11" t="s">
        <v>114</v>
      </c>
      <c r="B75" s="8">
        <f t="shared" si="1"/>
        <v>2</v>
      </c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>
        <v>2.0</v>
      </c>
      <c r="T75" s="8"/>
      <c r="U75" s="8"/>
      <c r="V75" s="8"/>
      <c r="W75" s="8"/>
      <c r="X75" s="8"/>
      <c r="Y75" s="8"/>
      <c r="Z75" s="8"/>
      <c r="AA75" s="8"/>
      <c r="AB75" s="8"/>
      <c r="AC75" s="8"/>
      <c r="AD75" s="8"/>
      <c r="AE75" s="8"/>
      <c r="AF75" s="8"/>
      <c r="AG75" s="8"/>
      <c r="AH75" s="8"/>
      <c r="AI75" s="8"/>
      <c r="AJ75" s="8"/>
      <c r="AK75" s="8"/>
      <c r="AL75" s="8"/>
      <c r="AM75" s="8"/>
      <c r="AN75" s="8"/>
      <c r="AO75" s="8"/>
      <c r="AP75" s="8"/>
      <c r="AQ75" s="8"/>
      <c r="AR75" s="8"/>
      <c r="AS75" s="8"/>
      <c r="AT75" s="10"/>
    </row>
    <row r="76" ht="15.75" customHeight="1">
      <c r="A76" s="11" t="s">
        <v>115</v>
      </c>
      <c r="B76" s="8">
        <f t="shared" si="1"/>
        <v>2</v>
      </c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>
        <v>2.0</v>
      </c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  <c r="AE76" s="8"/>
      <c r="AF76" s="8"/>
      <c r="AG76" s="8"/>
      <c r="AH76" s="8"/>
      <c r="AI76" s="8"/>
      <c r="AJ76" s="8"/>
      <c r="AK76" s="8"/>
      <c r="AL76" s="8"/>
      <c r="AM76" s="8"/>
      <c r="AN76" s="8"/>
      <c r="AO76" s="8"/>
      <c r="AP76" s="8"/>
      <c r="AQ76" s="8"/>
      <c r="AR76" s="8"/>
      <c r="AS76" s="8"/>
      <c r="AT76" s="10"/>
    </row>
    <row r="77" ht="15.75" customHeight="1">
      <c r="A77" s="11" t="s">
        <v>116</v>
      </c>
      <c r="B77" s="8">
        <f t="shared" si="1"/>
        <v>2</v>
      </c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>
        <v>2.0</v>
      </c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  <c r="AE77" s="8"/>
      <c r="AF77" s="8"/>
      <c r="AG77" s="8"/>
      <c r="AH77" s="8"/>
      <c r="AI77" s="8"/>
      <c r="AJ77" s="8"/>
      <c r="AK77" s="8"/>
      <c r="AL77" s="8"/>
      <c r="AM77" s="8"/>
      <c r="AN77" s="8"/>
      <c r="AO77" s="8"/>
      <c r="AP77" s="8"/>
      <c r="AQ77" s="8"/>
      <c r="AR77" s="8"/>
      <c r="AS77" s="8"/>
      <c r="AT77" s="10"/>
    </row>
    <row r="78" ht="15.75" customHeight="1">
      <c r="A78" s="22" t="s">
        <v>117</v>
      </c>
      <c r="B78" s="8">
        <f t="shared" si="1"/>
        <v>2</v>
      </c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>
        <v>2.0</v>
      </c>
      <c r="U78" s="8"/>
      <c r="V78" s="8"/>
      <c r="W78" s="8"/>
      <c r="X78" s="8"/>
      <c r="Y78" s="8"/>
      <c r="Z78" s="8"/>
      <c r="AA78" s="8"/>
      <c r="AB78" s="8"/>
      <c r="AC78" s="8"/>
      <c r="AD78" s="8"/>
      <c r="AE78" s="8"/>
      <c r="AF78" s="8"/>
      <c r="AG78" s="8"/>
      <c r="AH78" s="8"/>
      <c r="AI78" s="8"/>
      <c r="AJ78" s="8"/>
      <c r="AK78" s="8"/>
      <c r="AL78" s="8"/>
      <c r="AM78" s="8"/>
      <c r="AN78" s="8"/>
      <c r="AO78" s="8"/>
      <c r="AP78" s="8"/>
      <c r="AQ78" s="8"/>
      <c r="AR78" s="8"/>
      <c r="AS78" s="8"/>
      <c r="AT78" s="8"/>
    </row>
    <row r="79" ht="15.75" customHeight="1">
      <c r="A79" s="22" t="s">
        <v>118</v>
      </c>
      <c r="B79" s="8">
        <f t="shared" si="1"/>
        <v>2</v>
      </c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>
        <v>2.0</v>
      </c>
      <c r="U79" s="8"/>
      <c r="V79" s="8"/>
      <c r="W79" s="8"/>
      <c r="X79" s="8"/>
      <c r="Y79" s="8"/>
      <c r="Z79" s="8"/>
      <c r="AA79" s="8"/>
      <c r="AB79" s="8"/>
      <c r="AC79" s="8"/>
      <c r="AD79" s="8"/>
      <c r="AE79" s="8"/>
      <c r="AF79" s="8"/>
      <c r="AG79" s="8"/>
      <c r="AH79" s="8"/>
      <c r="AI79" s="8"/>
      <c r="AJ79" s="8"/>
      <c r="AK79" s="8"/>
      <c r="AL79" s="8"/>
      <c r="AM79" s="8"/>
      <c r="AN79" s="8"/>
      <c r="AO79" s="8"/>
      <c r="AP79" s="8"/>
      <c r="AQ79" s="8"/>
      <c r="AR79" s="8"/>
      <c r="AS79" s="8"/>
      <c r="AT79" s="8"/>
    </row>
    <row r="80" ht="15.75" customHeight="1">
      <c r="A80" s="22" t="s">
        <v>119</v>
      </c>
      <c r="B80" s="8">
        <f t="shared" si="1"/>
        <v>2</v>
      </c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>
        <v>2.0</v>
      </c>
      <c r="U80" s="8"/>
      <c r="V80" s="8"/>
      <c r="W80" s="8"/>
      <c r="X80" s="8"/>
      <c r="Y80" s="8"/>
      <c r="Z80" s="8"/>
      <c r="AA80" s="8"/>
      <c r="AB80" s="8"/>
      <c r="AC80" s="8"/>
      <c r="AD80" s="8"/>
      <c r="AE80" s="8"/>
      <c r="AF80" s="8"/>
      <c r="AG80" s="8"/>
      <c r="AH80" s="8"/>
      <c r="AI80" s="8"/>
      <c r="AJ80" s="8"/>
      <c r="AK80" s="8"/>
      <c r="AL80" s="8"/>
      <c r="AM80" s="8"/>
      <c r="AN80" s="8"/>
      <c r="AO80" s="8"/>
      <c r="AP80" s="8"/>
      <c r="AQ80" s="8"/>
      <c r="AR80" s="8"/>
      <c r="AS80" s="8"/>
      <c r="AT80" s="8"/>
    </row>
    <row r="81" ht="15.75" customHeight="1">
      <c r="A81" s="22" t="s">
        <v>120</v>
      </c>
      <c r="B81" s="8">
        <f t="shared" si="1"/>
        <v>1.5</v>
      </c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>
        <v>1.5</v>
      </c>
      <c r="V81" s="8"/>
      <c r="W81" s="8"/>
      <c r="X81" s="8"/>
      <c r="Y81" s="8"/>
      <c r="Z81" s="8"/>
      <c r="AA81" s="8"/>
      <c r="AB81" s="8"/>
      <c r="AC81" s="8"/>
      <c r="AD81" s="8"/>
      <c r="AE81" s="8"/>
      <c r="AF81" s="8"/>
      <c r="AG81" s="8"/>
      <c r="AH81" s="8"/>
      <c r="AI81" s="8"/>
      <c r="AJ81" s="8"/>
      <c r="AK81" s="8"/>
      <c r="AL81" s="8"/>
      <c r="AM81" s="8"/>
      <c r="AN81" s="8"/>
      <c r="AO81" s="8"/>
      <c r="AP81" s="8"/>
      <c r="AQ81" s="8"/>
      <c r="AR81" s="8"/>
      <c r="AS81" s="8"/>
      <c r="AT81" s="8"/>
    </row>
    <row r="82" ht="15.75" customHeight="1">
      <c r="A82" s="22" t="s">
        <v>121</v>
      </c>
      <c r="B82" s="8">
        <f t="shared" si="1"/>
        <v>1.5</v>
      </c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>
        <v>1.5</v>
      </c>
      <c r="W82" s="8"/>
      <c r="X82" s="8"/>
      <c r="Y82" s="8"/>
      <c r="Z82" s="8"/>
      <c r="AA82" s="8"/>
      <c r="AB82" s="8"/>
      <c r="AC82" s="8"/>
      <c r="AD82" s="8"/>
      <c r="AE82" s="8"/>
      <c r="AF82" s="8"/>
      <c r="AG82" s="8"/>
      <c r="AH82" s="8"/>
      <c r="AI82" s="8"/>
      <c r="AJ82" s="8"/>
      <c r="AK82" s="8"/>
      <c r="AL82" s="8"/>
      <c r="AM82" s="8"/>
      <c r="AN82" s="8"/>
      <c r="AO82" s="8"/>
      <c r="AP82" s="8"/>
      <c r="AQ82" s="8"/>
      <c r="AR82" s="8"/>
      <c r="AS82" s="8"/>
      <c r="AT82" s="8"/>
    </row>
    <row r="83" ht="15.75" customHeight="1">
      <c r="A83" s="22" t="s">
        <v>122</v>
      </c>
      <c r="B83" s="8">
        <f t="shared" si="1"/>
        <v>4</v>
      </c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>
        <v>2.0</v>
      </c>
      <c r="X83" s="8"/>
      <c r="Y83" s="8"/>
      <c r="Z83" s="8"/>
      <c r="AA83" s="8"/>
      <c r="AB83" s="8"/>
      <c r="AC83" s="8">
        <v>2.0</v>
      </c>
      <c r="AD83" s="8"/>
      <c r="AE83" s="8"/>
      <c r="AF83" s="8"/>
      <c r="AG83" s="8"/>
      <c r="AH83" s="8"/>
      <c r="AI83" s="8"/>
      <c r="AJ83" s="8"/>
      <c r="AK83" s="8"/>
      <c r="AL83" s="8"/>
      <c r="AM83" s="8"/>
      <c r="AN83" s="8"/>
      <c r="AO83" s="8"/>
      <c r="AP83" s="8"/>
      <c r="AQ83" s="8"/>
      <c r="AR83" s="8"/>
      <c r="AS83" s="8"/>
      <c r="AT83" s="8"/>
    </row>
    <row r="84" ht="15.75" customHeight="1">
      <c r="A84" s="22" t="s">
        <v>123</v>
      </c>
      <c r="B84" s="8">
        <f t="shared" si="1"/>
        <v>2</v>
      </c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>
        <v>2.0</v>
      </c>
      <c r="X84" s="8"/>
      <c r="Y84" s="8"/>
      <c r="Z84" s="8"/>
      <c r="AA84" s="8"/>
      <c r="AB84" s="8"/>
      <c r="AC84" s="8"/>
      <c r="AD84" s="8"/>
      <c r="AE84" s="8"/>
      <c r="AF84" s="8"/>
      <c r="AG84" s="8"/>
      <c r="AH84" s="8"/>
      <c r="AI84" s="8"/>
      <c r="AJ84" s="8"/>
      <c r="AK84" s="8"/>
      <c r="AL84" s="8"/>
      <c r="AM84" s="8"/>
      <c r="AN84" s="8"/>
      <c r="AO84" s="8"/>
      <c r="AP84" s="8"/>
      <c r="AQ84" s="8"/>
      <c r="AR84" s="8"/>
      <c r="AS84" s="8"/>
      <c r="AT84" s="8"/>
    </row>
    <row r="85" ht="15.75" customHeight="1">
      <c r="A85" s="22" t="s">
        <v>124</v>
      </c>
      <c r="B85" s="8">
        <f t="shared" si="1"/>
        <v>2</v>
      </c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>
        <v>2.0</v>
      </c>
      <c r="X85" s="8"/>
      <c r="Y85" s="8"/>
      <c r="Z85" s="8"/>
      <c r="AA85" s="8"/>
      <c r="AB85" s="8"/>
      <c r="AC85" s="8"/>
      <c r="AD85" s="8"/>
      <c r="AE85" s="8"/>
      <c r="AF85" s="8"/>
      <c r="AG85" s="8"/>
      <c r="AH85" s="8"/>
      <c r="AI85" s="8"/>
      <c r="AJ85" s="8"/>
      <c r="AK85" s="8"/>
      <c r="AL85" s="8"/>
      <c r="AM85" s="8"/>
      <c r="AN85" s="8"/>
      <c r="AO85" s="8"/>
      <c r="AP85" s="8"/>
      <c r="AQ85" s="8"/>
      <c r="AR85" s="8"/>
      <c r="AS85" s="8"/>
      <c r="AT85" s="8"/>
    </row>
    <row r="86" ht="15.75" customHeight="1">
      <c r="A86" s="22" t="s">
        <v>125</v>
      </c>
      <c r="B86" s="8">
        <f t="shared" si="1"/>
        <v>1.5</v>
      </c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>
        <v>1.5</v>
      </c>
      <c r="Y86" s="8"/>
      <c r="Z86" s="8"/>
      <c r="AA86" s="8"/>
      <c r="AB86" s="8"/>
      <c r="AC86" s="8"/>
      <c r="AD86" s="8"/>
      <c r="AE86" s="8"/>
      <c r="AF86" s="8"/>
      <c r="AG86" s="8"/>
      <c r="AH86" s="8"/>
      <c r="AI86" s="8"/>
      <c r="AJ86" s="8"/>
      <c r="AK86" s="8"/>
      <c r="AL86" s="8"/>
      <c r="AM86" s="8"/>
      <c r="AN86" s="8"/>
      <c r="AO86" s="8"/>
      <c r="AP86" s="8"/>
      <c r="AQ86" s="8"/>
      <c r="AR86" s="8"/>
      <c r="AS86" s="8"/>
      <c r="AT86" s="8"/>
    </row>
    <row r="87" ht="15.75" customHeight="1">
      <c r="A87" s="22" t="s">
        <v>126</v>
      </c>
      <c r="B87" s="8">
        <f t="shared" si="1"/>
        <v>1.5</v>
      </c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>
        <v>1.5</v>
      </c>
      <c r="Y87" s="8"/>
      <c r="Z87" s="8"/>
      <c r="AA87" s="8"/>
      <c r="AB87" s="8"/>
      <c r="AC87" s="8"/>
      <c r="AD87" s="8"/>
      <c r="AE87" s="8"/>
      <c r="AF87" s="8"/>
      <c r="AG87" s="8"/>
      <c r="AH87" s="8"/>
      <c r="AI87" s="8"/>
      <c r="AJ87" s="8"/>
      <c r="AK87" s="8"/>
      <c r="AL87" s="8"/>
      <c r="AM87" s="8"/>
      <c r="AN87" s="8"/>
      <c r="AO87" s="8"/>
      <c r="AP87" s="8"/>
      <c r="AQ87" s="8"/>
      <c r="AR87" s="8"/>
      <c r="AS87" s="8"/>
      <c r="AT87" s="8"/>
    </row>
    <row r="88" ht="15.75" customHeight="1">
      <c r="A88" s="22" t="s">
        <v>127</v>
      </c>
      <c r="B88" s="8">
        <f t="shared" si="1"/>
        <v>1.5</v>
      </c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>
        <v>1.5</v>
      </c>
      <c r="Y88" s="8"/>
      <c r="Z88" s="8"/>
      <c r="AA88" s="8"/>
      <c r="AB88" s="8"/>
      <c r="AC88" s="8"/>
      <c r="AD88" s="8"/>
      <c r="AE88" s="8"/>
      <c r="AF88" s="8"/>
      <c r="AG88" s="8"/>
      <c r="AH88" s="8"/>
      <c r="AI88" s="8"/>
      <c r="AJ88" s="8"/>
      <c r="AK88" s="8"/>
      <c r="AL88" s="8"/>
      <c r="AM88" s="8"/>
      <c r="AN88" s="8"/>
      <c r="AO88" s="8"/>
      <c r="AP88" s="8"/>
      <c r="AQ88" s="8"/>
      <c r="AR88" s="8"/>
      <c r="AS88" s="8"/>
      <c r="AT88" s="8"/>
    </row>
    <row r="89" ht="15.75" customHeight="1">
      <c r="A89" s="22" t="s">
        <v>128</v>
      </c>
      <c r="B89" s="8">
        <f t="shared" si="1"/>
        <v>1.5</v>
      </c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>
        <v>1.5</v>
      </c>
      <c r="Y89" s="8"/>
      <c r="Z89" s="8"/>
      <c r="AA89" s="8"/>
      <c r="AB89" s="8"/>
      <c r="AC89" s="8"/>
      <c r="AD89" s="8"/>
      <c r="AE89" s="8"/>
      <c r="AF89" s="8"/>
      <c r="AG89" s="8"/>
      <c r="AH89" s="8"/>
      <c r="AI89" s="8"/>
      <c r="AJ89" s="8"/>
      <c r="AK89" s="8"/>
      <c r="AL89" s="8"/>
      <c r="AM89" s="8"/>
      <c r="AN89" s="8"/>
      <c r="AO89" s="8"/>
      <c r="AP89" s="8"/>
      <c r="AQ89" s="8"/>
      <c r="AR89" s="8"/>
      <c r="AS89" s="8"/>
      <c r="AT89" s="8"/>
    </row>
    <row r="90" ht="15.75" customHeight="1">
      <c r="A90" s="22" t="s">
        <v>129</v>
      </c>
      <c r="B90" s="8">
        <f t="shared" si="1"/>
        <v>1.5</v>
      </c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>
        <v>1.5</v>
      </c>
      <c r="Y90" s="8"/>
      <c r="Z90" s="8"/>
      <c r="AA90" s="8"/>
      <c r="AB90" s="8"/>
      <c r="AC90" s="8"/>
      <c r="AD90" s="8"/>
      <c r="AE90" s="8"/>
      <c r="AF90" s="8"/>
      <c r="AG90" s="8"/>
      <c r="AH90" s="8"/>
      <c r="AI90" s="8"/>
      <c r="AJ90" s="8"/>
      <c r="AK90" s="8"/>
      <c r="AL90" s="8"/>
      <c r="AM90" s="8"/>
      <c r="AN90" s="8"/>
      <c r="AO90" s="8"/>
      <c r="AP90" s="8"/>
      <c r="AQ90" s="8"/>
      <c r="AR90" s="8"/>
      <c r="AS90" s="8"/>
      <c r="AT90" s="8"/>
    </row>
    <row r="91" ht="15.75" customHeight="1">
      <c r="A91" s="22" t="s">
        <v>130</v>
      </c>
      <c r="B91" s="8">
        <f t="shared" si="1"/>
        <v>1.5</v>
      </c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>
        <v>1.5</v>
      </c>
      <c r="Y91" s="8"/>
      <c r="Z91" s="8"/>
      <c r="AA91" s="8"/>
      <c r="AB91" s="8"/>
      <c r="AC91" s="8"/>
      <c r="AD91" s="8"/>
      <c r="AE91" s="8"/>
      <c r="AF91" s="8"/>
      <c r="AG91" s="8"/>
      <c r="AH91" s="8"/>
      <c r="AI91" s="8"/>
      <c r="AJ91" s="8"/>
      <c r="AK91" s="8"/>
      <c r="AL91" s="8"/>
      <c r="AM91" s="8"/>
      <c r="AN91" s="8"/>
      <c r="AO91" s="8"/>
      <c r="AP91" s="8"/>
      <c r="AQ91" s="8"/>
      <c r="AR91" s="8"/>
      <c r="AS91" s="8"/>
      <c r="AT91" s="8"/>
    </row>
    <row r="92" ht="15.75" customHeight="1">
      <c r="A92" s="22" t="s">
        <v>131</v>
      </c>
      <c r="B92" s="8">
        <f t="shared" si="1"/>
        <v>1.5</v>
      </c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>
        <v>1.5</v>
      </c>
      <c r="Y92" s="8"/>
      <c r="Z92" s="8"/>
      <c r="AA92" s="8"/>
      <c r="AB92" s="8"/>
      <c r="AC92" s="8"/>
      <c r="AD92" s="8"/>
      <c r="AE92" s="8"/>
      <c r="AF92" s="8"/>
      <c r="AG92" s="8"/>
      <c r="AH92" s="8"/>
      <c r="AI92" s="8"/>
      <c r="AJ92" s="8"/>
      <c r="AK92" s="8"/>
      <c r="AL92" s="8"/>
      <c r="AM92" s="8"/>
      <c r="AN92" s="8"/>
      <c r="AO92" s="8"/>
      <c r="AP92" s="8"/>
      <c r="AQ92" s="8"/>
      <c r="AR92" s="8"/>
      <c r="AS92" s="8"/>
      <c r="AT92" s="8"/>
    </row>
    <row r="93" ht="15.75" customHeight="1">
      <c r="A93" s="22" t="s">
        <v>132</v>
      </c>
      <c r="B93" s="8">
        <f t="shared" si="1"/>
        <v>1.5</v>
      </c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>
        <v>1.5</v>
      </c>
      <c r="Y93" s="8"/>
      <c r="Z93" s="8"/>
      <c r="AA93" s="8"/>
      <c r="AB93" s="8"/>
      <c r="AC93" s="8"/>
      <c r="AD93" s="8"/>
      <c r="AE93" s="8"/>
      <c r="AF93" s="8"/>
      <c r="AG93" s="8"/>
      <c r="AH93" s="8"/>
      <c r="AI93" s="8"/>
      <c r="AJ93" s="8"/>
      <c r="AK93" s="8"/>
      <c r="AL93" s="8"/>
      <c r="AM93" s="8"/>
      <c r="AN93" s="8"/>
      <c r="AO93" s="8"/>
      <c r="AP93" s="8"/>
      <c r="AQ93" s="8"/>
      <c r="AR93" s="8"/>
      <c r="AS93" s="8"/>
      <c r="AT93" s="8"/>
    </row>
    <row r="94" ht="15.75" customHeight="1">
      <c r="A94" s="22" t="s">
        <v>133</v>
      </c>
      <c r="B94" s="8">
        <f t="shared" si="1"/>
        <v>1.5</v>
      </c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>
        <v>1.5</v>
      </c>
      <c r="Y94" s="8"/>
      <c r="Z94" s="8"/>
      <c r="AA94" s="8"/>
      <c r="AB94" s="8"/>
      <c r="AC94" s="8"/>
      <c r="AD94" s="8"/>
      <c r="AE94" s="8"/>
      <c r="AF94" s="8"/>
      <c r="AG94" s="8"/>
      <c r="AH94" s="8"/>
      <c r="AI94" s="8"/>
      <c r="AJ94" s="8"/>
      <c r="AK94" s="8"/>
      <c r="AL94" s="8"/>
      <c r="AM94" s="8"/>
      <c r="AN94" s="8"/>
      <c r="AO94" s="8"/>
      <c r="AP94" s="8"/>
      <c r="AQ94" s="8"/>
      <c r="AR94" s="8"/>
      <c r="AS94" s="8"/>
      <c r="AT94" s="8"/>
    </row>
    <row r="95" ht="15.75" customHeight="1">
      <c r="A95" s="22" t="s">
        <v>134</v>
      </c>
      <c r="B95" s="8">
        <f t="shared" si="1"/>
        <v>1.75</v>
      </c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>
        <v>1.75</v>
      </c>
      <c r="Z95" s="8"/>
      <c r="AA95" s="8"/>
      <c r="AB95" s="8"/>
      <c r="AC95" s="8"/>
      <c r="AD95" s="8"/>
      <c r="AE95" s="8"/>
      <c r="AF95" s="8"/>
      <c r="AG95" s="8"/>
      <c r="AH95" s="8"/>
      <c r="AI95" s="8"/>
      <c r="AJ95" s="8"/>
      <c r="AK95" s="8"/>
      <c r="AL95" s="8"/>
      <c r="AM95" s="8"/>
      <c r="AN95" s="8"/>
      <c r="AO95" s="8"/>
      <c r="AP95" s="8"/>
      <c r="AQ95" s="8"/>
      <c r="AR95" s="8"/>
      <c r="AS95" s="8"/>
      <c r="AT95" s="8"/>
    </row>
    <row r="96" ht="15.75" customHeight="1">
      <c r="A96" s="22" t="s">
        <v>135</v>
      </c>
      <c r="B96" s="8">
        <f t="shared" si="1"/>
        <v>1.75</v>
      </c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>
        <v>1.75</v>
      </c>
      <c r="Z96" s="8"/>
      <c r="AA96" s="8"/>
      <c r="AB96" s="8"/>
      <c r="AC96" s="8"/>
      <c r="AD96" s="8"/>
      <c r="AE96" s="8"/>
      <c r="AF96" s="8"/>
      <c r="AG96" s="8"/>
      <c r="AH96" s="8"/>
      <c r="AI96" s="8"/>
      <c r="AJ96" s="8"/>
      <c r="AK96" s="8"/>
      <c r="AL96" s="8"/>
      <c r="AM96" s="8"/>
      <c r="AN96" s="8"/>
      <c r="AO96" s="8"/>
      <c r="AP96" s="8"/>
      <c r="AQ96" s="8"/>
      <c r="AR96" s="8"/>
      <c r="AS96" s="8"/>
      <c r="AT96" s="8"/>
    </row>
    <row r="97" ht="15.75" customHeight="1">
      <c r="A97" s="22" t="s">
        <v>136</v>
      </c>
      <c r="B97" s="8">
        <f t="shared" si="1"/>
        <v>3</v>
      </c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>
        <v>1.75</v>
      </c>
      <c r="Z97" s="8">
        <v>1.25</v>
      </c>
      <c r="AA97" s="8"/>
      <c r="AB97" s="8"/>
      <c r="AC97" s="8"/>
      <c r="AD97" s="8"/>
      <c r="AE97" s="8"/>
      <c r="AF97" s="8"/>
      <c r="AG97" s="8"/>
      <c r="AH97" s="8"/>
      <c r="AI97" s="8"/>
      <c r="AJ97" s="8"/>
      <c r="AK97" s="8"/>
      <c r="AL97" s="8"/>
      <c r="AM97" s="8"/>
      <c r="AN97" s="8"/>
      <c r="AO97" s="8"/>
      <c r="AP97" s="8"/>
      <c r="AQ97" s="8"/>
      <c r="AR97" s="8"/>
      <c r="AS97" s="8"/>
      <c r="AT97" s="8"/>
    </row>
    <row r="98" ht="15.75" customHeight="1">
      <c r="A98" s="22" t="s">
        <v>137</v>
      </c>
      <c r="B98" s="8">
        <f t="shared" si="1"/>
        <v>1.75</v>
      </c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>
        <v>1.75</v>
      </c>
      <c r="Z98" s="8"/>
      <c r="AA98" s="8"/>
      <c r="AB98" s="8"/>
      <c r="AC98" s="8"/>
      <c r="AD98" s="8"/>
      <c r="AE98" s="8"/>
      <c r="AF98" s="8"/>
      <c r="AG98" s="8"/>
      <c r="AH98" s="8"/>
      <c r="AI98" s="8"/>
      <c r="AJ98" s="8"/>
      <c r="AK98" s="8"/>
      <c r="AL98" s="8"/>
      <c r="AM98" s="8"/>
      <c r="AN98" s="8"/>
      <c r="AO98" s="8"/>
      <c r="AP98" s="8"/>
      <c r="AQ98" s="8"/>
      <c r="AR98" s="8"/>
      <c r="AS98" s="8"/>
      <c r="AT98" s="8"/>
    </row>
    <row r="99" ht="15.75" customHeight="1">
      <c r="A99" s="22" t="s">
        <v>138</v>
      </c>
      <c r="B99" s="8">
        <f t="shared" si="1"/>
        <v>1.75</v>
      </c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>
        <v>1.75</v>
      </c>
      <c r="Z99" s="8"/>
      <c r="AA99" s="8"/>
      <c r="AB99" s="8"/>
      <c r="AC99" s="8"/>
      <c r="AD99" s="8"/>
      <c r="AE99" s="8"/>
      <c r="AF99" s="8"/>
      <c r="AG99" s="8"/>
      <c r="AH99" s="8"/>
      <c r="AI99" s="8"/>
      <c r="AJ99" s="8"/>
      <c r="AK99" s="8"/>
      <c r="AL99" s="8"/>
      <c r="AM99" s="8"/>
      <c r="AN99" s="8"/>
      <c r="AO99" s="8"/>
      <c r="AP99" s="8"/>
      <c r="AQ99" s="8"/>
      <c r="AR99" s="8"/>
      <c r="AS99" s="8"/>
      <c r="AT99" s="8"/>
    </row>
    <row r="100" ht="15.75" customHeight="1">
      <c r="A100" s="22" t="s">
        <v>139</v>
      </c>
      <c r="B100" s="8">
        <f t="shared" si="1"/>
        <v>19.75</v>
      </c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>
        <v>1.25</v>
      </c>
      <c r="AA100" s="8">
        <v>2.0</v>
      </c>
      <c r="AB100" s="8"/>
      <c r="AC100" s="8"/>
      <c r="AD100" s="20">
        <v>2.0</v>
      </c>
      <c r="AE100" s="20">
        <v>2.0</v>
      </c>
      <c r="AF100" s="8"/>
      <c r="AG100" s="20">
        <v>2.5</v>
      </c>
      <c r="AH100" s="8"/>
      <c r="AI100" s="21">
        <v>2.0</v>
      </c>
      <c r="AJ100" s="20">
        <v>1.75</v>
      </c>
      <c r="AK100" s="8"/>
      <c r="AL100" s="20">
        <v>1.5</v>
      </c>
      <c r="AM100" s="20">
        <v>2.25</v>
      </c>
      <c r="AN100" s="20">
        <v>2.5</v>
      </c>
      <c r="AO100" s="8"/>
      <c r="AP100" s="8"/>
      <c r="AQ100" s="8"/>
      <c r="AR100" s="8"/>
      <c r="AS100" s="8"/>
      <c r="AT100" s="8"/>
    </row>
    <row r="101" ht="15.75" customHeight="1">
      <c r="A101" s="22" t="s">
        <v>140</v>
      </c>
      <c r="B101" s="8">
        <f t="shared" si="1"/>
        <v>1.25</v>
      </c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>
        <v>1.25</v>
      </c>
      <c r="AA101" s="8"/>
      <c r="AB101" s="8"/>
      <c r="AC101" s="8"/>
      <c r="AD101" s="8"/>
      <c r="AE101" s="8"/>
      <c r="AF101" s="8"/>
      <c r="AG101" s="8"/>
      <c r="AH101" s="8"/>
      <c r="AI101" s="8"/>
      <c r="AJ101" s="8"/>
      <c r="AK101" s="8"/>
      <c r="AL101" s="8"/>
      <c r="AM101" s="8"/>
      <c r="AN101" s="8"/>
      <c r="AO101" s="8"/>
      <c r="AP101" s="8"/>
      <c r="AQ101" s="8"/>
      <c r="AR101" s="8"/>
      <c r="AS101" s="8"/>
      <c r="AT101" s="8"/>
    </row>
    <row r="102" ht="15.75" customHeight="1">
      <c r="A102" s="22" t="s">
        <v>141</v>
      </c>
      <c r="B102" s="8">
        <f t="shared" si="1"/>
        <v>1.25</v>
      </c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>
        <v>1.25</v>
      </c>
      <c r="AA102" s="8"/>
      <c r="AB102" s="8"/>
      <c r="AC102" s="8"/>
      <c r="AD102" s="8"/>
      <c r="AE102" s="8"/>
      <c r="AF102" s="8"/>
      <c r="AG102" s="8"/>
      <c r="AH102" s="8"/>
      <c r="AI102" s="8"/>
      <c r="AJ102" s="8"/>
      <c r="AK102" s="8"/>
      <c r="AL102" s="8"/>
      <c r="AM102" s="8"/>
      <c r="AN102" s="8"/>
      <c r="AO102" s="8"/>
      <c r="AP102" s="8"/>
      <c r="AQ102" s="8"/>
      <c r="AR102" s="8"/>
      <c r="AS102" s="8"/>
      <c r="AT102" s="8"/>
    </row>
    <row r="103" ht="15.75" customHeight="1">
      <c r="A103" s="22" t="s">
        <v>142</v>
      </c>
      <c r="B103" s="8">
        <f t="shared" si="1"/>
        <v>9.75</v>
      </c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>
        <v>1.25</v>
      </c>
      <c r="AA103" s="8"/>
      <c r="AB103" s="8"/>
      <c r="AC103" s="8"/>
      <c r="AD103" s="8"/>
      <c r="AE103" s="8"/>
      <c r="AF103" s="20">
        <v>2.0</v>
      </c>
      <c r="AG103" s="8"/>
      <c r="AH103" s="8"/>
      <c r="AI103" s="8"/>
      <c r="AJ103" s="20">
        <v>2.0</v>
      </c>
      <c r="AK103" s="20">
        <v>2.0</v>
      </c>
      <c r="AL103" s="8"/>
      <c r="AM103" s="8"/>
      <c r="AN103" s="20">
        <v>2.5</v>
      </c>
      <c r="AO103" s="8"/>
      <c r="AP103" s="8"/>
      <c r="AQ103" s="8"/>
      <c r="AR103" s="8"/>
      <c r="AS103" s="8"/>
      <c r="AT103" s="8"/>
    </row>
    <row r="104" ht="15.75" customHeight="1">
      <c r="A104" s="22" t="s">
        <v>143</v>
      </c>
      <c r="B104" s="8">
        <f t="shared" si="1"/>
        <v>5.75</v>
      </c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>
        <v>2.0</v>
      </c>
      <c r="AB104" s="8"/>
      <c r="AC104" s="8"/>
      <c r="AD104" s="8"/>
      <c r="AE104" s="8"/>
      <c r="AF104" s="8"/>
      <c r="AG104" s="8"/>
      <c r="AH104" s="8"/>
      <c r="AI104" s="21">
        <v>1.75</v>
      </c>
      <c r="AJ104" s="8"/>
      <c r="AK104" s="8"/>
      <c r="AL104" s="8"/>
      <c r="AM104" s="8"/>
      <c r="AN104" s="8"/>
      <c r="AO104" s="20">
        <v>2.0</v>
      </c>
      <c r="AP104" s="8"/>
      <c r="AQ104" s="8"/>
      <c r="AR104" s="8"/>
      <c r="AS104" s="8"/>
      <c r="AT104" s="8"/>
    </row>
    <row r="105" ht="15.75" customHeight="1">
      <c r="A105" s="22" t="s">
        <v>144</v>
      </c>
      <c r="B105" s="8">
        <f t="shared" si="1"/>
        <v>2</v>
      </c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>
        <v>2.0</v>
      </c>
      <c r="AB105" s="8"/>
      <c r="AC105" s="8"/>
      <c r="AD105" s="8"/>
      <c r="AE105" s="8"/>
      <c r="AF105" s="8"/>
      <c r="AG105" s="8"/>
      <c r="AH105" s="8"/>
      <c r="AI105" s="8"/>
      <c r="AJ105" s="8"/>
      <c r="AK105" s="8"/>
      <c r="AL105" s="8"/>
      <c r="AM105" s="8"/>
      <c r="AN105" s="8"/>
      <c r="AO105" s="8"/>
      <c r="AP105" s="8"/>
      <c r="AQ105" s="8"/>
      <c r="AR105" s="8"/>
      <c r="AS105" s="8"/>
      <c r="AT105" s="8"/>
    </row>
    <row r="106" ht="15.75" customHeight="1">
      <c r="A106" s="22" t="s">
        <v>145</v>
      </c>
      <c r="B106" s="8">
        <f t="shared" si="1"/>
        <v>2</v>
      </c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>
        <v>2.0</v>
      </c>
      <c r="AB106" s="8"/>
      <c r="AC106" s="8"/>
      <c r="AD106" s="8"/>
      <c r="AE106" s="8"/>
      <c r="AF106" s="8"/>
      <c r="AG106" s="8"/>
      <c r="AH106" s="8"/>
      <c r="AI106" s="8"/>
      <c r="AJ106" s="8"/>
      <c r="AK106" s="8"/>
      <c r="AL106" s="8"/>
      <c r="AM106" s="8"/>
      <c r="AN106" s="8"/>
      <c r="AO106" s="8"/>
      <c r="AP106" s="8"/>
      <c r="AQ106" s="8"/>
      <c r="AR106" s="8"/>
      <c r="AS106" s="8"/>
      <c r="AT106" s="8"/>
    </row>
    <row r="107" ht="15.75" customHeight="1">
      <c r="A107" s="22" t="s">
        <v>146</v>
      </c>
      <c r="B107" s="8">
        <f t="shared" si="1"/>
        <v>5.75</v>
      </c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>
        <v>2.0</v>
      </c>
      <c r="AC107" s="8">
        <v>2.0</v>
      </c>
      <c r="AD107" s="8"/>
      <c r="AE107" s="8"/>
      <c r="AF107" s="8"/>
      <c r="AG107" s="8"/>
      <c r="AH107" s="8"/>
      <c r="AI107" s="8"/>
      <c r="AJ107" s="20">
        <v>1.75</v>
      </c>
      <c r="AK107" s="8"/>
      <c r="AL107" s="8"/>
      <c r="AM107" s="8"/>
      <c r="AN107" s="8"/>
      <c r="AO107" s="8"/>
      <c r="AP107" s="8"/>
      <c r="AQ107" s="8"/>
      <c r="AR107" s="8"/>
      <c r="AS107" s="8"/>
      <c r="AT107" s="8"/>
    </row>
    <row r="108" ht="15.75" customHeight="1">
      <c r="A108" s="22" t="s">
        <v>147</v>
      </c>
      <c r="B108" s="8">
        <f t="shared" si="1"/>
        <v>14.25</v>
      </c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>
        <v>2.0</v>
      </c>
      <c r="AC108" s="8"/>
      <c r="AD108" s="20">
        <v>2.0</v>
      </c>
      <c r="AE108" s="8"/>
      <c r="AF108" s="8"/>
      <c r="AG108" s="8"/>
      <c r="AH108" s="8"/>
      <c r="AI108" s="8"/>
      <c r="AJ108" s="20">
        <v>2.0</v>
      </c>
      <c r="AK108" s="20">
        <v>1.75</v>
      </c>
      <c r="AL108" s="8"/>
      <c r="AM108" s="20">
        <v>2.0</v>
      </c>
      <c r="AN108" s="20">
        <v>2.5</v>
      </c>
      <c r="AO108" s="20">
        <v>2.0</v>
      </c>
      <c r="AP108" s="8"/>
      <c r="AQ108" s="8"/>
      <c r="AR108" s="8"/>
      <c r="AS108" s="8"/>
      <c r="AT108" s="8"/>
    </row>
    <row r="109" ht="15.75" customHeight="1">
      <c r="A109" s="22" t="s">
        <v>148</v>
      </c>
      <c r="B109" s="8">
        <f t="shared" si="1"/>
        <v>2</v>
      </c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>
        <v>2.0</v>
      </c>
      <c r="AC109" s="8"/>
      <c r="AD109" s="8"/>
      <c r="AE109" s="8"/>
      <c r="AF109" s="8"/>
      <c r="AG109" s="8"/>
      <c r="AH109" s="8"/>
      <c r="AI109" s="8"/>
      <c r="AJ109" s="8"/>
      <c r="AK109" s="8"/>
      <c r="AL109" s="8"/>
      <c r="AM109" s="8"/>
      <c r="AN109" s="8"/>
      <c r="AO109" s="8"/>
      <c r="AP109" s="8"/>
      <c r="AQ109" s="8"/>
      <c r="AR109" s="8"/>
      <c r="AS109" s="8"/>
      <c r="AT109" s="8"/>
    </row>
    <row r="110" ht="15.75" customHeight="1">
      <c r="A110" s="22" t="s">
        <v>149</v>
      </c>
      <c r="B110" s="8">
        <f t="shared" si="1"/>
        <v>4</v>
      </c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>
        <v>2.0</v>
      </c>
      <c r="AC110" s="8">
        <v>2.0</v>
      </c>
      <c r="AD110" s="8"/>
      <c r="AE110" s="8"/>
      <c r="AF110" s="8"/>
      <c r="AG110" s="8"/>
      <c r="AH110" s="8"/>
      <c r="AI110" s="8"/>
      <c r="AJ110" s="8"/>
      <c r="AK110" s="8"/>
      <c r="AL110" s="8"/>
      <c r="AM110" s="8"/>
      <c r="AN110" s="8"/>
      <c r="AO110" s="8"/>
      <c r="AP110" s="8"/>
      <c r="AQ110" s="8"/>
      <c r="AR110" s="8"/>
      <c r="AS110" s="8"/>
      <c r="AT110" s="8"/>
    </row>
    <row r="111" ht="15.75" customHeight="1">
      <c r="A111" s="22" t="s">
        <v>150</v>
      </c>
      <c r="B111" s="8">
        <f t="shared" si="1"/>
        <v>3.75</v>
      </c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>
        <v>2.0</v>
      </c>
      <c r="AC111" s="8"/>
      <c r="AD111" s="8"/>
      <c r="AE111" s="8"/>
      <c r="AF111" s="8"/>
      <c r="AG111" s="8"/>
      <c r="AH111" s="8"/>
      <c r="AI111" s="8"/>
      <c r="AJ111" s="8"/>
      <c r="AK111" s="20">
        <v>1.75</v>
      </c>
      <c r="AL111" s="8"/>
      <c r="AM111" s="8"/>
      <c r="AN111" s="8"/>
      <c r="AO111" s="8"/>
      <c r="AP111" s="8"/>
      <c r="AQ111" s="8"/>
      <c r="AR111" s="8"/>
      <c r="AS111" s="8"/>
      <c r="AT111" s="8"/>
    </row>
    <row r="112" ht="15.75" customHeight="1">
      <c r="A112" s="22" t="s">
        <v>151</v>
      </c>
      <c r="B112" s="8">
        <f t="shared" si="1"/>
        <v>2</v>
      </c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>
        <v>2.0</v>
      </c>
      <c r="AD112" s="8"/>
      <c r="AE112" s="8"/>
      <c r="AF112" s="8"/>
      <c r="AG112" s="8"/>
      <c r="AH112" s="8"/>
      <c r="AI112" s="8"/>
      <c r="AJ112" s="8"/>
      <c r="AK112" s="8"/>
      <c r="AL112" s="8"/>
      <c r="AM112" s="8"/>
      <c r="AN112" s="8"/>
      <c r="AO112" s="8"/>
      <c r="AP112" s="8"/>
      <c r="AQ112" s="8"/>
      <c r="AR112" s="8"/>
      <c r="AS112" s="8"/>
      <c r="AT112" s="8"/>
    </row>
    <row r="113" ht="15.75" customHeight="1">
      <c r="A113" s="22" t="s">
        <v>152</v>
      </c>
      <c r="B113" s="8">
        <f t="shared" si="1"/>
        <v>2</v>
      </c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>
        <v>2.0</v>
      </c>
      <c r="AD113" s="8"/>
      <c r="AE113" s="8"/>
      <c r="AF113" s="8"/>
      <c r="AG113" s="8"/>
      <c r="AH113" s="8"/>
      <c r="AI113" s="8"/>
      <c r="AJ113" s="8"/>
      <c r="AK113" s="8"/>
      <c r="AL113" s="8"/>
      <c r="AM113" s="8"/>
      <c r="AN113" s="8"/>
      <c r="AO113" s="8"/>
      <c r="AP113" s="8"/>
      <c r="AQ113" s="8"/>
      <c r="AR113" s="8"/>
      <c r="AS113" s="8"/>
      <c r="AT113" s="8"/>
    </row>
    <row r="114" ht="15.75" customHeight="1">
      <c r="A114" s="22" t="s">
        <v>153</v>
      </c>
      <c r="B114" s="8">
        <f t="shared" si="1"/>
        <v>2</v>
      </c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>
        <v>2.0</v>
      </c>
      <c r="AD114" s="8"/>
      <c r="AE114" s="8"/>
      <c r="AF114" s="8"/>
      <c r="AG114" s="8"/>
      <c r="AH114" s="8"/>
      <c r="AI114" s="8"/>
      <c r="AJ114" s="8"/>
      <c r="AK114" s="8"/>
      <c r="AL114" s="8"/>
      <c r="AM114" s="8"/>
      <c r="AN114" s="8"/>
      <c r="AO114" s="8"/>
      <c r="AP114" s="8"/>
      <c r="AQ114" s="8"/>
      <c r="AR114" s="8"/>
      <c r="AS114" s="8"/>
      <c r="AT114" s="8"/>
    </row>
    <row r="115" ht="15.75" customHeight="1">
      <c r="A115" s="23" t="s">
        <v>154</v>
      </c>
      <c r="B115" s="8">
        <f t="shared" si="1"/>
        <v>2</v>
      </c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20">
        <v>2.0</v>
      </c>
      <c r="AE115" s="8"/>
      <c r="AF115" s="8"/>
      <c r="AG115" s="8"/>
      <c r="AH115" s="8"/>
      <c r="AI115" s="8"/>
      <c r="AJ115" s="8"/>
      <c r="AK115" s="8"/>
      <c r="AL115" s="8"/>
      <c r="AM115" s="8"/>
      <c r="AN115" s="8"/>
      <c r="AO115" s="8"/>
      <c r="AP115" s="8"/>
      <c r="AQ115" s="8"/>
      <c r="AR115" s="8"/>
      <c r="AS115" s="8"/>
      <c r="AT115" s="8"/>
    </row>
    <row r="116" ht="15.75" customHeight="1">
      <c r="A116" s="23" t="s">
        <v>155</v>
      </c>
      <c r="B116" s="8">
        <f t="shared" si="1"/>
        <v>5.5</v>
      </c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20">
        <v>2.0</v>
      </c>
      <c r="AE116" s="8"/>
      <c r="AF116" s="8"/>
      <c r="AG116" s="20">
        <v>1.5</v>
      </c>
      <c r="AH116" s="8"/>
      <c r="AI116" s="8"/>
      <c r="AJ116" s="20">
        <v>2.0</v>
      </c>
      <c r="AK116" s="8"/>
      <c r="AL116" s="8"/>
      <c r="AM116" s="8"/>
      <c r="AN116" s="8"/>
      <c r="AO116" s="8"/>
      <c r="AP116" s="8"/>
      <c r="AQ116" s="8"/>
      <c r="AR116" s="8"/>
      <c r="AS116" s="8"/>
      <c r="AT116" s="8"/>
    </row>
    <row r="117" ht="15.75" customHeight="1">
      <c r="A117" s="23" t="s">
        <v>156</v>
      </c>
      <c r="B117" s="8">
        <f t="shared" si="1"/>
        <v>12.75</v>
      </c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20">
        <v>2.0</v>
      </c>
      <c r="AE117" s="20">
        <v>2.0</v>
      </c>
      <c r="AF117" s="20">
        <v>2.0</v>
      </c>
      <c r="AG117" s="20">
        <v>2.5</v>
      </c>
      <c r="AH117" s="20">
        <v>2.25</v>
      </c>
      <c r="AI117" s="20"/>
      <c r="AJ117" s="20"/>
      <c r="AK117" s="20">
        <v>2.0</v>
      </c>
      <c r="AL117" s="8"/>
      <c r="AM117" s="8"/>
      <c r="AN117" s="8"/>
      <c r="AO117" s="8"/>
      <c r="AP117" s="8"/>
      <c r="AQ117" s="8"/>
      <c r="AR117" s="8"/>
      <c r="AS117" s="8"/>
      <c r="AT117" s="8"/>
    </row>
    <row r="118" ht="15.75" customHeight="1">
      <c r="A118" s="23" t="s">
        <v>157</v>
      </c>
      <c r="B118" s="8">
        <f t="shared" si="1"/>
        <v>3.75</v>
      </c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  <c r="AE118" s="20">
        <v>2.0</v>
      </c>
      <c r="AF118" s="8"/>
      <c r="AG118" s="8"/>
      <c r="AH118" s="8"/>
      <c r="AI118" s="8"/>
      <c r="AJ118" s="8"/>
      <c r="AK118" s="20">
        <v>1.75</v>
      </c>
      <c r="AL118" s="8"/>
      <c r="AM118" s="8"/>
      <c r="AN118" s="8"/>
      <c r="AO118" s="8"/>
      <c r="AP118" s="8"/>
      <c r="AQ118" s="8"/>
      <c r="AR118" s="8"/>
      <c r="AS118" s="8"/>
      <c r="AT118" s="8"/>
    </row>
    <row r="119" ht="15.75" customHeight="1">
      <c r="A119" s="23" t="s">
        <v>158</v>
      </c>
      <c r="B119" s="8">
        <f t="shared" si="1"/>
        <v>2</v>
      </c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  <c r="AE119" s="20">
        <v>2.0</v>
      </c>
      <c r="AF119" s="8"/>
      <c r="AG119" s="8"/>
      <c r="AH119" s="8"/>
      <c r="AI119" s="8"/>
      <c r="AJ119" s="8"/>
      <c r="AK119" s="8"/>
      <c r="AL119" s="8"/>
      <c r="AM119" s="8"/>
      <c r="AN119" s="8"/>
      <c r="AO119" s="8"/>
      <c r="AP119" s="8"/>
      <c r="AQ119" s="8"/>
      <c r="AR119" s="8"/>
      <c r="AS119" s="8"/>
      <c r="AT119" s="8"/>
    </row>
    <row r="120" ht="15.75" customHeight="1">
      <c r="A120" s="23" t="s">
        <v>159</v>
      </c>
      <c r="B120" s="8">
        <f t="shared" si="1"/>
        <v>2</v>
      </c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  <c r="AE120" s="20">
        <v>2.0</v>
      </c>
      <c r="AF120" s="8"/>
      <c r="AG120" s="8"/>
      <c r="AH120" s="8"/>
      <c r="AI120" s="8"/>
      <c r="AJ120" s="8"/>
      <c r="AK120" s="8"/>
      <c r="AL120" s="8"/>
      <c r="AM120" s="8"/>
      <c r="AN120" s="8"/>
      <c r="AO120" s="8"/>
      <c r="AP120" s="8"/>
      <c r="AQ120" s="8"/>
      <c r="AR120" s="8"/>
      <c r="AS120" s="8"/>
      <c r="AT120" s="8"/>
    </row>
    <row r="121" ht="15.75" customHeight="1">
      <c r="A121" s="23" t="s">
        <v>160</v>
      </c>
      <c r="B121" s="8">
        <f t="shared" si="1"/>
        <v>2</v>
      </c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  <c r="AE121" s="20">
        <v>2.0</v>
      </c>
      <c r="AF121" s="8"/>
      <c r="AG121" s="8"/>
      <c r="AH121" s="8"/>
      <c r="AI121" s="8"/>
      <c r="AJ121" s="8"/>
      <c r="AK121" s="8"/>
      <c r="AL121" s="8"/>
      <c r="AM121" s="8"/>
      <c r="AN121" s="8"/>
      <c r="AO121" s="8"/>
      <c r="AP121" s="8"/>
      <c r="AQ121" s="8"/>
      <c r="AR121" s="8"/>
      <c r="AS121" s="8"/>
      <c r="AT121" s="8"/>
    </row>
    <row r="122" ht="15.75" customHeight="1">
      <c r="A122" s="23" t="s">
        <v>161</v>
      </c>
      <c r="B122" s="8">
        <f t="shared" si="1"/>
        <v>2</v>
      </c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  <c r="AE122" s="20">
        <v>2.0</v>
      </c>
      <c r="AF122" s="8"/>
      <c r="AG122" s="8"/>
      <c r="AH122" s="8"/>
      <c r="AI122" s="8"/>
      <c r="AJ122" s="8"/>
      <c r="AK122" s="8"/>
      <c r="AL122" s="8"/>
      <c r="AM122" s="8"/>
      <c r="AN122" s="8"/>
      <c r="AO122" s="8"/>
      <c r="AP122" s="8"/>
      <c r="AQ122" s="8"/>
      <c r="AR122" s="8"/>
      <c r="AS122" s="8"/>
      <c r="AT122" s="8"/>
    </row>
    <row r="123" ht="15.75" customHeight="1">
      <c r="A123" s="23" t="s">
        <v>162</v>
      </c>
      <c r="B123" s="8">
        <f t="shared" si="1"/>
        <v>2</v>
      </c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  <c r="AE123" s="20">
        <v>2.0</v>
      </c>
      <c r="AF123" s="8"/>
      <c r="AG123" s="8"/>
      <c r="AH123" s="8"/>
      <c r="AI123" s="8"/>
      <c r="AJ123" s="8"/>
      <c r="AK123" s="8"/>
      <c r="AL123" s="8"/>
      <c r="AM123" s="8"/>
      <c r="AN123" s="8"/>
      <c r="AO123" s="8"/>
      <c r="AP123" s="8"/>
      <c r="AQ123" s="8"/>
      <c r="AR123" s="8"/>
      <c r="AS123" s="8"/>
      <c r="AT123" s="8"/>
    </row>
    <row r="124" ht="15.75" customHeight="1">
      <c r="A124" s="23" t="s">
        <v>163</v>
      </c>
      <c r="B124" s="8">
        <f t="shared" si="1"/>
        <v>2</v>
      </c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  <c r="AE124" s="20">
        <v>2.0</v>
      </c>
      <c r="AF124" s="8"/>
      <c r="AG124" s="8"/>
      <c r="AH124" s="8"/>
      <c r="AI124" s="8"/>
      <c r="AJ124" s="8"/>
      <c r="AK124" s="8"/>
      <c r="AL124" s="8"/>
      <c r="AM124" s="8"/>
      <c r="AN124" s="8"/>
      <c r="AO124" s="8"/>
      <c r="AP124" s="8"/>
      <c r="AQ124" s="8"/>
      <c r="AR124" s="8"/>
      <c r="AS124" s="8"/>
      <c r="AT124" s="8"/>
    </row>
    <row r="125" ht="15.75" customHeight="1">
      <c r="A125" s="23" t="s">
        <v>164</v>
      </c>
      <c r="B125" s="8">
        <f t="shared" si="1"/>
        <v>8.25</v>
      </c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20">
        <v>2.0</v>
      </c>
      <c r="AF125" s="8"/>
      <c r="AG125" s="20">
        <v>1.5</v>
      </c>
      <c r="AH125" s="20">
        <v>1.0</v>
      </c>
      <c r="AI125" s="21">
        <v>1.75</v>
      </c>
      <c r="AJ125" s="8"/>
      <c r="AK125" s="8"/>
      <c r="AL125" s="8"/>
      <c r="AM125" s="20">
        <v>2.0</v>
      </c>
      <c r="AN125" s="8"/>
      <c r="AO125" s="8"/>
      <c r="AP125" s="8"/>
      <c r="AQ125" s="8"/>
      <c r="AR125" s="8"/>
      <c r="AS125" s="8"/>
      <c r="AT125" s="8"/>
    </row>
    <row r="126" ht="15.75" customHeight="1">
      <c r="A126" s="23" t="s">
        <v>165</v>
      </c>
      <c r="B126" s="8">
        <f t="shared" si="1"/>
        <v>2</v>
      </c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  <c r="AE126" s="20">
        <v>2.0</v>
      </c>
      <c r="AF126" s="8"/>
      <c r="AG126" s="8"/>
      <c r="AH126" s="8"/>
      <c r="AI126" s="8"/>
      <c r="AJ126" s="8"/>
      <c r="AK126" s="8"/>
      <c r="AL126" s="8"/>
      <c r="AM126" s="8"/>
      <c r="AN126" s="8"/>
      <c r="AO126" s="8"/>
      <c r="AP126" s="8"/>
      <c r="AQ126" s="8"/>
      <c r="AR126" s="8"/>
      <c r="AS126" s="8"/>
      <c r="AT126" s="8"/>
    </row>
    <row r="127" ht="15.75" customHeight="1">
      <c r="A127" s="23" t="s">
        <v>166</v>
      </c>
      <c r="B127" s="8">
        <f t="shared" si="1"/>
        <v>1.75</v>
      </c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  <c r="AE127" s="20">
        <v>1.75</v>
      </c>
      <c r="AF127" s="8"/>
      <c r="AG127" s="8"/>
      <c r="AH127" s="8"/>
      <c r="AI127" s="8"/>
      <c r="AJ127" s="8"/>
      <c r="AK127" s="8"/>
      <c r="AL127" s="8"/>
      <c r="AM127" s="8"/>
      <c r="AN127" s="8"/>
      <c r="AO127" s="8"/>
      <c r="AP127" s="8"/>
      <c r="AQ127" s="8"/>
      <c r="AR127" s="8"/>
      <c r="AS127" s="8"/>
      <c r="AT127" s="8"/>
    </row>
    <row r="128" ht="15.75" customHeight="1">
      <c r="A128" s="23" t="s">
        <v>167</v>
      </c>
      <c r="B128" s="8">
        <f t="shared" si="1"/>
        <v>8</v>
      </c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  <c r="AE128" s="20">
        <v>1.75</v>
      </c>
      <c r="AF128" s="8"/>
      <c r="AG128" s="8"/>
      <c r="AH128" s="8"/>
      <c r="AI128" s="8"/>
      <c r="AJ128" s="20">
        <v>1.75</v>
      </c>
      <c r="AK128" s="8"/>
      <c r="AL128" s="21">
        <v>2.0</v>
      </c>
      <c r="AM128" s="8"/>
      <c r="AN128" s="20">
        <v>2.5</v>
      </c>
      <c r="AO128" s="8"/>
      <c r="AP128" s="8"/>
      <c r="AQ128" s="8"/>
      <c r="AR128" s="8"/>
      <c r="AS128" s="8"/>
      <c r="AT128" s="8"/>
    </row>
    <row r="129" ht="15.75" customHeight="1">
      <c r="A129" s="23" t="s">
        <v>168</v>
      </c>
      <c r="B129" s="8">
        <f t="shared" si="1"/>
        <v>1.75</v>
      </c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  <c r="AE129" s="20">
        <v>1.75</v>
      </c>
      <c r="AF129" s="8"/>
      <c r="AG129" s="8"/>
      <c r="AH129" s="8"/>
      <c r="AI129" s="8"/>
      <c r="AJ129" s="8"/>
      <c r="AK129" s="8"/>
      <c r="AL129" s="8"/>
      <c r="AM129" s="8"/>
      <c r="AN129" s="8"/>
      <c r="AO129" s="8"/>
      <c r="AP129" s="8"/>
      <c r="AQ129" s="8"/>
      <c r="AR129" s="8"/>
      <c r="AS129" s="8"/>
      <c r="AT129" s="8"/>
    </row>
    <row r="130" ht="15.75" customHeight="1">
      <c r="A130" s="23" t="s">
        <v>169</v>
      </c>
      <c r="B130" s="8">
        <f t="shared" si="1"/>
        <v>2.75</v>
      </c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  <c r="AE130" s="8"/>
      <c r="AF130" s="20">
        <v>1.25</v>
      </c>
      <c r="AG130" s="20">
        <v>1.5</v>
      </c>
      <c r="AH130" s="8"/>
      <c r="AI130" s="8"/>
      <c r="AJ130" s="8"/>
      <c r="AK130" s="8"/>
      <c r="AL130" s="8"/>
      <c r="AM130" s="8"/>
      <c r="AN130" s="8"/>
      <c r="AO130" s="8"/>
      <c r="AP130" s="8"/>
      <c r="AQ130" s="8"/>
      <c r="AR130" s="8"/>
      <c r="AS130" s="8"/>
      <c r="AT130" s="8"/>
    </row>
    <row r="131" ht="15.75" customHeight="1">
      <c r="A131" s="23" t="s">
        <v>170</v>
      </c>
      <c r="B131" s="8">
        <f t="shared" si="1"/>
        <v>6.5</v>
      </c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  <c r="AE131" s="8"/>
      <c r="AF131" s="20">
        <v>1.25</v>
      </c>
      <c r="AG131" s="20">
        <v>1.5</v>
      </c>
      <c r="AH131" s="8"/>
      <c r="AI131" s="8"/>
      <c r="AJ131" s="20">
        <v>2.0</v>
      </c>
      <c r="AK131" s="20">
        <v>1.75</v>
      </c>
      <c r="AL131" s="8"/>
      <c r="AM131" s="8"/>
      <c r="AN131" s="8"/>
      <c r="AO131" s="8"/>
      <c r="AP131" s="8"/>
      <c r="AQ131" s="8"/>
      <c r="AR131" s="8"/>
      <c r="AS131" s="8"/>
      <c r="AT131" s="8"/>
    </row>
    <row r="132" ht="15.75" customHeight="1">
      <c r="A132" s="23" t="s">
        <v>171</v>
      </c>
      <c r="B132" s="8">
        <f t="shared" si="1"/>
        <v>1.25</v>
      </c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  <c r="AE132" s="8"/>
      <c r="AF132" s="20">
        <v>1.25</v>
      </c>
      <c r="AG132" s="8"/>
      <c r="AH132" s="8"/>
      <c r="AI132" s="8"/>
      <c r="AJ132" s="8"/>
      <c r="AK132" s="8"/>
      <c r="AL132" s="8"/>
      <c r="AM132" s="8"/>
      <c r="AN132" s="8"/>
      <c r="AO132" s="8"/>
      <c r="AP132" s="8"/>
      <c r="AQ132" s="8"/>
      <c r="AR132" s="8"/>
      <c r="AS132" s="8"/>
      <c r="AT132" s="8"/>
    </row>
    <row r="133" ht="15.75" customHeight="1">
      <c r="A133" s="23" t="s">
        <v>172</v>
      </c>
      <c r="B133" s="8">
        <f t="shared" si="1"/>
        <v>1.25</v>
      </c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  <c r="AE133" s="8"/>
      <c r="AF133" s="20">
        <v>1.25</v>
      </c>
      <c r="AG133" s="8"/>
      <c r="AH133" s="8"/>
      <c r="AI133" s="8"/>
      <c r="AJ133" s="8"/>
      <c r="AK133" s="8"/>
      <c r="AL133" s="8"/>
      <c r="AM133" s="8"/>
      <c r="AN133" s="8"/>
      <c r="AO133" s="8"/>
      <c r="AP133" s="8"/>
      <c r="AQ133" s="8"/>
      <c r="AR133" s="8"/>
      <c r="AS133" s="8"/>
      <c r="AT133" s="8"/>
    </row>
    <row r="134" ht="15.75" customHeight="1">
      <c r="A134" s="23" t="s">
        <v>173</v>
      </c>
      <c r="B134" s="8">
        <f t="shared" si="1"/>
        <v>1.25</v>
      </c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  <c r="AE134" s="8"/>
      <c r="AF134" s="20">
        <v>1.25</v>
      </c>
      <c r="AG134" s="8"/>
      <c r="AH134" s="8"/>
      <c r="AI134" s="8"/>
      <c r="AJ134" s="8"/>
      <c r="AK134" s="8"/>
      <c r="AL134" s="8"/>
      <c r="AM134" s="8"/>
      <c r="AN134" s="8"/>
      <c r="AO134" s="8"/>
      <c r="AP134" s="8"/>
      <c r="AQ134" s="8"/>
      <c r="AR134" s="8"/>
      <c r="AS134" s="8"/>
      <c r="AT134" s="8"/>
    </row>
    <row r="135" ht="15.75" customHeight="1">
      <c r="A135" s="23" t="s">
        <v>174</v>
      </c>
      <c r="B135" s="8">
        <f t="shared" si="1"/>
        <v>1.25</v>
      </c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  <c r="AE135" s="8"/>
      <c r="AF135" s="20">
        <v>1.25</v>
      </c>
      <c r="AG135" s="8"/>
      <c r="AH135" s="8"/>
      <c r="AI135" s="8"/>
      <c r="AJ135" s="8"/>
      <c r="AK135" s="8"/>
      <c r="AL135" s="8"/>
      <c r="AM135" s="8"/>
      <c r="AN135" s="8"/>
      <c r="AO135" s="8"/>
      <c r="AP135" s="8"/>
      <c r="AQ135" s="8"/>
      <c r="AR135" s="8"/>
      <c r="AS135" s="8"/>
      <c r="AT135" s="8"/>
    </row>
    <row r="136" ht="15.75" customHeight="1">
      <c r="A136" s="23" t="s">
        <v>175</v>
      </c>
      <c r="B136" s="8">
        <f t="shared" si="1"/>
        <v>1.25</v>
      </c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  <c r="AE136" s="8"/>
      <c r="AF136" s="20">
        <v>1.25</v>
      </c>
      <c r="AG136" s="8"/>
      <c r="AH136" s="8"/>
      <c r="AI136" s="8"/>
      <c r="AJ136" s="8"/>
      <c r="AK136" s="8"/>
      <c r="AL136" s="8"/>
      <c r="AM136" s="8"/>
      <c r="AN136" s="8"/>
      <c r="AO136" s="8"/>
      <c r="AP136" s="8"/>
      <c r="AQ136" s="8"/>
      <c r="AR136" s="8"/>
      <c r="AS136" s="8"/>
      <c r="AT136" s="8"/>
    </row>
    <row r="137" ht="15.75" customHeight="1">
      <c r="A137" s="23" t="s">
        <v>176</v>
      </c>
      <c r="B137" s="8">
        <f t="shared" si="1"/>
        <v>1.25</v>
      </c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  <c r="AD137" s="8"/>
      <c r="AE137" s="8"/>
      <c r="AF137" s="20">
        <v>1.25</v>
      </c>
      <c r="AG137" s="8"/>
      <c r="AH137" s="8"/>
      <c r="AI137" s="8"/>
      <c r="AJ137" s="8"/>
      <c r="AK137" s="8"/>
      <c r="AL137" s="8"/>
      <c r="AM137" s="8"/>
      <c r="AN137" s="8"/>
      <c r="AO137" s="8"/>
      <c r="AP137" s="8"/>
      <c r="AQ137" s="8"/>
      <c r="AR137" s="8"/>
      <c r="AS137" s="8"/>
      <c r="AT137" s="8"/>
    </row>
    <row r="138" ht="15.75" customHeight="1">
      <c r="A138" s="23" t="s">
        <v>177</v>
      </c>
      <c r="B138" s="8">
        <f t="shared" si="1"/>
        <v>1.25</v>
      </c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  <c r="AD138" s="8"/>
      <c r="AE138" s="8"/>
      <c r="AF138" s="20">
        <v>1.25</v>
      </c>
      <c r="AG138" s="8"/>
      <c r="AH138" s="8"/>
      <c r="AI138" s="8"/>
      <c r="AJ138" s="8"/>
      <c r="AK138" s="8"/>
      <c r="AL138" s="8"/>
      <c r="AM138" s="8"/>
      <c r="AN138" s="8"/>
      <c r="AO138" s="8"/>
      <c r="AP138" s="8"/>
      <c r="AQ138" s="8"/>
      <c r="AR138" s="8"/>
      <c r="AS138" s="8"/>
      <c r="AT138" s="8"/>
    </row>
    <row r="139" ht="15.75" customHeight="1">
      <c r="A139" s="23" t="s">
        <v>178</v>
      </c>
      <c r="B139" s="8">
        <f t="shared" si="1"/>
        <v>12.5</v>
      </c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  <c r="AD139" s="8"/>
      <c r="AE139" s="8"/>
      <c r="AF139" s="20">
        <v>2.0</v>
      </c>
      <c r="AG139" s="20">
        <v>2.5</v>
      </c>
      <c r="AH139" s="20">
        <v>2.25</v>
      </c>
      <c r="AI139" s="20">
        <v>2.0</v>
      </c>
      <c r="AJ139" s="20">
        <v>1.75</v>
      </c>
      <c r="AK139" s="20">
        <v>2.0</v>
      </c>
      <c r="AL139" s="8"/>
      <c r="AM139" s="8"/>
      <c r="AN139" s="8"/>
      <c r="AO139" s="8"/>
      <c r="AP139" s="8"/>
      <c r="AQ139" s="8"/>
      <c r="AR139" s="8"/>
      <c r="AS139" s="8"/>
      <c r="AT139" s="8"/>
    </row>
    <row r="140" ht="15.75" customHeight="1">
      <c r="A140" s="23" t="s">
        <v>179</v>
      </c>
      <c r="B140" s="8">
        <f t="shared" si="1"/>
        <v>4</v>
      </c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  <c r="AD140" s="8"/>
      <c r="AE140" s="8"/>
      <c r="AF140" s="20">
        <v>2.0</v>
      </c>
      <c r="AG140" s="8"/>
      <c r="AH140" s="8"/>
      <c r="AI140" s="8"/>
      <c r="AJ140" s="20">
        <v>2.0</v>
      </c>
      <c r="AK140" s="8"/>
      <c r="AL140" s="8"/>
      <c r="AM140" s="8"/>
      <c r="AN140" s="8"/>
      <c r="AO140" s="8"/>
      <c r="AP140" s="8"/>
      <c r="AQ140" s="8"/>
      <c r="AR140" s="8"/>
      <c r="AS140" s="8"/>
      <c r="AT140" s="8"/>
    </row>
    <row r="141" ht="15.75" customHeight="1">
      <c r="A141" s="23" t="s">
        <v>180</v>
      </c>
      <c r="B141" s="8">
        <f t="shared" si="1"/>
        <v>3.75</v>
      </c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  <c r="AD141" s="8"/>
      <c r="AE141" s="8"/>
      <c r="AF141" s="20">
        <v>2.0</v>
      </c>
      <c r="AG141" s="8"/>
      <c r="AH141" s="8"/>
      <c r="AI141" s="21">
        <v>1.75</v>
      </c>
      <c r="AJ141" s="8"/>
      <c r="AK141" s="8"/>
      <c r="AL141" s="8"/>
      <c r="AM141" s="8"/>
      <c r="AN141" s="8"/>
      <c r="AO141" s="8"/>
      <c r="AP141" s="8"/>
      <c r="AQ141" s="8"/>
      <c r="AR141" s="8"/>
      <c r="AS141" s="8"/>
      <c r="AT141" s="8"/>
    </row>
    <row r="142" ht="15.75" customHeight="1">
      <c r="A142" s="23" t="s">
        <v>181</v>
      </c>
      <c r="B142" s="8">
        <f t="shared" si="1"/>
        <v>13.25</v>
      </c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8"/>
      <c r="AD142" s="8"/>
      <c r="AE142" s="8"/>
      <c r="AF142" s="8"/>
      <c r="AG142" s="20">
        <v>2.5</v>
      </c>
      <c r="AH142" s="20">
        <v>2.25</v>
      </c>
      <c r="AI142" s="20">
        <v>2.0</v>
      </c>
      <c r="AJ142" s="20"/>
      <c r="AK142" s="8"/>
      <c r="AL142" s="21">
        <v>2.0</v>
      </c>
      <c r="AM142" s="20">
        <v>2.0</v>
      </c>
      <c r="AN142" s="20">
        <v>2.5</v>
      </c>
      <c r="AO142" s="8"/>
      <c r="AP142" s="8"/>
      <c r="AQ142" s="8"/>
      <c r="AR142" s="8"/>
      <c r="AS142" s="8"/>
      <c r="AT142" s="8"/>
    </row>
    <row r="143" ht="15.75" customHeight="1">
      <c r="A143" s="23" t="s">
        <v>182</v>
      </c>
      <c r="B143" s="8">
        <f t="shared" si="1"/>
        <v>2.5</v>
      </c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8"/>
      <c r="AD143" s="8"/>
      <c r="AE143" s="8"/>
      <c r="AF143" s="8"/>
      <c r="AG143" s="20">
        <v>2.5</v>
      </c>
      <c r="AH143" s="8"/>
      <c r="AI143" s="8"/>
      <c r="AJ143" s="8"/>
      <c r="AK143" s="8"/>
      <c r="AL143" s="8"/>
      <c r="AM143" s="8"/>
      <c r="AN143" s="20"/>
      <c r="AO143" s="8"/>
      <c r="AP143" s="8"/>
      <c r="AQ143" s="8"/>
      <c r="AR143" s="8"/>
      <c r="AS143" s="8"/>
      <c r="AT143" s="8"/>
    </row>
    <row r="144" ht="15.75" customHeight="1">
      <c r="A144" s="23" t="s">
        <v>183</v>
      </c>
      <c r="B144" s="8">
        <f t="shared" si="1"/>
        <v>2.5</v>
      </c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  <c r="AE144" s="8"/>
      <c r="AF144" s="8"/>
      <c r="AG144" s="20">
        <v>2.5</v>
      </c>
      <c r="AH144" s="8"/>
      <c r="AI144" s="8"/>
      <c r="AJ144" s="8"/>
      <c r="AK144" s="8"/>
      <c r="AL144" s="8"/>
      <c r="AM144" s="8"/>
      <c r="AN144" s="8"/>
      <c r="AO144" s="8"/>
      <c r="AP144" s="8"/>
      <c r="AQ144" s="8"/>
      <c r="AR144" s="8"/>
      <c r="AS144" s="8"/>
      <c r="AT144" s="8"/>
    </row>
    <row r="145" ht="15.75" customHeight="1">
      <c r="A145" s="23" t="s">
        <v>184</v>
      </c>
      <c r="B145" s="8">
        <f t="shared" si="1"/>
        <v>4.5</v>
      </c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  <c r="AE145" s="8"/>
      <c r="AF145" s="8"/>
      <c r="AG145" s="20">
        <v>2.5</v>
      </c>
      <c r="AH145" s="8"/>
      <c r="AI145" s="8"/>
      <c r="AJ145" s="8"/>
      <c r="AK145" s="20">
        <v>2.0</v>
      </c>
      <c r="AL145" s="8"/>
      <c r="AM145" s="8"/>
      <c r="AN145" s="8"/>
      <c r="AO145" s="8"/>
      <c r="AP145" s="8"/>
      <c r="AQ145" s="8"/>
      <c r="AR145" s="8"/>
      <c r="AS145" s="8"/>
      <c r="AT145" s="8"/>
    </row>
    <row r="146" ht="15.75" customHeight="1">
      <c r="A146" s="23" t="s">
        <v>185</v>
      </c>
      <c r="B146" s="8">
        <f t="shared" si="1"/>
        <v>2.5</v>
      </c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  <c r="AD146" s="8"/>
      <c r="AE146" s="8"/>
      <c r="AF146" s="8"/>
      <c r="AG146" s="20">
        <v>2.5</v>
      </c>
      <c r="AH146" s="8"/>
      <c r="AI146" s="8"/>
      <c r="AJ146" s="8"/>
      <c r="AK146" s="8"/>
      <c r="AL146" s="8"/>
      <c r="AM146" s="8"/>
      <c r="AN146" s="8"/>
      <c r="AO146" s="8"/>
      <c r="AP146" s="8"/>
      <c r="AQ146" s="8"/>
      <c r="AR146" s="8"/>
      <c r="AS146" s="8"/>
      <c r="AT146" s="8"/>
    </row>
    <row r="147" ht="15.75" customHeight="1">
      <c r="A147" s="23" t="s">
        <v>186</v>
      </c>
      <c r="B147" s="8">
        <f t="shared" si="1"/>
        <v>10.75</v>
      </c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  <c r="AE147" s="8"/>
      <c r="AF147" s="8"/>
      <c r="AG147" s="20">
        <v>2.5</v>
      </c>
      <c r="AH147" s="8"/>
      <c r="AI147" s="8"/>
      <c r="AJ147" s="8"/>
      <c r="AK147" s="20">
        <v>1.75</v>
      </c>
      <c r="AL147" s="21">
        <v>2.0</v>
      </c>
      <c r="AM147" s="20">
        <v>2.0</v>
      </c>
      <c r="AN147" s="20">
        <v>2.5</v>
      </c>
      <c r="AO147" s="8"/>
      <c r="AP147" s="8"/>
      <c r="AQ147" s="8"/>
      <c r="AR147" s="8"/>
      <c r="AS147" s="8"/>
      <c r="AT147" s="8"/>
    </row>
    <row r="148" ht="15.75" customHeight="1">
      <c r="A148" s="23" t="s">
        <v>187</v>
      </c>
      <c r="B148" s="8">
        <f t="shared" si="1"/>
        <v>4.25</v>
      </c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  <c r="AC148" s="8"/>
      <c r="AD148" s="8"/>
      <c r="AE148" s="8"/>
      <c r="AF148" s="8"/>
      <c r="AG148" s="20">
        <v>2.5</v>
      </c>
      <c r="AH148" s="8"/>
      <c r="AI148" s="8"/>
      <c r="AJ148" s="8"/>
      <c r="AK148" s="20">
        <v>1.75</v>
      </c>
      <c r="AL148" s="8"/>
      <c r="AM148" s="8"/>
      <c r="AN148" s="8"/>
      <c r="AO148" s="8"/>
      <c r="AP148" s="8"/>
      <c r="AQ148" s="8"/>
      <c r="AR148" s="8"/>
      <c r="AS148" s="8"/>
      <c r="AT148" s="8"/>
    </row>
    <row r="149" ht="15.75" customHeight="1">
      <c r="A149" s="23" t="s">
        <v>188</v>
      </c>
      <c r="B149" s="8">
        <f t="shared" si="1"/>
        <v>2.5</v>
      </c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  <c r="AE149" s="8"/>
      <c r="AF149" s="8"/>
      <c r="AG149" s="20">
        <v>2.5</v>
      </c>
      <c r="AH149" s="8"/>
      <c r="AI149" s="8"/>
      <c r="AJ149" s="8"/>
      <c r="AK149" s="8"/>
      <c r="AL149" s="8"/>
      <c r="AM149" s="8"/>
      <c r="AN149" s="8"/>
      <c r="AO149" s="8"/>
      <c r="AP149" s="8"/>
      <c r="AQ149" s="8"/>
      <c r="AR149" s="8"/>
      <c r="AS149" s="8"/>
      <c r="AT149" s="8"/>
    </row>
    <row r="150" ht="15.75" customHeight="1">
      <c r="A150" s="23" t="s">
        <v>189</v>
      </c>
      <c r="B150" s="8">
        <f t="shared" si="1"/>
        <v>1.5</v>
      </c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  <c r="AD150" s="8"/>
      <c r="AE150" s="8"/>
      <c r="AF150" s="8"/>
      <c r="AG150" s="20">
        <v>1.5</v>
      </c>
      <c r="AH150" s="8"/>
      <c r="AI150" s="8"/>
      <c r="AJ150" s="8"/>
      <c r="AK150" s="8"/>
      <c r="AL150" s="8"/>
      <c r="AM150" s="8"/>
      <c r="AN150" s="8"/>
      <c r="AO150" s="8"/>
      <c r="AP150" s="8"/>
      <c r="AQ150" s="8"/>
      <c r="AR150" s="8"/>
      <c r="AS150" s="8"/>
      <c r="AT150" s="8"/>
    </row>
    <row r="151" ht="15.75" customHeight="1">
      <c r="A151" s="23" t="s">
        <v>190</v>
      </c>
      <c r="B151" s="8">
        <f t="shared" si="1"/>
        <v>10.75</v>
      </c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  <c r="AC151" s="8"/>
      <c r="AD151" s="8"/>
      <c r="AE151" s="8"/>
      <c r="AF151" s="8"/>
      <c r="AG151" s="20">
        <v>1.5</v>
      </c>
      <c r="AH151" s="8"/>
      <c r="AI151" s="8"/>
      <c r="AJ151" s="8"/>
      <c r="AK151" s="20">
        <v>1.75</v>
      </c>
      <c r="AL151" s="20">
        <v>1.5</v>
      </c>
      <c r="AM151" s="20">
        <v>2.25</v>
      </c>
      <c r="AN151" s="20">
        <v>2.5</v>
      </c>
      <c r="AO151" s="20">
        <v>1.25</v>
      </c>
      <c r="AP151" s="8"/>
      <c r="AQ151" s="8"/>
      <c r="AR151" s="8"/>
      <c r="AS151" s="8"/>
      <c r="AT151" s="8"/>
    </row>
    <row r="152" ht="15.75" customHeight="1">
      <c r="A152" s="23" t="s">
        <v>191</v>
      </c>
      <c r="B152" s="8">
        <f t="shared" si="1"/>
        <v>1.5</v>
      </c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  <c r="AC152" s="8"/>
      <c r="AD152" s="8"/>
      <c r="AE152" s="8"/>
      <c r="AF152" s="8"/>
      <c r="AG152" s="8"/>
      <c r="AH152" s="20">
        <v>1.5</v>
      </c>
      <c r="AI152" s="8"/>
      <c r="AJ152" s="8"/>
      <c r="AK152" s="8"/>
      <c r="AL152" s="8"/>
      <c r="AM152" s="8"/>
      <c r="AN152" s="8"/>
      <c r="AO152" s="8"/>
      <c r="AP152" s="8"/>
      <c r="AQ152" s="8"/>
      <c r="AR152" s="8"/>
      <c r="AS152" s="8"/>
      <c r="AT152" s="8"/>
    </row>
    <row r="153" ht="15.75" customHeight="1">
      <c r="A153" s="23" t="s">
        <v>192</v>
      </c>
      <c r="B153" s="8">
        <f t="shared" si="1"/>
        <v>3.25</v>
      </c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  <c r="AC153" s="8"/>
      <c r="AD153" s="8"/>
      <c r="AE153" s="8"/>
      <c r="AF153" s="8"/>
      <c r="AG153" s="8"/>
      <c r="AH153" s="20">
        <v>1.5</v>
      </c>
      <c r="AI153" s="21">
        <v>1.75</v>
      </c>
      <c r="AJ153" s="8"/>
      <c r="AK153" s="8"/>
      <c r="AL153" s="8"/>
      <c r="AM153" s="8"/>
      <c r="AN153" s="8"/>
      <c r="AO153" s="8"/>
      <c r="AP153" s="8"/>
      <c r="AQ153" s="8"/>
      <c r="AR153" s="8"/>
      <c r="AS153" s="8"/>
      <c r="AT153" s="8"/>
    </row>
    <row r="154" ht="15.75" customHeight="1">
      <c r="A154" s="23" t="s">
        <v>193</v>
      </c>
      <c r="B154" s="8">
        <f t="shared" si="1"/>
        <v>1.5</v>
      </c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  <c r="AC154" s="8"/>
      <c r="AD154" s="8"/>
      <c r="AE154" s="8"/>
      <c r="AF154" s="8"/>
      <c r="AG154" s="8"/>
      <c r="AH154" s="20">
        <v>1.5</v>
      </c>
      <c r="AI154" s="8"/>
      <c r="AJ154" s="8"/>
      <c r="AK154" s="8"/>
      <c r="AL154" s="8"/>
      <c r="AM154" s="8"/>
      <c r="AN154" s="8"/>
      <c r="AO154" s="8"/>
      <c r="AP154" s="8"/>
      <c r="AQ154" s="8"/>
      <c r="AR154" s="8"/>
      <c r="AS154" s="8"/>
      <c r="AT154" s="8"/>
    </row>
    <row r="155" ht="15.75" customHeight="1">
      <c r="A155" s="23" t="s">
        <v>194</v>
      </c>
      <c r="B155" s="8">
        <f t="shared" si="1"/>
        <v>1.5</v>
      </c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  <c r="AC155" s="8"/>
      <c r="AD155" s="8"/>
      <c r="AE155" s="8"/>
      <c r="AF155" s="8"/>
      <c r="AG155" s="8"/>
      <c r="AH155" s="20">
        <v>1.5</v>
      </c>
      <c r="AI155" s="8"/>
      <c r="AJ155" s="8"/>
      <c r="AK155" s="8"/>
      <c r="AL155" s="8"/>
      <c r="AM155" s="8"/>
      <c r="AN155" s="8"/>
      <c r="AO155" s="8"/>
      <c r="AP155" s="8"/>
      <c r="AQ155" s="8"/>
      <c r="AR155" s="8"/>
      <c r="AS155" s="8"/>
      <c r="AT155" s="8"/>
    </row>
    <row r="156" ht="15.75" customHeight="1">
      <c r="A156" s="23" t="s">
        <v>195</v>
      </c>
      <c r="B156" s="8">
        <f t="shared" si="1"/>
        <v>1.5</v>
      </c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  <c r="AC156" s="8"/>
      <c r="AD156" s="8"/>
      <c r="AE156" s="8"/>
      <c r="AF156" s="8"/>
      <c r="AG156" s="8"/>
      <c r="AH156" s="20">
        <v>1.5</v>
      </c>
      <c r="AI156" s="8"/>
      <c r="AJ156" s="8"/>
      <c r="AK156" s="8"/>
      <c r="AL156" s="8"/>
      <c r="AM156" s="8"/>
      <c r="AN156" s="8"/>
      <c r="AO156" s="8"/>
      <c r="AP156" s="8"/>
      <c r="AQ156" s="8"/>
      <c r="AR156" s="8"/>
      <c r="AS156" s="8"/>
      <c r="AT156" s="8"/>
    </row>
    <row r="157" ht="15.75" customHeight="1">
      <c r="A157" s="23" t="s">
        <v>196</v>
      </c>
      <c r="B157" s="8">
        <f t="shared" si="1"/>
        <v>1.5</v>
      </c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  <c r="AE157" s="8"/>
      <c r="AF157" s="8"/>
      <c r="AG157" s="8"/>
      <c r="AH157" s="20">
        <v>1.5</v>
      </c>
      <c r="AI157" s="8"/>
      <c r="AJ157" s="8"/>
      <c r="AK157" s="8"/>
      <c r="AL157" s="8"/>
      <c r="AM157" s="8"/>
      <c r="AN157" s="8"/>
      <c r="AO157" s="8"/>
      <c r="AP157" s="8"/>
      <c r="AQ157" s="8"/>
      <c r="AR157" s="8"/>
      <c r="AS157" s="8"/>
      <c r="AT157" s="8"/>
    </row>
    <row r="158" ht="15.75" customHeight="1">
      <c r="A158" s="23" t="s">
        <v>197</v>
      </c>
      <c r="B158" s="8">
        <f t="shared" si="1"/>
        <v>1.5</v>
      </c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  <c r="AD158" s="8"/>
      <c r="AE158" s="8"/>
      <c r="AF158" s="8"/>
      <c r="AG158" s="8"/>
      <c r="AH158" s="20">
        <v>1.5</v>
      </c>
      <c r="AI158" s="8"/>
      <c r="AJ158" s="8"/>
      <c r="AK158" s="8"/>
      <c r="AL158" s="8"/>
      <c r="AM158" s="8"/>
      <c r="AN158" s="8"/>
      <c r="AO158" s="8"/>
      <c r="AP158" s="8"/>
      <c r="AQ158" s="8"/>
      <c r="AR158" s="8"/>
      <c r="AS158" s="8"/>
      <c r="AT158" s="8"/>
    </row>
    <row r="159" ht="15.75" customHeight="1">
      <c r="A159" s="23" t="s">
        <v>198</v>
      </c>
      <c r="B159" s="8">
        <f t="shared" si="1"/>
        <v>2.25</v>
      </c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  <c r="AC159" s="8"/>
      <c r="AD159" s="8"/>
      <c r="AE159" s="8"/>
      <c r="AF159" s="8"/>
      <c r="AG159" s="8"/>
      <c r="AH159" s="20">
        <v>2.25</v>
      </c>
      <c r="AI159" s="20"/>
      <c r="AJ159" s="20"/>
      <c r="AK159" s="8"/>
      <c r="AL159" s="8"/>
      <c r="AM159" s="8"/>
      <c r="AN159" s="8"/>
      <c r="AO159" s="8"/>
      <c r="AP159" s="8"/>
      <c r="AQ159" s="8"/>
      <c r="AR159" s="8"/>
      <c r="AS159" s="8"/>
      <c r="AT159" s="8"/>
    </row>
    <row r="160" ht="15.75" customHeight="1">
      <c r="A160" s="23" t="s">
        <v>199</v>
      </c>
      <c r="B160" s="8">
        <f t="shared" si="1"/>
        <v>2.25</v>
      </c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  <c r="AC160" s="8"/>
      <c r="AD160" s="8"/>
      <c r="AE160" s="8"/>
      <c r="AF160" s="8"/>
      <c r="AG160" s="8"/>
      <c r="AH160" s="20">
        <v>2.25</v>
      </c>
      <c r="AI160" s="20"/>
      <c r="AJ160" s="20"/>
      <c r="AK160" s="8"/>
      <c r="AL160" s="8"/>
      <c r="AM160" s="8"/>
      <c r="AN160" s="8"/>
      <c r="AO160" s="8"/>
      <c r="AP160" s="8"/>
      <c r="AQ160" s="8"/>
      <c r="AR160" s="8"/>
      <c r="AS160" s="8"/>
      <c r="AT160" s="8"/>
    </row>
    <row r="161" ht="15.75" customHeight="1">
      <c r="A161" s="23" t="s">
        <v>200</v>
      </c>
      <c r="B161" s="8">
        <f t="shared" si="1"/>
        <v>2.25</v>
      </c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  <c r="AC161" s="8"/>
      <c r="AD161" s="8"/>
      <c r="AE161" s="8"/>
      <c r="AF161" s="8"/>
      <c r="AG161" s="8"/>
      <c r="AH161" s="20">
        <v>2.25</v>
      </c>
      <c r="AI161" s="20"/>
      <c r="AJ161" s="20"/>
      <c r="AK161" s="8"/>
      <c r="AL161" s="8"/>
      <c r="AM161" s="8"/>
      <c r="AN161" s="8"/>
      <c r="AO161" s="8"/>
      <c r="AP161" s="8"/>
      <c r="AQ161" s="8"/>
      <c r="AR161" s="8"/>
      <c r="AS161" s="8"/>
      <c r="AT161" s="8"/>
    </row>
    <row r="162" ht="15.75" customHeight="1">
      <c r="A162" s="23" t="s">
        <v>201</v>
      </c>
      <c r="B162" s="8">
        <f t="shared" si="1"/>
        <v>2.25</v>
      </c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8"/>
      <c r="AC162" s="8"/>
      <c r="AD162" s="8"/>
      <c r="AE162" s="8"/>
      <c r="AF162" s="8"/>
      <c r="AG162" s="8"/>
      <c r="AH162" s="20">
        <v>2.25</v>
      </c>
      <c r="AI162" s="20"/>
      <c r="AJ162" s="20"/>
      <c r="AK162" s="8"/>
      <c r="AL162" s="8"/>
      <c r="AM162" s="8"/>
      <c r="AN162" s="8"/>
      <c r="AO162" s="8"/>
      <c r="AP162" s="8"/>
      <c r="AQ162" s="8"/>
      <c r="AR162" s="8"/>
      <c r="AS162" s="8"/>
      <c r="AT162" s="8"/>
    </row>
    <row r="163" ht="15.75" customHeight="1">
      <c r="A163" s="24" t="s">
        <v>202</v>
      </c>
      <c r="B163" s="8">
        <f t="shared" si="1"/>
        <v>2</v>
      </c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  <c r="AB163" s="8"/>
      <c r="AC163" s="8"/>
      <c r="AD163" s="8"/>
      <c r="AE163" s="8"/>
      <c r="AF163" s="8"/>
      <c r="AG163" s="8"/>
      <c r="AH163" s="8"/>
      <c r="AI163" s="21">
        <v>2.0</v>
      </c>
      <c r="AJ163" s="8"/>
      <c r="AK163" s="8"/>
      <c r="AL163" s="8"/>
      <c r="AM163" s="8"/>
      <c r="AN163" s="8"/>
      <c r="AO163" s="8"/>
      <c r="AP163" s="8"/>
      <c r="AQ163" s="8"/>
      <c r="AR163" s="8"/>
      <c r="AS163" s="8"/>
      <c r="AT163" s="8"/>
    </row>
    <row r="164" ht="15.75" customHeight="1">
      <c r="A164" s="24" t="s">
        <v>203</v>
      </c>
      <c r="B164" s="8">
        <f t="shared" si="1"/>
        <v>2</v>
      </c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  <c r="AB164" s="8"/>
      <c r="AC164" s="8"/>
      <c r="AD164" s="8"/>
      <c r="AE164" s="8"/>
      <c r="AF164" s="8"/>
      <c r="AG164" s="8"/>
      <c r="AH164" s="8"/>
      <c r="AI164" s="21">
        <v>2.0</v>
      </c>
      <c r="AJ164" s="8"/>
      <c r="AK164" s="8"/>
      <c r="AL164" s="8"/>
      <c r="AM164" s="8"/>
      <c r="AN164" s="8"/>
      <c r="AO164" s="8"/>
      <c r="AP164" s="8"/>
      <c r="AQ164" s="8"/>
      <c r="AR164" s="8"/>
      <c r="AS164" s="8"/>
      <c r="AT164" s="8"/>
    </row>
    <row r="165" ht="15.75" customHeight="1">
      <c r="A165" s="24" t="s">
        <v>204</v>
      </c>
      <c r="B165" s="8">
        <f t="shared" si="1"/>
        <v>5.5</v>
      </c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  <c r="AB165" s="8"/>
      <c r="AC165" s="8"/>
      <c r="AD165" s="8"/>
      <c r="AE165" s="8"/>
      <c r="AF165" s="8"/>
      <c r="AG165" s="8"/>
      <c r="AH165" s="8"/>
      <c r="AI165" s="21">
        <v>1.75</v>
      </c>
      <c r="AJ165" s="8"/>
      <c r="AK165" s="20">
        <v>1.75</v>
      </c>
      <c r="AL165" s="8"/>
      <c r="AM165" s="8"/>
      <c r="AN165" s="8"/>
      <c r="AO165" s="20">
        <v>2.0</v>
      </c>
      <c r="AP165" s="8"/>
      <c r="AQ165" s="8"/>
      <c r="AR165" s="8"/>
      <c r="AS165" s="8"/>
      <c r="AT165" s="8"/>
    </row>
    <row r="166" ht="15.75" customHeight="1">
      <c r="A166" s="24" t="s">
        <v>205</v>
      </c>
      <c r="B166" s="8">
        <f t="shared" si="1"/>
        <v>1.75</v>
      </c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  <c r="AB166" s="8"/>
      <c r="AC166" s="8"/>
      <c r="AD166" s="8"/>
      <c r="AE166" s="8"/>
      <c r="AF166" s="8"/>
      <c r="AG166" s="8"/>
      <c r="AH166" s="8"/>
      <c r="AI166" s="21">
        <v>1.75</v>
      </c>
      <c r="AJ166" s="8"/>
      <c r="AK166" s="8"/>
      <c r="AL166" s="8"/>
      <c r="AM166" s="8"/>
      <c r="AN166" s="8"/>
      <c r="AO166" s="8"/>
      <c r="AP166" s="8"/>
      <c r="AQ166" s="8"/>
      <c r="AR166" s="8"/>
      <c r="AS166" s="8"/>
      <c r="AT166" s="8"/>
    </row>
    <row r="167" ht="15.75" customHeight="1">
      <c r="A167" s="24" t="s">
        <v>206</v>
      </c>
      <c r="B167" s="8">
        <f t="shared" si="1"/>
        <v>1.75</v>
      </c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  <c r="AC167" s="8"/>
      <c r="AD167" s="8"/>
      <c r="AE167" s="8"/>
      <c r="AF167" s="8"/>
      <c r="AG167" s="8"/>
      <c r="AH167" s="8"/>
      <c r="AI167" s="21">
        <v>1.75</v>
      </c>
      <c r="AJ167" s="8"/>
      <c r="AK167" s="8"/>
      <c r="AL167" s="8"/>
      <c r="AM167" s="8"/>
      <c r="AN167" s="8"/>
      <c r="AO167" s="8"/>
      <c r="AP167" s="8"/>
      <c r="AQ167" s="8"/>
      <c r="AR167" s="8"/>
      <c r="AS167" s="8"/>
      <c r="AT167" s="8"/>
    </row>
    <row r="168" ht="15.75" customHeight="1">
      <c r="A168" s="23" t="s">
        <v>5</v>
      </c>
      <c r="B168" s="8">
        <f t="shared" si="1"/>
        <v>2</v>
      </c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  <c r="AB168" s="8"/>
      <c r="AC168" s="8"/>
      <c r="AD168" s="8"/>
      <c r="AE168" s="8"/>
      <c r="AF168" s="8"/>
      <c r="AG168" s="8"/>
      <c r="AH168" s="8"/>
      <c r="AI168" s="8"/>
      <c r="AJ168" s="20">
        <v>2.0</v>
      </c>
      <c r="AK168" s="8"/>
      <c r="AL168" s="8"/>
      <c r="AM168" s="8"/>
      <c r="AN168" s="8"/>
      <c r="AO168" s="8"/>
      <c r="AP168" s="8"/>
      <c r="AQ168" s="8"/>
      <c r="AR168" s="8"/>
      <c r="AS168" s="8"/>
      <c r="AT168" s="8"/>
    </row>
    <row r="169" ht="15.75" customHeight="1">
      <c r="A169" s="23" t="s">
        <v>207</v>
      </c>
      <c r="B169" s="8">
        <f t="shared" si="1"/>
        <v>10</v>
      </c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8"/>
      <c r="AC169" s="8"/>
      <c r="AD169" s="8"/>
      <c r="AE169" s="8"/>
      <c r="AF169" s="8"/>
      <c r="AG169" s="8"/>
      <c r="AH169" s="8"/>
      <c r="AI169" s="8"/>
      <c r="AJ169" s="20">
        <v>1.75</v>
      </c>
      <c r="AK169" s="20">
        <v>2.0</v>
      </c>
      <c r="AL169" s="8"/>
      <c r="AM169" s="20">
        <v>2.25</v>
      </c>
      <c r="AN169" s="20">
        <v>2.5</v>
      </c>
      <c r="AO169" s="20">
        <v>1.5</v>
      </c>
      <c r="AP169" s="8"/>
      <c r="AQ169" s="8"/>
      <c r="AR169" s="8"/>
      <c r="AS169" s="8"/>
      <c r="AT169" s="8"/>
    </row>
    <row r="170" ht="15.75" customHeight="1">
      <c r="A170" s="23" t="s">
        <v>208</v>
      </c>
      <c r="B170" s="8">
        <f t="shared" si="1"/>
        <v>5.75</v>
      </c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8"/>
      <c r="AC170" s="8"/>
      <c r="AD170" s="8"/>
      <c r="AE170" s="8"/>
      <c r="AF170" s="8"/>
      <c r="AG170" s="8"/>
      <c r="AH170" s="8"/>
      <c r="AI170" s="8"/>
      <c r="AJ170" s="8"/>
      <c r="AK170" s="20">
        <v>2.0</v>
      </c>
      <c r="AL170" s="8"/>
      <c r="AM170" s="20">
        <v>2.25</v>
      </c>
      <c r="AN170" s="8"/>
      <c r="AO170" s="20">
        <v>1.5</v>
      </c>
      <c r="AP170" s="8"/>
      <c r="AQ170" s="8"/>
      <c r="AR170" s="8"/>
      <c r="AS170" s="8"/>
      <c r="AT170" s="8"/>
    </row>
    <row r="171" ht="15.75" customHeight="1">
      <c r="A171" s="23" t="s">
        <v>209</v>
      </c>
      <c r="B171" s="8">
        <f t="shared" si="1"/>
        <v>1.25</v>
      </c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  <c r="AC171" s="8"/>
      <c r="AD171" s="8"/>
      <c r="AE171" s="8"/>
      <c r="AF171" s="8"/>
      <c r="AG171" s="8"/>
      <c r="AH171" s="8"/>
      <c r="AI171" s="8"/>
      <c r="AJ171" s="8"/>
      <c r="AK171" s="8"/>
      <c r="AL171" s="8"/>
      <c r="AM171" s="8"/>
      <c r="AN171" s="20">
        <v>1.25</v>
      </c>
      <c r="AO171" s="8"/>
      <c r="AP171" s="8"/>
      <c r="AQ171" s="8"/>
      <c r="AR171" s="8"/>
      <c r="AS171" s="8"/>
      <c r="AT171" s="8"/>
    </row>
    <row r="172" ht="15.75" customHeight="1">
      <c r="A172" s="23" t="s">
        <v>210</v>
      </c>
      <c r="B172" s="8">
        <f t="shared" si="1"/>
        <v>1.75</v>
      </c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  <c r="AC172" s="8"/>
      <c r="AD172" s="8"/>
      <c r="AE172" s="8"/>
      <c r="AF172" s="8"/>
      <c r="AG172" s="8"/>
      <c r="AH172" s="8"/>
      <c r="AI172" s="8"/>
      <c r="AJ172" s="8"/>
      <c r="AK172" s="20">
        <v>1.75</v>
      </c>
      <c r="AL172" s="8"/>
      <c r="AM172" s="8"/>
      <c r="AN172" s="8"/>
      <c r="AO172" s="8"/>
      <c r="AP172" s="8"/>
      <c r="AQ172" s="8"/>
      <c r="AR172" s="8"/>
      <c r="AS172" s="8"/>
      <c r="AT172" s="8"/>
    </row>
    <row r="173" ht="15.75" customHeight="1">
      <c r="A173" s="23" t="s">
        <v>211</v>
      </c>
      <c r="B173" s="8">
        <f t="shared" si="1"/>
        <v>3.75</v>
      </c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  <c r="AC173" s="8"/>
      <c r="AD173" s="8"/>
      <c r="AE173" s="8"/>
      <c r="AF173" s="8"/>
      <c r="AG173" s="8"/>
      <c r="AH173" s="8"/>
      <c r="AI173" s="8"/>
      <c r="AJ173" s="8"/>
      <c r="AK173" s="20">
        <v>1.75</v>
      </c>
      <c r="AL173" s="8"/>
      <c r="AM173" s="8"/>
      <c r="AN173" s="8"/>
      <c r="AO173" s="20">
        <v>2.0</v>
      </c>
      <c r="AP173" s="8"/>
      <c r="AQ173" s="8"/>
      <c r="AR173" s="8"/>
      <c r="AS173" s="8"/>
      <c r="AT173" s="8"/>
    </row>
    <row r="174" ht="15.75" customHeight="1">
      <c r="A174" s="23" t="s">
        <v>212</v>
      </c>
      <c r="B174" s="8">
        <f t="shared" si="1"/>
        <v>1.75</v>
      </c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  <c r="AC174" s="8"/>
      <c r="AD174" s="8"/>
      <c r="AE174" s="8"/>
      <c r="AF174" s="8"/>
      <c r="AG174" s="8"/>
      <c r="AH174" s="8"/>
      <c r="AI174" s="8"/>
      <c r="AJ174" s="8"/>
      <c r="AK174" s="20">
        <v>1.75</v>
      </c>
      <c r="AL174" s="8"/>
      <c r="AM174" s="8"/>
      <c r="AN174" s="8"/>
      <c r="AO174" s="8"/>
      <c r="AP174" s="8"/>
      <c r="AQ174" s="8"/>
      <c r="AR174" s="8"/>
      <c r="AS174" s="8"/>
      <c r="AT174" s="8"/>
    </row>
    <row r="175" ht="15.75" customHeight="1">
      <c r="A175" s="24" t="s">
        <v>213</v>
      </c>
      <c r="B175" s="8">
        <f t="shared" si="1"/>
        <v>2</v>
      </c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  <c r="AC175" s="8"/>
      <c r="AD175" s="8"/>
      <c r="AE175" s="8"/>
      <c r="AF175" s="8"/>
      <c r="AG175" s="8"/>
      <c r="AH175" s="8"/>
      <c r="AI175" s="8"/>
      <c r="AJ175" s="8"/>
      <c r="AK175" s="8"/>
      <c r="AL175" s="21">
        <v>2.0</v>
      </c>
      <c r="AM175" s="8"/>
      <c r="AN175" s="8"/>
      <c r="AO175" s="8"/>
      <c r="AP175" s="8"/>
      <c r="AQ175" s="8"/>
      <c r="AR175" s="8"/>
      <c r="AS175" s="8"/>
      <c r="AT175" s="8"/>
    </row>
    <row r="176" ht="15.75" customHeight="1">
      <c r="A176" s="24" t="s">
        <v>214</v>
      </c>
      <c r="B176" s="8">
        <f t="shared" si="1"/>
        <v>3.25</v>
      </c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  <c r="AC176" s="8"/>
      <c r="AD176" s="8"/>
      <c r="AE176" s="8"/>
      <c r="AF176" s="8"/>
      <c r="AG176" s="8"/>
      <c r="AH176" s="8"/>
      <c r="AI176" s="8"/>
      <c r="AJ176" s="8"/>
      <c r="AK176" s="8"/>
      <c r="AL176" s="21">
        <v>2.0</v>
      </c>
      <c r="AM176" s="8"/>
      <c r="AN176" s="20">
        <v>1.25</v>
      </c>
      <c r="AO176" s="8"/>
      <c r="AP176" s="8"/>
      <c r="AQ176" s="8"/>
      <c r="AR176" s="8"/>
      <c r="AS176" s="8"/>
      <c r="AT176" s="8"/>
    </row>
    <row r="177" ht="15.75" customHeight="1">
      <c r="A177" s="24" t="s">
        <v>215</v>
      </c>
      <c r="B177" s="8">
        <f t="shared" si="1"/>
        <v>2</v>
      </c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  <c r="AC177" s="8"/>
      <c r="AD177" s="8"/>
      <c r="AE177" s="8"/>
      <c r="AF177" s="8"/>
      <c r="AG177" s="8"/>
      <c r="AH177" s="8"/>
      <c r="AI177" s="8"/>
      <c r="AJ177" s="8"/>
      <c r="AK177" s="8"/>
      <c r="AL177" s="21">
        <v>2.0</v>
      </c>
      <c r="AM177" s="8"/>
      <c r="AN177" s="8"/>
      <c r="AO177" s="8"/>
      <c r="AP177" s="8"/>
      <c r="AQ177" s="8"/>
      <c r="AR177" s="8"/>
      <c r="AS177" s="8"/>
      <c r="AT177" s="8"/>
    </row>
    <row r="178" ht="15.75" customHeight="1">
      <c r="A178" s="24" t="s">
        <v>216</v>
      </c>
      <c r="B178" s="8">
        <f t="shared" si="1"/>
        <v>8.75</v>
      </c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  <c r="AC178" s="8"/>
      <c r="AD178" s="8"/>
      <c r="AE178" s="8"/>
      <c r="AF178" s="8"/>
      <c r="AG178" s="8"/>
      <c r="AH178" s="8"/>
      <c r="AI178" s="8"/>
      <c r="AJ178" s="8"/>
      <c r="AK178" s="8"/>
      <c r="AL178" s="21">
        <v>2.0</v>
      </c>
      <c r="AM178" s="20">
        <v>2.25</v>
      </c>
      <c r="AN178" s="20">
        <v>2.5</v>
      </c>
      <c r="AO178" s="20">
        <v>2.0</v>
      </c>
      <c r="AP178" s="8"/>
      <c r="AQ178" s="8"/>
      <c r="AR178" s="8"/>
      <c r="AS178" s="8"/>
      <c r="AT178" s="8"/>
    </row>
    <row r="179" ht="15.75" customHeight="1">
      <c r="A179" s="24" t="s">
        <v>217</v>
      </c>
      <c r="B179" s="8">
        <f t="shared" si="1"/>
        <v>1.75</v>
      </c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  <c r="AC179" s="8"/>
      <c r="AD179" s="8"/>
      <c r="AE179" s="8"/>
      <c r="AF179" s="8"/>
      <c r="AG179" s="8"/>
      <c r="AH179" s="8"/>
      <c r="AI179" s="8"/>
      <c r="AJ179" s="8"/>
      <c r="AK179" s="8"/>
      <c r="AL179" s="21">
        <v>1.75</v>
      </c>
      <c r="AM179" s="8"/>
      <c r="AN179" s="8"/>
      <c r="AO179" s="8"/>
      <c r="AP179" s="8"/>
      <c r="AQ179" s="8"/>
      <c r="AR179" s="8"/>
      <c r="AS179" s="8"/>
      <c r="AT179" s="8"/>
    </row>
    <row r="180" ht="15.75" customHeight="1">
      <c r="A180" s="24" t="s">
        <v>218</v>
      </c>
      <c r="B180" s="8">
        <f t="shared" si="1"/>
        <v>2</v>
      </c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  <c r="AC180" s="8"/>
      <c r="AD180" s="8"/>
      <c r="AE180" s="8"/>
      <c r="AF180" s="8"/>
      <c r="AG180" s="8"/>
      <c r="AH180" s="8"/>
      <c r="AI180" s="8"/>
      <c r="AJ180" s="8"/>
      <c r="AK180" s="8"/>
      <c r="AL180" s="20">
        <v>2.0</v>
      </c>
      <c r="AM180" s="8"/>
      <c r="AN180" s="8"/>
      <c r="AO180" s="8"/>
      <c r="AP180" s="8"/>
      <c r="AQ180" s="8"/>
      <c r="AR180" s="8"/>
      <c r="AS180" s="8"/>
      <c r="AT180" s="8"/>
    </row>
    <row r="181" ht="15.75" customHeight="1">
      <c r="A181" s="23" t="s">
        <v>219</v>
      </c>
      <c r="B181" s="8">
        <f t="shared" si="1"/>
        <v>6.75</v>
      </c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  <c r="AC181" s="8"/>
      <c r="AD181" s="8"/>
      <c r="AE181" s="8"/>
      <c r="AF181" s="8"/>
      <c r="AG181" s="8"/>
      <c r="AH181" s="8"/>
      <c r="AI181" s="8"/>
      <c r="AJ181" s="8"/>
      <c r="AK181" s="8"/>
      <c r="AL181" s="20">
        <v>1.5</v>
      </c>
      <c r="AM181" s="20">
        <v>2.0</v>
      </c>
      <c r="AN181" s="20">
        <v>1.25</v>
      </c>
      <c r="AO181" s="20">
        <v>2.0</v>
      </c>
      <c r="AP181" s="8"/>
      <c r="AQ181" s="8"/>
      <c r="AR181" s="8"/>
      <c r="AS181" s="8"/>
      <c r="AT181" s="8"/>
    </row>
    <row r="182" ht="15.75" customHeight="1">
      <c r="A182" s="23" t="s">
        <v>220</v>
      </c>
      <c r="B182" s="8">
        <f t="shared" si="1"/>
        <v>1.5</v>
      </c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  <c r="AC182" s="8"/>
      <c r="AD182" s="8"/>
      <c r="AE182" s="8"/>
      <c r="AF182" s="8"/>
      <c r="AG182" s="8"/>
      <c r="AH182" s="8"/>
      <c r="AI182" s="8"/>
      <c r="AJ182" s="8"/>
      <c r="AK182" s="8"/>
      <c r="AL182" s="20">
        <v>1.5</v>
      </c>
      <c r="AM182" s="8"/>
      <c r="AN182" s="8"/>
      <c r="AO182" s="8"/>
      <c r="AP182" s="8"/>
      <c r="AQ182" s="8"/>
      <c r="AR182" s="8"/>
      <c r="AS182" s="8"/>
      <c r="AT182" s="8"/>
    </row>
    <row r="183" ht="15.75" customHeight="1">
      <c r="A183" s="23" t="s">
        <v>221</v>
      </c>
      <c r="B183" s="8">
        <f t="shared" si="1"/>
        <v>3.25</v>
      </c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  <c r="AC183" s="8"/>
      <c r="AD183" s="8"/>
      <c r="AE183" s="8"/>
      <c r="AF183" s="8"/>
      <c r="AG183" s="8"/>
      <c r="AH183" s="8"/>
      <c r="AI183" s="8"/>
      <c r="AJ183" s="8"/>
      <c r="AK183" s="8"/>
      <c r="AL183" s="8"/>
      <c r="AM183" s="20">
        <v>2.0</v>
      </c>
      <c r="AN183" s="20">
        <v>1.25</v>
      </c>
      <c r="AO183" s="8"/>
      <c r="AP183" s="8"/>
      <c r="AQ183" s="8"/>
      <c r="AR183" s="8"/>
      <c r="AS183" s="8"/>
      <c r="AT183" s="8"/>
    </row>
    <row r="184" ht="15.75" customHeight="1">
      <c r="A184" s="23" t="s">
        <v>222</v>
      </c>
      <c r="B184" s="8">
        <f t="shared" si="1"/>
        <v>3.5</v>
      </c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  <c r="AC184" s="8"/>
      <c r="AD184" s="8"/>
      <c r="AE184" s="8"/>
      <c r="AF184" s="8"/>
      <c r="AG184" s="8"/>
      <c r="AH184" s="8"/>
      <c r="AI184" s="8"/>
      <c r="AJ184" s="8"/>
      <c r="AK184" s="8"/>
      <c r="AL184" s="8"/>
      <c r="AM184" s="20">
        <v>2.0</v>
      </c>
      <c r="AN184" s="8"/>
      <c r="AO184" s="20">
        <v>1.5</v>
      </c>
      <c r="AP184" s="8"/>
      <c r="AQ184" s="8"/>
      <c r="AR184" s="8"/>
      <c r="AS184" s="8"/>
      <c r="AT184" s="8"/>
    </row>
    <row r="185" ht="15.75" customHeight="1">
      <c r="A185" s="23" t="s">
        <v>223</v>
      </c>
      <c r="B185" s="8">
        <f t="shared" si="1"/>
        <v>1.5</v>
      </c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  <c r="AC185" s="8"/>
      <c r="AD185" s="8"/>
      <c r="AE185" s="8"/>
      <c r="AF185" s="8"/>
      <c r="AG185" s="8"/>
      <c r="AH185" s="8"/>
      <c r="AI185" s="8"/>
      <c r="AJ185" s="8"/>
      <c r="AK185" s="8"/>
      <c r="AL185" s="8"/>
      <c r="AM185" s="20">
        <v>1.5</v>
      </c>
      <c r="AN185" s="8"/>
      <c r="AO185" s="8"/>
      <c r="AP185" s="8"/>
      <c r="AQ185" s="8"/>
      <c r="AR185" s="8"/>
      <c r="AS185" s="8"/>
      <c r="AT185" s="8"/>
    </row>
    <row r="186" ht="15.75" customHeight="1">
      <c r="A186" s="23" t="s">
        <v>224</v>
      </c>
      <c r="B186" s="8">
        <f t="shared" si="1"/>
        <v>2.5</v>
      </c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  <c r="AC186" s="8"/>
      <c r="AD186" s="8"/>
      <c r="AE186" s="8"/>
      <c r="AF186" s="8"/>
      <c r="AG186" s="8"/>
      <c r="AH186" s="8"/>
      <c r="AI186" s="8"/>
      <c r="AJ186" s="8"/>
      <c r="AK186" s="8"/>
      <c r="AL186" s="8"/>
      <c r="AM186" s="8"/>
      <c r="AN186" s="20">
        <v>2.5</v>
      </c>
      <c r="AO186" s="8"/>
      <c r="AP186" s="8"/>
      <c r="AQ186" s="8"/>
      <c r="AR186" s="8"/>
      <c r="AS186" s="8"/>
      <c r="AT186" s="8"/>
    </row>
    <row r="187" ht="15.75" customHeight="1">
      <c r="A187" s="23" t="s">
        <v>225</v>
      </c>
      <c r="B187" s="8">
        <f t="shared" si="1"/>
        <v>2.5</v>
      </c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8"/>
      <c r="AD187" s="8"/>
      <c r="AE187" s="8"/>
      <c r="AF187" s="8"/>
      <c r="AG187" s="8"/>
      <c r="AH187" s="8"/>
      <c r="AI187" s="8"/>
      <c r="AJ187" s="8"/>
      <c r="AK187" s="8"/>
      <c r="AL187" s="8"/>
      <c r="AM187" s="8"/>
      <c r="AN187" s="20">
        <v>2.5</v>
      </c>
      <c r="AO187" s="8"/>
      <c r="AP187" s="8"/>
      <c r="AQ187" s="8"/>
      <c r="AR187" s="8"/>
      <c r="AS187" s="8"/>
      <c r="AT187" s="8"/>
    </row>
    <row r="188" ht="15.75" customHeight="1">
      <c r="A188" s="23" t="s">
        <v>226</v>
      </c>
      <c r="B188" s="8">
        <f t="shared" si="1"/>
        <v>1.25</v>
      </c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  <c r="AD188" s="8"/>
      <c r="AE188" s="8"/>
      <c r="AF188" s="8"/>
      <c r="AG188" s="8"/>
      <c r="AH188" s="8"/>
      <c r="AI188" s="8"/>
      <c r="AJ188" s="8"/>
      <c r="AK188" s="8"/>
      <c r="AL188" s="8"/>
      <c r="AM188" s="8"/>
      <c r="AN188" s="20">
        <v>1.25</v>
      </c>
      <c r="AO188" s="8"/>
      <c r="AP188" s="8"/>
      <c r="AQ188" s="8"/>
      <c r="AR188" s="8"/>
      <c r="AS188" s="8"/>
      <c r="AT188" s="8"/>
    </row>
    <row r="189" ht="15.75" customHeight="1">
      <c r="A189" s="23" t="s">
        <v>227</v>
      </c>
      <c r="B189" s="8">
        <f t="shared" si="1"/>
        <v>1.25</v>
      </c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  <c r="AC189" s="8"/>
      <c r="AD189" s="8"/>
      <c r="AE189" s="8"/>
      <c r="AF189" s="8"/>
      <c r="AG189" s="8"/>
      <c r="AH189" s="8"/>
      <c r="AI189" s="8"/>
      <c r="AJ189" s="8"/>
      <c r="AK189" s="8"/>
      <c r="AL189" s="8"/>
      <c r="AM189" s="8"/>
      <c r="AN189" s="20">
        <v>1.25</v>
      </c>
      <c r="AO189" s="8"/>
      <c r="AP189" s="8"/>
      <c r="AQ189" s="8"/>
      <c r="AR189" s="8"/>
      <c r="AS189" s="8"/>
      <c r="AT189" s="8"/>
    </row>
    <row r="190" ht="15.75" customHeight="1">
      <c r="A190" s="23" t="s">
        <v>228</v>
      </c>
      <c r="B190" s="8">
        <f t="shared" si="1"/>
        <v>1.25</v>
      </c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  <c r="AC190" s="8"/>
      <c r="AD190" s="8"/>
      <c r="AE190" s="8"/>
      <c r="AF190" s="8"/>
      <c r="AG190" s="8"/>
      <c r="AH190" s="8"/>
      <c r="AI190" s="8"/>
      <c r="AJ190" s="8"/>
      <c r="AK190" s="8"/>
      <c r="AL190" s="8"/>
      <c r="AM190" s="8"/>
      <c r="AN190" s="20">
        <v>1.25</v>
      </c>
      <c r="AO190" s="8"/>
      <c r="AP190" s="8"/>
      <c r="AQ190" s="8"/>
      <c r="AR190" s="8"/>
      <c r="AS190" s="8"/>
      <c r="AT190" s="8"/>
    </row>
    <row r="191" ht="15.75" customHeight="1">
      <c r="A191" s="23" t="s">
        <v>229</v>
      </c>
      <c r="B191" s="8">
        <f t="shared" si="1"/>
        <v>1.25</v>
      </c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  <c r="AC191" s="8"/>
      <c r="AD191" s="8"/>
      <c r="AE191" s="8"/>
      <c r="AF191" s="8"/>
      <c r="AG191" s="8"/>
      <c r="AH191" s="8"/>
      <c r="AI191" s="8"/>
      <c r="AJ191" s="8"/>
      <c r="AK191" s="8"/>
      <c r="AL191" s="8"/>
      <c r="AM191" s="8"/>
      <c r="AN191" s="20">
        <v>1.25</v>
      </c>
      <c r="AO191" s="8"/>
      <c r="AP191" s="8"/>
      <c r="AQ191" s="8"/>
      <c r="AR191" s="8"/>
      <c r="AS191" s="8"/>
      <c r="AT191" s="8"/>
    </row>
    <row r="192" ht="15.75" customHeight="1">
      <c r="A192" s="23" t="s">
        <v>60</v>
      </c>
      <c r="B192" s="8">
        <f t="shared" si="1"/>
        <v>1.5</v>
      </c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8"/>
      <c r="AD192" s="8"/>
      <c r="AE192" s="8"/>
      <c r="AF192" s="8"/>
      <c r="AG192" s="8"/>
      <c r="AH192" s="8"/>
      <c r="AI192" s="8"/>
      <c r="AJ192" s="8"/>
      <c r="AK192" s="8"/>
      <c r="AL192" s="8"/>
      <c r="AM192" s="8"/>
      <c r="AN192" s="8"/>
      <c r="AO192" s="20">
        <v>1.5</v>
      </c>
      <c r="AP192" s="8"/>
      <c r="AQ192" s="8"/>
      <c r="AR192" s="8"/>
      <c r="AS192" s="8"/>
      <c r="AT192" s="8"/>
    </row>
    <row r="193" ht="15.75" customHeight="1">
      <c r="A193" s="23" t="s">
        <v>230</v>
      </c>
      <c r="B193" s="8">
        <f t="shared" si="1"/>
        <v>1.5</v>
      </c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  <c r="AD193" s="8"/>
      <c r="AE193" s="8"/>
      <c r="AF193" s="8"/>
      <c r="AG193" s="8"/>
      <c r="AH193" s="8"/>
      <c r="AI193" s="8"/>
      <c r="AJ193" s="8"/>
      <c r="AK193" s="8"/>
      <c r="AL193" s="8"/>
      <c r="AM193" s="8"/>
      <c r="AN193" s="8"/>
      <c r="AO193" s="20">
        <v>1.5</v>
      </c>
      <c r="AP193" s="8"/>
      <c r="AQ193" s="8"/>
      <c r="AR193" s="8"/>
      <c r="AS193" s="8"/>
      <c r="AT193" s="8"/>
    </row>
    <row r="194" ht="15.75" customHeight="1">
      <c r="A194" s="23" t="s">
        <v>231</v>
      </c>
      <c r="B194" s="8">
        <f t="shared" si="1"/>
        <v>1.5</v>
      </c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  <c r="AD194" s="8"/>
      <c r="AE194" s="8"/>
      <c r="AF194" s="8"/>
      <c r="AG194" s="8"/>
      <c r="AH194" s="8"/>
      <c r="AI194" s="8"/>
      <c r="AJ194" s="8"/>
      <c r="AK194" s="8"/>
      <c r="AL194" s="8"/>
      <c r="AM194" s="8"/>
      <c r="AN194" s="8"/>
      <c r="AO194" s="20">
        <v>1.5</v>
      </c>
      <c r="AP194" s="8"/>
      <c r="AQ194" s="8"/>
      <c r="AR194" s="8"/>
      <c r="AS194" s="8"/>
      <c r="AT194" s="8"/>
    </row>
    <row r="195" ht="15.75" customHeight="1">
      <c r="A195" s="23" t="s">
        <v>232</v>
      </c>
      <c r="B195" s="8">
        <f t="shared" si="1"/>
        <v>1.5</v>
      </c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  <c r="AC195" s="8"/>
      <c r="AD195" s="8"/>
      <c r="AE195" s="8"/>
      <c r="AF195" s="8"/>
      <c r="AG195" s="8"/>
      <c r="AH195" s="8"/>
      <c r="AI195" s="8"/>
      <c r="AJ195" s="8"/>
      <c r="AK195" s="8"/>
      <c r="AL195" s="8"/>
      <c r="AM195" s="8"/>
      <c r="AN195" s="8"/>
      <c r="AO195" s="20">
        <v>1.5</v>
      </c>
      <c r="AP195" s="8"/>
      <c r="AQ195" s="8"/>
      <c r="AR195" s="8"/>
      <c r="AS195" s="8"/>
      <c r="AT195" s="8"/>
    </row>
    <row r="196" ht="15.75" customHeight="1">
      <c r="A196" s="23" t="s">
        <v>233</v>
      </c>
      <c r="B196" s="8">
        <f t="shared" si="1"/>
        <v>1.5</v>
      </c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  <c r="AC196" s="8"/>
      <c r="AD196" s="8"/>
      <c r="AE196" s="8"/>
      <c r="AF196" s="8"/>
      <c r="AG196" s="8"/>
      <c r="AH196" s="8"/>
      <c r="AI196" s="8"/>
      <c r="AJ196" s="8"/>
      <c r="AK196" s="8"/>
      <c r="AL196" s="8"/>
      <c r="AM196" s="8"/>
      <c r="AN196" s="8"/>
      <c r="AO196" s="20">
        <v>1.5</v>
      </c>
      <c r="AP196" s="8"/>
      <c r="AQ196" s="8"/>
      <c r="AR196" s="8"/>
      <c r="AS196" s="8"/>
      <c r="AT196" s="8"/>
    </row>
    <row r="197" ht="15.75" customHeight="1">
      <c r="A197" s="23" t="s">
        <v>234</v>
      </c>
      <c r="B197" s="8">
        <f t="shared" si="1"/>
        <v>2</v>
      </c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  <c r="AD197" s="8"/>
      <c r="AE197" s="8"/>
      <c r="AF197" s="8"/>
      <c r="AG197" s="8"/>
      <c r="AH197" s="8"/>
      <c r="AI197" s="8"/>
      <c r="AJ197" s="8"/>
      <c r="AK197" s="8"/>
      <c r="AL197" s="8"/>
      <c r="AM197" s="8"/>
      <c r="AN197" s="8"/>
      <c r="AO197" s="20">
        <v>2.0</v>
      </c>
      <c r="AP197" s="8"/>
      <c r="AQ197" s="8"/>
      <c r="AR197" s="8"/>
      <c r="AS197" s="8"/>
      <c r="AT197" s="8"/>
    </row>
    <row r="198" ht="15.75" customHeight="1">
      <c r="A198" s="22"/>
      <c r="B198" s="8">
        <f t="shared" si="1"/>
        <v>0</v>
      </c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  <c r="AC198" s="8"/>
      <c r="AD198" s="8"/>
      <c r="AE198" s="8"/>
      <c r="AF198" s="8"/>
      <c r="AG198" s="8"/>
      <c r="AH198" s="8"/>
      <c r="AI198" s="8"/>
      <c r="AJ198" s="8"/>
      <c r="AK198" s="8"/>
      <c r="AL198" s="8"/>
      <c r="AM198" s="8"/>
      <c r="AN198" s="8"/>
      <c r="AO198" s="8"/>
      <c r="AP198" s="8"/>
      <c r="AQ198" s="8"/>
      <c r="AR198" s="8"/>
      <c r="AS198" s="8"/>
      <c r="AT198" s="8"/>
    </row>
    <row r="199" ht="15.75" customHeight="1">
      <c r="A199" s="22"/>
      <c r="B199" s="8">
        <f t="shared" si="1"/>
        <v>0</v>
      </c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  <c r="AC199" s="8"/>
      <c r="AD199" s="8"/>
      <c r="AE199" s="8"/>
      <c r="AF199" s="8"/>
      <c r="AG199" s="8"/>
      <c r="AH199" s="8"/>
      <c r="AI199" s="8"/>
      <c r="AJ199" s="8"/>
      <c r="AK199" s="8"/>
      <c r="AL199" s="8"/>
      <c r="AM199" s="8"/>
      <c r="AN199" s="8"/>
      <c r="AO199" s="8"/>
      <c r="AP199" s="8"/>
      <c r="AQ199" s="8"/>
      <c r="AR199" s="8"/>
      <c r="AS199" s="8"/>
      <c r="AT199" s="8"/>
    </row>
    <row r="200" ht="15.75" customHeight="1">
      <c r="A200" s="22"/>
      <c r="B200" s="8">
        <f t="shared" si="1"/>
        <v>0</v>
      </c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  <c r="AD200" s="8"/>
      <c r="AE200" s="8"/>
      <c r="AF200" s="8"/>
      <c r="AG200" s="8"/>
      <c r="AH200" s="8"/>
      <c r="AI200" s="8"/>
      <c r="AJ200" s="8"/>
      <c r="AK200" s="8"/>
      <c r="AL200" s="8"/>
      <c r="AM200" s="8"/>
      <c r="AN200" s="8"/>
      <c r="AO200" s="8"/>
      <c r="AP200" s="8"/>
      <c r="AQ200" s="8"/>
      <c r="AR200" s="8"/>
      <c r="AS200" s="8"/>
      <c r="AT200" s="8"/>
    </row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1.0"/>
    <col customWidth="1" min="2" max="2" width="18.63"/>
    <col customWidth="1" min="3" max="4" width="14.75"/>
    <col customWidth="1" min="5" max="7" width="9.38"/>
    <col customWidth="1" min="8" max="27" width="8.63"/>
    <col customWidth="1" min="28" max="30" width="10.25"/>
    <col customWidth="1" min="31" max="31" width="10.38"/>
    <col customWidth="1" min="32" max="34" width="10.25"/>
    <col customWidth="1" min="35" max="36" width="10.38"/>
    <col customWidth="1" min="37" max="39" width="10.25"/>
    <col customWidth="1" min="40" max="41" width="10.38"/>
    <col customWidth="1" min="42" max="43" width="8.63"/>
    <col customWidth="1" min="44" max="46" width="10.25"/>
  </cols>
  <sheetData>
    <row r="1">
      <c r="A1" s="1" t="s">
        <v>0</v>
      </c>
      <c r="B1" s="2" t="s">
        <v>1</v>
      </c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25">
        <v>45948.0</v>
      </c>
      <c r="AF1" s="25">
        <v>45955.0</v>
      </c>
      <c r="AG1" s="25">
        <v>45962.0</v>
      </c>
      <c r="AH1" s="25">
        <v>45969.0</v>
      </c>
      <c r="AI1" s="25">
        <v>45976.0</v>
      </c>
      <c r="AJ1" s="25">
        <v>45983.0</v>
      </c>
      <c r="AK1" s="25">
        <v>45990.0</v>
      </c>
      <c r="AL1" s="25">
        <v>45997.0</v>
      </c>
      <c r="AM1" s="25">
        <v>46004.0</v>
      </c>
      <c r="AN1" s="25">
        <v>46011.0</v>
      </c>
      <c r="AO1" s="25">
        <v>46018.0</v>
      </c>
      <c r="AP1" s="4"/>
      <c r="AQ1" s="4"/>
      <c r="AR1" s="4"/>
      <c r="AS1" s="4"/>
      <c r="AT1" s="6"/>
    </row>
    <row r="2">
      <c r="A2" s="1">
        <v>16.0</v>
      </c>
      <c r="B2" s="7">
        <f>SUM(B3:B315)</f>
        <v>173.75</v>
      </c>
      <c r="C2" s="8"/>
      <c r="D2" s="8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8"/>
      <c r="AB2" s="8"/>
      <c r="AC2" s="8"/>
      <c r="AD2" s="8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8"/>
      <c r="AQ2" s="8"/>
      <c r="AR2" s="8"/>
      <c r="AS2" s="8"/>
      <c r="AT2" s="10"/>
    </row>
    <row r="3">
      <c r="A3" s="11" t="s">
        <v>3</v>
      </c>
      <c r="B3" s="8">
        <f t="shared" ref="B3:B200" si="1">SUM(C3:CB3)</f>
        <v>10.5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27">
        <v>2.0</v>
      </c>
      <c r="AF3" s="27">
        <v>1.5</v>
      </c>
      <c r="AG3" s="27"/>
      <c r="AH3" s="27">
        <v>1.5</v>
      </c>
      <c r="AI3" s="28">
        <v>1.75</v>
      </c>
      <c r="AJ3" s="27">
        <v>2.0</v>
      </c>
      <c r="AK3" s="27">
        <v>1.75</v>
      </c>
      <c r="AL3" s="27" t="s">
        <v>62</v>
      </c>
      <c r="AM3" s="27" t="s">
        <v>62</v>
      </c>
      <c r="AN3" s="27"/>
      <c r="AO3" s="27" t="s">
        <v>62</v>
      </c>
      <c r="AP3" s="8"/>
      <c r="AQ3" s="8"/>
      <c r="AR3" s="8"/>
      <c r="AS3" s="8"/>
      <c r="AT3" s="10"/>
    </row>
    <row r="4">
      <c r="A4" s="11" t="s">
        <v>6</v>
      </c>
      <c r="B4" s="8">
        <f t="shared" si="1"/>
        <v>2.75</v>
      </c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0"/>
      <c r="AE4" s="27"/>
      <c r="AF4" s="27"/>
      <c r="AG4" s="27">
        <v>1.5</v>
      </c>
      <c r="AH4" s="27"/>
      <c r="AI4" s="27"/>
      <c r="AJ4" s="27"/>
      <c r="AK4" s="27"/>
      <c r="AL4" s="27"/>
      <c r="AM4" s="27"/>
      <c r="AN4" s="27">
        <v>1.25</v>
      </c>
      <c r="AO4" s="26"/>
      <c r="AP4" s="8"/>
      <c r="AQ4" s="8"/>
      <c r="AR4" s="8"/>
      <c r="AS4" s="8"/>
      <c r="AT4" s="10"/>
    </row>
    <row r="5">
      <c r="A5" s="11" t="s">
        <v>7</v>
      </c>
      <c r="B5" s="8">
        <f t="shared" si="1"/>
        <v>4.75</v>
      </c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20"/>
      <c r="AE5" s="27">
        <v>2.0</v>
      </c>
      <c r="AF5" s="27"/>
      <c r="AG5" s="27">
        <v>1.5</v>
      </c>
      <c r="AH5" s="26"/>
      <c r="AI5" s="28"/>
      <c r="AJ5" s="27"/>
      <c r="AK5" s="27"/>
      <c r="AL5" s="27"/>
      <c r="AM5" s="26"/>
      <c r="AN5" s="27">
        <v>1.25</v>
      </c>
      <c r="AO5" s="27"/>
      <c r="AP5" s="8"/>
      <c r="AQ5" s="8"/>
      <c r="AR5" s="8"/>
      <c r="AS5" s="8"/>
      <c r="AT5" s="10"/>
    </row>
    <row r="6">
      <c r="A6" s="11" t="s">
        <v>51</v>
      </c>
      <c r="B6" s="8">
        <f t="shared" si="1"/>
        <v>0</v>
      </c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26"/>
      <c r="AF6" s="26"/>
      <c r="AG6" s="26"/>
      <c r="AH6" s="26"/>
      <c r="AI6" s="26"/>
      <c r="AJ6" s="26"/>
      <c r="AK6" s="26"/>
      <c r="AL6" s="27"/>
      <c r="AM6" s="26"/>
      <c r="AN6" s="26"/>
      <c r="AO6" s="26"/>
      <c r="AP6" s="8"/>
      <c r="AQ6" s="8"/>
      <c r="AR6" s="8"/>
      <c r="AS6" s="8"/>
      <c r="AT6" s="10"/>
    </row>
    <row r="7">
      <c r="A7" s="11" t="s">
        <v>13</v>
      </c>
      <c r="B7" s="8">
        <f t="shared" si="1"/>
        <v>0</v>
      </c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8"/>
      <c r="AQ7" s="8"/>
      <c r="AR7" s="8"/>
      <c r="AS7" s="8"/>
      <c r="AT7" s="10"/>
    </row>
    <row r="8">
      <c r="A8" s="11" t="s">
        <v>55</v>
      </c>
      <c r="B8" s="8">
        <f t="shared" si="1"/>
        <v>0</v>
      </c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8"/>
      <c r="AQ8" s="8"/>
      <c r="AR8" s="8"/>
      <c r="AS8" s="8"/>
      <c r="AT8" s="10"/>
    </row>
    <row r="9">
      <c r="A9" s="11" t="s">
        <v>17</v>
      </c>
      <c r="B9" s="8">
        <f t="shared" si="1"/>
        <v>0</v>
      </c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8"/>
      <c r="AQ9" s="8"/>
      <c r="AR9" s="8"/>
      <c r="AS9" s="8"/>
      <c r="AT9" s="10"/>
    </row>
    <row r="10">
      <c r="A10" s="11" t="s">
        <v>64</v>
      </c>
      <c r="B10" s="8">
        <f t="shared" si="1"/>
        <v>0</v>
      </c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8"/>
      <c r="AQ10" s="8"/>
      <c r="AR10" s="8"/>
      <c r="AS10" s="8"/>
      <c r="AT10" s="10"/>
    </row>
    <row r="11">
      <c r="A11" s="11" t="s">
        <v>65</v>
      </c>
      <c r="B11" s="8">
        <f t="shared" si="1"/>
        <v>0</v>
      </c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8"/>
      <c r="AQ11" s="8"/>
      <c r="AR11" s="8"/>
      <c r="AS11" s="8"/>
      <c r="AT11" s="10"/>
    </row>
    <row r="12">
      <c r="A12" s="11" t="s">
        <v>66</v>
      </c>
      <c r="B12" s="8">
        <f t="shared" si="1"/>
        <v>0</v>
      </c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8"/>
      <c r="AQ12" s="8"/>
      <c r="AR12" s="8"/>
      <c r="AS12" s="8"/>
      <c r="AT12" s="10"/>
    </row>
    <row r="13">
      <c r="A13" s="11" t="s">
        <v>23</v>
      </c>
      <c r="B13" s="8">
        <f t="shared" si="1"/>
        <v>0</v>
      </c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8"/>
      <c r="AQ13" s="8"/>
      <c r="AR13" s="8"/>
      <c r="AS13" s="8"/>
      <c r="AT13" s="10"/>
    </row>
    <row r="14">
      <c r="A14" s="11" t="s">
        <v>24</v>
      </c>
      <c r="B14" s="8">
        <f t="shared" si="1"/>
        <v>0</v>
      </c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8"/>
      <c r="AQ14" s="8"/>
      <c r="AR14" s="8"/>
      <c r="AS14" s="8"/>
      <c r="AT14" s="10"/>
    </row>
    <row r="15">
      <c r="A15" s="11" t="s">
        <v>33</v>
      </c>
      <c r="B15" s="8">
        <f t="shared" si="1"/>
        <v>0</v>
      </c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26"/>
      <c r="AF15" s="26"/>
      <c r="AG15" s="26"/>
      <c r="AH15" s="26"/>
      <c r="AI15" s="28"/>
      <c r="AJ15" s="27"/>
      <c r="AK15" s="26"/>
      <c r="AL15" s="26"/>
      <c r="AM15" s="26"/>
      <c r="AN15" s="26"/>
      <c r="AO15" s="26"/>
      <c r="AP15" s="8"/>
      <c r="AQ15" s="8"/>
      <c r="AR15" s="8"/>
      <c r="AS15" s="8"/>
      <c r="AT15" s="10"/>
    </row>
    <row r="16">
      <c r="A16" s="11" t="s">
        <v>61</v>
      </c>
      <c r="B16" s="8">
        <f t="shared" si="1"/>
        <v>0</v>
      </c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26"/>
      <c r="AF16" s="26"/>
      <c r="AG16" s="26"/>
      <c r="AH16" s="26"/>
      <c r="AI16" s="28"/>
      <c r="AJ16" s="27"/>
      <c r="AK16" s="26"/>
      <c r="AL16" s="26"/>
      <c r="AM16" s="26"/>
      <c r="AN16" s="26"/>
      <c r="AO16" s="26"/>
      <c r="AP16" s="8"/>
      <c r="AQ16" s="8"/>
      <c r="AR16" s="8"/>
      <c r="AS16" s="8"/>
      <c r="AT16" s="10"/>
    </row>
    <row r="17">
      <c r="A17" s="11" t="s">
        <v>67</v>
      </c>
      <c r="B17" s="8">
        <f t="shared" si="1"/>
        <v>0</v>
      </c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8"/>
      <c r="AQ17" s="8"/>
      <c r="AR17" s="8"/>
      <c r="AS17" s="8"/>
      <c r="AT17" s="10"/>
    </row>
    <row r="18">
      <c r="A18" s="11" t="s">
        <v>68</v>
      </c>
      <c r="B18" s="8">
        <f t="shared" si="1"/>
        <v>0</v>
      </c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8"/>
      <c r="AQ18" s="8"/>
      <c r="AR18" s="8"/>
      <c r="AS18" s="8"/>
      <c r="AT18" s="10"/>
    </row>
    <row r="19">
      <c r="A19" s="11" t="s">
        <v>69</v>
      </c>
      <c r="B19" s="8">
        <f t="shared" si="1"/>
        <v>0</v>
      </c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27"/>
      <c r="AF19" s="27"/>
      <c r="AG19" s="27"/>
      <c r="AH19" s="27"/>
      <c r="AI19" s="27"/>
      <c r="AJ19" s="27"/>
      <c r="AK19" s="26"/>
      <c r="AL19" s="27"/>
      <c r="AM19" s="26"/>
      <c r="AN19" s="26"/>
      <c r="AO19" s="26"/>
      <c r="AP19" s="8"/>
      <c r="AQ19" s="8"/>
      <c r="AR19" s="8"/>
      <c r="AS19" s="8"/>
      <c r="AT19" s="10"/>
    </row>
    <row r="20">
      <c r="A20" s="11" t="s">
        <v>70</v>
      </c>
      <c r="B20" s="8">
        <f t="shared" si="1"/>
        <v>0</v>
      </c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8"/>
      <c r="AQ20" s="8"/>
      <c r="AR20" s="8"/>
      <c r="AS20" s="8"/>
      <c r="AT20" s="10"/>
    </row>
    <row r="21" ht="15.75" customHeight="1">
      <c r="A21" s="11" t="s">
        <v>52</v>
      </c>
      <c r="B21" s="8">
        <f t="shared" si="1"/>
        <v>0</v>
      </c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8"/>
      <c r="AQ21" s="8"/>
      <c r="AR21" s="8"/>
      <c r="AS21" s="8"/>
      <c r="AT21" s="10"/>
    </row>
    <row r="22" ht="15.75" customHeight="1">
      <c r="A22" s="11" t="s">
        <v>16</v>
      </c>
      <c r="B22" s="8">
        <f t="shared" si="1"/>
        <v>0</v>
      </c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8"/>
      <c r="AQ22" s="8"/>
      <c r="AR22" s="8"/>
      <c r="AS22" s="8"/>
      <c r="AT22" s="10"/>
    </row>
    <row r="23" ht="15.75" customHeight="1">
      <c r="A23" s="11" t="s">
        <v>46</v>
      </c>
      <c r="B23" s="8">
        <f t="shared" si="1"/>
        <v>0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8"/>
      <c r="AQ23" s="8"/>
      <c r="AR23" s="8"/>
      <c r="AS23" s="8"/>
      <c r="AT23" s="10"/>
    </row>
    <row r="24" ht="15.75" customHeight="1">
      <c r="A24" s="11" t="s">
        <v>71</v>
      </c>
      <c r="B24" s="8">
        <f t="shared" si="1"/>
        <v>0</v>
      </c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8"/>
      <c r="AQ24" s="8"/>
      <c r="AR24" s="8"/>
      <c r="AS24" s="8"/>
      <c r="AT24" s="10"/>
    </row>
    <row r="25" ht="15.75" customHeight="1">
      <c r="A25" s="11" t="s">
        <v>72</v>
      </c>
      <c r="B25" s="8">
        <f t="shared" si="1"/>
        <v>0</v>
      </c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8"/>
      <c r="AQ25" s="8"/>
      <c r="AR25" s="8"/>
      <c r="AS25" s="8"/>
      <c r="AT25" s="10"/>
    </row>
    <row r="26" ht="15.75" customHeight="1">
      <c r="A26" s="11" t="s">
        <v>48</v>
      </c>
      <c r="B26" s="8">
        <f t="shared" si="1"/>
        <v>0</v>
      </c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8"/>
      <c r="AQ26" s="8"/>
      <c r="AR26" s="8"/>
      <c r="AS26" s="8"/>
      <c r="AT26" s="10"/>
    </row>
    <row r="27" ht="15.75" customHeight="1">
      <c r="A27" s="11" t="s">
        <v>41</v>
      </c>
      <c r="B27" s="8">
        <f t="shared" si="1"/>
        <v>0</v>
      </c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8"/>
      <c r="AQ27" s="8"/>
      <c r="AR27" s="8"/>
      <c r="AS27" s="8"/>
      <c r="AT27" s="10"/>
    </row>
    <row r="28" ht="15.75" customHeight="1">
      <c r="A28" s="11" t="s">
        <v>40</v>
      </c>
      <c r="B28" s="8">
        <f t="shared" si="1"/>
        <v>1.25</v>
      </c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26"/>
      <c r="AF28" s="26"/>
      <c r="AG28" s="26"/>
      <c r="AH28" s="26"/>
      <c r="AI28" s="26"/>
      <c r="AJ28" s="26"/>
      <c r="AK28" s="26"/>
      <c r="AL28" s="26"/>
      <c r="AM28" s="26"/>
      <c r="AN28" s="27">
        <v>1.25</v>
      </c>
      <c r="AO28" s="26"/>
      <c r="AP28" s="8"/>
      <c r="AQ28" s="8"/>
      <c r="AR28" s="8"/>
      <c r="AS28" s="8"/>
      <c r="AT28" s="10"/>
    </row>
    <row r="29" ht="15.75" customHeight="1">
      <c r="A29" s="11" t="s">
        <v>10</v>
      </c>
      <c r="B29" s="8">
        <f t="shared" si="1"/>
        <v>1.5</v>
      </c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26"/>
      <c r="AF29" s="27">
        <v>1.5</v>
      </c>
      <c r="AG29" s="26"/>
      <c r="AH29" s="26"/>
      <c r="AI29" s="26"/>
      <c r="AJ29" s="26"/>
      <c r="AK29" s="26"/>
      <c r="AL29" s="26"/>
      <c r="AM29" s="26"/>
      <c r="AN29" s="26"/>
      <c r="AO29" s="26"/>
      <c r="AP29" s="8"/>
      <c r="AQ29" s="8"/>
      <c r="AR29" s="8"/>
      <c r="AS29" s="8"/>
      <c r="AT29" s="10"/>
    </row>
    <row r="30" ht="15.75" customHeight="1">
      <c r="A30" s="11" t="s">
        <v>9</v>
      </c>
      <c r="B30" s="8">
        <f t="shared" si="1"/>
        <v>0</v>
      </c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26"/>
      <c r="AF30" s="26"/>
      <c r="AG30" s="26"/>
      <c r="AH30" s="26"/>
      <c r="AI30" s="26"/>
      <c r="AJ30" s="26"/>
      <c r="AK30" s="26"/>
      <c r="AL30" s="26"/>
      <c r="AM30" s="26"/>
      <c r="AN30" s="26"/>
      <c r="AO30" s="26"/>
      <c r="AP30" s="8"/>
      <c r="AQ30" s="8"/>
      <c r="AR30" s="8"/>
      <c r="AS30" s="8"/>
      <c r="AT30" s="10"/>
    </row>
    <row r="31" ht="15.75" customHeight="1">
      <c r="A31" s="11" t="s">
        <v>73</v>
      </c>
      <c r="B31" s="8">
        <f t="shared" si="1"/>
        <v>0</v>
      </c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26"/>
      <c r="AF31" s="26"/>
      <c r="AG31" s="26"/>
      <c r="AH31" s="26"/>
      <c r="AI31" s="26"/>
      <c r="AJ31" s="26"/>
      <c r="AK31" s="26"/>
      <c r="AL31" s="26"/>
      <c r="AM31" s="26"/>
      <c r="AN31" s="26"/>
      <c r="AO31" s="26"/>
      <c r="AP31" s="8"/>
      <c r="AQ31" s="8"/>
      <c r="AR31" s="8"/>
      <c r="AS31" s="8"/>
      <c r="AT31" s="10"/>
    </row>
    <row r="32" ht="15.75" customHeight="1">
      <c r="A32" s="11" t="s">
        <v>31</v>
      </c>
      <c r="B32" s="8">
        <f t="shared" si="1"/>
        <v>0</v>
      </c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26"/>
      <c r="AF32" s="26"/>
      <c r="AG32" s="26"/>
      <c r="AH32" s="26"/>
      <c r="AI32" s="26"/>
      <c r="AJ32" s="26"/>
      <c r="AK32" s="26"/>
      <c r="AL32" s="26"/>
      <c r="AM32" s="26"/>
      <c r="AN32" s="26"/>
      <c r="AO32" s="26"/>
      <c r="AP32" s="8"/>
      <c r="AQ32" s="8"/>
      <c r="AR32" s="8"/>
      <c r="AS32" s="8"/>
      <c r="AT32" s="10"/>
    </row>
    <row r="33" ht="15.75" customHeight="1">
      <c r="A33" s="11" t="s">
        <v>74</v>
      </c>
      <c r="B33" s="8">
        <f t="shared" si="1"/>
        <v>0</v>
      </c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26"/>
      <c r="AF33" s="26"/>
      <c r="AG33" s="26"/>
      <c r="AH33" s="26"/>
      <c r="AI33" s="26"/>
      <c r="AJ33" s="26"/>
      <c r="AK33" s="26"/>
      <c r="AL33" s="26"/>
      <c r="AM33" s="26"/>
      <c r="AN33" s="26"/>
      <c r="AO33" s="26"/>
      <c r="AP33" s="8"/>
      <c r="AQ33" s="8"/>
      <c r="AR33" s="8"/>
      <c r="AS33" s="8"/>
      <c r="AT33" s="10"/>
    </row>
    <row r="34" ht="15.75" customHeight="1">
      <c r="A34" s="11" t="s">
        <v>75</v>
      </c>
      <c r="B34" s="8">
        <f t="shared" si="1"/>
        <v>0</v>
      </c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26"/>
      <c r="AF34" s="26"/>
      <c r="AG34" s="26"/>
      <c r="AH34" s="26"/>
      <c r="AI34" s="26"/>
      <c r="AJ34" s="26"/>
      <c r="AK34" s="26"/>
      <c r="AL34" s="26"/>
      <c r="AM34" s="26"/>
      <c r="AN34" s="26"/>
      <c r="AO34" s="26"/>
      <c r="AP34" s="8"/>
      <c r="AQ34" s="8"/>
      <c r="AR34" s="8"/>
      <c r="AS34" s="8"/>
      <c r="AT34" s="10"/>
    </row>
    <row r="35" ht="15.75" customHeight="1">
      <c r="A35" s="11" t="s">
        <v>15</v>
      </c>
      <c r="B35" s="8">
        <f t="shared" si="1"/>
        <v>0</v>
      </c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26"/>
      <c r="AF35" s="26"/>
      <c r="AG35" s="26"/>
      <c r="AH35" s="26"/>
      <c r="AI35" s="26"/>
      <c r="AJ35" s="26"/>
      <c r="AK35" s="26"/>
      <c r="AL35" s="26"/>
      <c r="AM35" s="26"/>
      <c r="AN35" s="26"/>
      <c r="AO35" s="26"/>
      <c r="AP35" s="8"/>
      <c r="AQ35" s="8"/>
      <c r="AR35" s="8"/>
      <c r="AS35" s="8"/>
      <c r="AT35" s="10"/>
    </row>
    <row r="36" ht="15.75" customHeight="1">
      <c r="A36" s="11" t="s">
        <v>12</v>
      </c>
      <c r="B36" s="8">
        <f t="shared" si="1"/>
        <v>0</v>
      </c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26"/>
      <c r="AF36" s="26"/>
      <c r="AG36" s="26"/>
      <c r="AH36" s="26"/>
      <c r="AI36" s="26"/>
      <c r="AJ36" s="26"/>
      <c r="AK36" s="26"/>
      <c r="AL36" s="26"/>
      <c r="AM36" s="26"/>
      <c r="AN36" s="26"/>
      <c r="AO36" s="26"/>
      <c r="AP36" s="8"/>
      <c r="AQ36" s="8"/>
      <c r="AR36" s="8"/>
      <c r="AS36" s="8"/>
      <c r="AT36" s="10"/>
    </row>
    <row r="37" ht="15.75" customHeight="1">
      <c r="A37" s="11" t="s">
        <v>76</v>
      </c>
      <c r="B37" s="8">
        <f t="shared" si="1"/>
        <v>0</v>
      </c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26"/>
      <c r="AF37" s="26"/>
      <c r="AG37" s="26"/>
      <c r="AH37" s="26"/>
      <c r="AI37" s="26"/>
      <c r="AJ37" s="26"/>
      <c r="AK37" s="26"/>
      <c r="AL37" s="26"/>
      <c r="AM37" s="26"/>
      <c r="AN37" s="26"/>
      <c r="AO37" s="26"/>
      <c r="AP37" s="8"/>
      <c r="AQ37" s="8"/>
      <c r="AR37" s="8"/>
      <c r="AS37" s="8"/>
      <c r="AT37" s="10"/>
    </row>
    <row r="38" ht="15.75" customHeight="1">
      <c r="A38" s="11" t="s">
        <v>77</v>
      </c>
      <c r="B38" s="8">
        <f t="shared" si="1"/>
        <v>0</v>
      </c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26"/>
      <c r="AF38" s="26"/>
      <c r="AG38" s="26"/>
      <c r="AH38" s="26"/>
      <c r="AI38" s="26"/>
      <c r="AJ38" s="26"/>
      <c r="AK38" s="27"/>
      <c r="AL38" s="26"/>
      <c r="AM38" s="26"/>
      <c r="AN38" s="26"/>
      <c r="AO38" s="26"/>
      <c r="AP38" s="8"/>
      <c r="AQ38" s="8"/>
      <c r="AR38" s="8"/>
      <c r="AS38" s="8"/>
      <c r="AT38" s="10"/>
    </row>
    <row r="39" ht="15.75" customHeight="1">
      <c r="A39" s="11" t="s">
        <v>78</v>
      </c>
      <c r="B39" s="8">
        <f t="shared" si="1"/>
        <v>0</v>
      </c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26"/>
      <c r="AF39" s="26"/>
      <c r="AG39" s="26"/>
      <c r="AH39" s="26"/>
      <c r="AI39" s="26"/>
      <c r="AJ39" s="26"/>
      <c r="AK39" s="26"/>
      <c r="AL39" s="26"/>
      <c r="AM39" s="26"/>
      <c r="AN39" s="26"/>
      <c r="AO39" s="26"/>
      <c r="AP39" s="8"/>
      <c r="AQ39" s="8"/>
      <c r="AR39" s="8"/>
      <c r="AS39" s="8"/>
      <c r="AT39" s="10"/>
    </row>
    <row r="40" ht="15.75" customHeight="1">
      <c r="A40" s="11" t="s">
        <v>79</v>
      </c>
      <c r="B40" s="8">
        <f t="shared" si="1"/>
        <v>0</v>
      </c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26"/>
      <c r="AF40" s="26"/>
      <c r="AG40" s="27"/>
      <c r="AH40" s="26"/>
      <c r="AI40" s="26"/>
      <c r="AJ40" s="26"/>
      <c r="AK40" s="26"/>
      <c r="AL40" s="26"/>
      <c r="AM40" s="26"/>
      <c r="AN40" s="26"/>
      <c r="AO40" s="26"/>
      <c r="AP40" s="8"/>
      <c r="AQ40" s="8"/>
      <c r="AR40" s="8"/>
      <c r="AS40" s="8"/>
      <c r="AT40" s="10"/>
    </row>
    <row r="41" ht="15.75" customHeight="1">
      <c r="A41" s="11" t="s">
        <v>80</v>
      </c>
      <c r="B41" s="8">
        <f t="shared" si="1"/>
        <v>0</v>
      </c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8"/>
      <c r="AQ41" s="8"/>
      <c r="AR41" s="8"/>
      <c r="AS41" s="8"/>
      <c r="AT41" s="10"/>
    </row>
    <row r="42" ht="15.75" customHeight="1">
      <c r="A42" s="11" t="s">
        <v>81</v>
      </c>
      <c r="B42" s="8">
        <f t="shared" si="1"/>
        <v>0</v>
      </c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8"/>
      <c r="AQ42" s="8"/>
      <c r="AR42" s="8"/>
      <c r="AS42" s="8"/>
      <c r="AT42" s="10"/>
    </row>
    <row r="43" ht="15.75" customHeight="1">
      <c r="A43" s="11" t="s">
        <v>82</v>
      </c>
      <c r="B43" s="8">
        <f t="shared" si="1"/>
        <v>0</v>
      </c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8"/>
      <c r="AQ43" s="8"/>
      <c r="AR43" s="8"/>
      <c r="AS43" s="8"/>
      <c r="AT43" s="10"/>
    </row>
    <row r="44" ht="15.75" customHeight="1">
      <c r="A44" s="11" t="s">
        <v>83</v>
      </c>
      <c r="B44" s="8">
        <f t="shared" si="1"/>
        <v>0</v>
      </c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8"/>
      <c r="AQ44" s="8"/>
      <c r="AR44" s="8"/>
      <c r="AS44" s="8"/>
      <c r="AT44" s="10"/>
    </row>
    <row r="45" ht="15.75" customHeight="1">
      <c r="A45" s="11" t="s">
        <v>84</v>
      </c>
      <c r="B45" s="8">
        <f t="shared" si="1"/>
        <v>0</v>
      </c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8"/>
      <c r="AQ45" s="8"/>
      <c r="AR45" s="8"/>
      <c r="AS45" s="8"/>
      <c r="AT45" s="10"/>
    </row>
    <row r="46" ht="15.75" customHeight="1">
      <c r="A46" s="11" t="s">
        <v>85</v>
      </c>
      <c r="B46" s="8">
        <f t="shared" si="1"/>
        <v>0</v>
      </c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8"/>
      <c r="AQ46" s="8"/>
      <c r="AR46" s="8"/>
      <c r="AS46" s="8"/>
      <c r="AT46" s="10"/>
    </row>
    <row r="47" ht="15.75" customHeight="1">
      <c r="A47" s="11" t="s">
        <v>86</v>
      </c>
      <c r="B47" s="8">
        <f t="shared" si="1"/>
        <v>0</v>
      </c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8"/>
      <c r="AQ47" s="8"/>
      <c r="AR47" s="8"/>
      <c r="AS47" s="8"/>
      <c r="AT47" s="10"/>
    </row>
    <row r="48" ht="15.75" customHeight="1">
      <c r="A48" s="11" t="s">
        <v>87</v>
      </c>
      <c r="B48" s="8">
        <f t="shared" si="1"/>
        <v>0</v>
      </c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8"/>
      <c r="AQ48" s="8"/>
      <c r="AR48" s="8"/>
      <c r="AS48" s="8"/>
      <c r="AT48" s="10"/>
    </row>
    <row r="49" ht="15.75" customHeight="1">
      <c r="A49" s="11" t="s">
        <v>88</v>
      </c>
      <c r="B49" s="8">
        <f t="shared" si="1"/>
        <v>0</v>
      </c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8"/>
      <c r="AQ49" s="8"/>
      <c r="AR49" s="8"/>
      <c r="AS49" s="8"/>
      <c r="AT49" s="10"/>
    </row>
    <row r="50" ht="15.75" customHeight="1">
      <c r="A50" s="11" t="s">
        <v>89</v>
      </c>
      <c r="B50" s="8">
        <f t="shared" si="1"/>
        <v>0</v>
      </c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8"/>
      <c r="AQ50" s="8"/>
      <c r="AR50" s="8"/>
      <c r="AS50" s="8"/>
      <c r="AT50" s="10"/>
    </row>
    <row r="51" ht="15.75" customHeight="1">
      <c r="A51" s="11" t="s">
        <v>90</v>
      </c>
      <c r="B51" s="8">
        <f t="shared" si="1"/>
        <v>1.25</v>
      </c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  <c r="AE51" s="26"/>
      <c r="AF51" s="27">
        <v>1.25</v>
      </c>
      <c r="AG51" s="26"/>
      <c r="AH51" s="26"/>
      <c r="AI51" s="26"/>
      <c r="AJ51" s="26"/>
      <c r="AK51" s="26"/>
      <c r="AL51" s="26"/>
      <c r="AM51" s="26"/>
      <c r="AN51" s="26"/>
      <c r="AO51" s="26"/>
      <c r="AP51" s="8"/>
      <c r="AQ51" s="8"/>
      <c r="AR51" s="8"/>
      <c r="AS51" s="8"/>
      <c r="AT51" s="10"/>
    </row>
    <row r="52" ht="15.75" customHeight="1">
      <c r="A52" s="11" t="s">
        <v>91</v>
      </c>
      <c r="B52" s="8">
        <f t="shared" si="1"/>
        <v>0</v>
      </c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  <c r="AD52" s="8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8"/>
      <c r="AQ52" s="8"/>
      <c r="AR52" s="8"/>
      <c r="AS52" s="8"/>
      <c r="AT52" s="10"/>
    </row>
    <row r="53" ht="15.75" customHeight="1">
      <c r="A53" s="11" t="s">
        <v>92</v>
      </c>
      <c r="B53" s="8">
        <f t="shared" si="1"/>
        <v>5.5</v>
      </c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  <c r="AC53" s="8"/>
      <c r="AD53" s="20"/>
      <c r="AE53" s="27">
        <v>2.0</v>
      </c>
      <c r="AF53" s="26"/>
      <c r="AG53" s="27">
        <v>1.5</v>
      </c>
      <c r="AH53" s="26"/>
      <c r="AI53" s="26"/>
      <c r="AJ53" s="27">
        <v>2.0</v>
      </c>
      <c r="AK53" s="26"/>
      <c r="AL53" s="26"/>
      <c r="AM53" s="26"/>
      <c r="AN53" s="27"/>
      <c r="AO53" s="27"/>
      <c r="AP53" s="8"/>
      <c r="AQ53" s="8"/>
      <c r="AR53" s="8"/>
      <c r="AS53" s="8"/>
      <c r="AT53" s="10"/>
    </row>
    <row r="54" ht="15.75" customHeight="1">
      <c r="A54" s="11" t="s">
        <v>93</v>
      </c>
      <c r="B54" s="8">
        <f t="shared" si="1"/>
        <v>0</v>
      </c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  <c r="AC54" s="8"/>
      <c r="AD54" s="8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8"/>
      <c r="AQ54" s="8"/>
      <c r="AR54" s="8"/>
      <c r="AS54" s="8"/>
      <c r="AT54" s="10"/>
    </row>
    <row r="55" ht="15.75" customHeight="1">
      <c r="A55" s="11" t="s">
        <v>94</v>
      </c>
      <c r="B55" s="8">
        <f t="shared" si="1"/>
        <v>0</v>
      </c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  <c r="AD55" s="8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8"/>
      <c r="AQ55" s="8"/>
      <c r="AR55" s="8"/>
      <c r="AS55" s="8"/>
      <c r="AT55" s="10"/>
    </row>
    <row r="56" ht="15.75" customHeight="1">
      <c r="A56" s="11" t="s">
        <v>95</v>
      </c>
      <c r="B56" s="8">
        <f t="shared" si="1"/>
        <v>0</v>
      </c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  <c r="AC56" s="8"/>
      <c r="AD56" s="8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8"/>
      <c r="AQ56" s="8"/>
      <c r="AR56" s="8"/>
      <c r="AS56" s="8"/>
      <c r="AT56" s="10"/>
    </row>
    <row r="57" ht="15.75" customHeight="1">
      <c r="A57" s="11" t="s">
        <v>96</v>
      </c>
      <c r="B57" s="8">
        <f t="shared" si="1"/>
        <v>0</v>
      </c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8"/>
      <c r="AQ57" s="8"/>
      <c r="AR57" s="8"/>
      <c r="AS57" s="8"/>
      <c r="AT57" s="10"/>
    </row>
    <row r="58" ht="15.75" customHeight="1">
      <c r="A58" s="11" t="s">
        <v>97</v>
      </c>
      <c r="B58" s="8">
        <f t="shared" si="1"/>
        <v>0</v>
      </c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  <c r="AD58" s="8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8"/>
      <c r="AQ58" s="8"/>
      <c r="AR58" s="8"/>
      <c r="AS58" s="8"/>
      <c r="AT58" s="10"/>
    </row>
    <row r="59" ht="15.75" customHeight="1">
      <c r="A59" s="11" t="s">
        <v>98</v>
      </c>
      <c r="B59" s="8">
        <f t="shared" si="1"/>
        <v>0</v>
      </c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  <c r="AD59" s="8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8"/>
      <c r="AQ59" s="8"/>
      <c r="AR59" s="8"/>
      <c r="AS59" s="8"/>
      <c r="AT59" s="10"/>
    </row>
    <row r="60" ht="15.75" customHeight="1">
      <c r="A60" s="11" t="s">
        <v>99</v>
      </c>
      <c r="B60" s="8">
        <f t="shared" si="1"/>
        <v>0</v>
      </c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  <c r="AD60" s="8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8"/>
      <c r="AQ60" s="8"/>
      <c r="AR60" s="8"/>
      <c r="AS60" s="8"/>
      <c r="AT60" s="10"/>
    </row>
    <row r="61" ht="15.75" customHeight="1">
      <c r="A61" s="11" t="s">
        <v>100</v>
      </c>
      <c r="B61" s="8">
        <f t="shared" si="1"/>
        <v>1.75</v>
      </c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  <c r="AD61" s="8"/>
      <c r="AE61" s="26"/>
      <c r="AF61" s="26"/>
      <c r="AG61" s="26"/>
      <c r="AH61" s="26"/>
      <c r="AI61" s="28">
        <v>1.75</v>
      </c>
      <c r="AJ61" s="26"/>
      <c r="AK61" s="26"/>
      <c r="AL61" s="26"/>
      <c r="AM61" s="26"/>
      <c r="AN61" s="26"/>
      <c r="AO61" s="26"/>
      <c r="AP61" s="8"/>
      <c r="AQ61" s="8"/>
      <c r="AR61" s="8"/>
      <c r="AS61" s="8"/>
      <c r="AT61" s="10"/>
    </row>
    <row r="62" ht="15.75" customHeight="1">
      <c r="A62" s="11" t="s">
        <v>101</v>
      </c>
      <c r="B62" s="8">
        <f t="shared" si="1"/>
        <v>0</v>
      </c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  <c r="AC62" s="8"/>
      <c r="AD62" s="8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8"/>
      <c r="AQ62" s="8"/>
      <c r="AR62" s="8"/>
      <c r="AS62" s="8"/>
      <c r="AT62" s="10"/>
    </row>
    <row r="63" ht="15.75" customHeight="1">
      <c r="A63" s="11" t="s">
        <v>102</v>
      </c>
      <c r="B63" s="8">
        <f t="shared" si="1"/>
        <v>0</v>
      </c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  <c r="AD63" s="8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8"/>
      <c r="AQ63" s="8"/>
      <c r="AR63" s="8"/>
      <c r="AS63" s="8"/>
      <c r="AT63" s="10"/>
    </row>
    <row r="64" ht="15.75" customHeight="1">
      <c r="A64" s="11" t="s">
        <v>103</v>
      </c>
      <c r="B64" s="8">
        <f t="shared" si="1"/>
        <v>0</v>
      </c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8"/>
      <c r="AQ64" s="8"/>
      <c r="AR64" s="8"/>
      <c r="AS64" s="8"/>
      <c r="AT64" s="10"/>
    </row>
    <row r="65" ht="15.75" customHeight="1">
      <c r="A65" s="11" t="s">
        <v>104</v>
      </c>
      <c r="B65" s="8">
        <f t="shared" si="1"/>
        <v>0</v>
      </c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8"/>
      <c r="AQ65" s="8"/>
      <c r="AR65" s="8"/>
      <c r="AS65" s="8"/>
      <c r="AT65" s="10"/>
    </row>
    <row r="66" ht="15.75" customHeight="1">
      <c r="A66" s="11" t="s">
        <v>105</v>
      </c>
      <c r="B66" s="8">
        <f t="shared" si="1"/>
        <v>0</v>
      </c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  <c r="AD66" s="8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8"/>
      <c r="AQ66" s="8"/>
      <c r="AR66" s="8"/>
      <c r="AS66" s="8"/>
      <c r="AT66" s="10"/>
    </row>
    <row r="67" ht="15.75" customHeight="1">
      <c r="A67" s="11" t="s">
        <v>106</v>
      </c>
      <c r="B67" s="8">
        <f t="shared" si="1"/>
        <v>0</v>
      </c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  <c r="AD67" s="8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8"/>
      <c r="AQ67" s="8"/>
      <c r="AR67" s="8"/>
      <c r="AS67" s="8"/>
      <c r="AT67" s="10"/>
    </row>
    <row r="68" ht="15.75" customHeight="1">
      <c r="A68" s="11" t="s">
        <v>107</v>
      </c>
      <c r="B68" s="8">
        <f t="shared" si="1"/>
        <v>0</v>
      </c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  <c r="AD68" s="8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8"/>
      <c r="AQ68" s="8"/>
      <c r="AR68" s="8"/>
      <c r="AS68" s="8"/>
      <c r="AT68" s="10"/>
    </row>
    <row r="69" ht="15.75" customHeight="1">
      <c r="A69" s="11" t="s">
        <v>108</v>
      </c>
      <c r="B69" s="8">
        <f t="shared" si="1"/>
        <v>0</v>
      </c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8"/>
      <c r="AQ69" s="8"/>
      <c r="AR69" s="8"/>
      <c r="AS69" s="8"/>
      <c r="AT69" s="10"/>
    </row>
    <row r="70" ht="15.75" customHeight="1">
      <c r="A70" s="11" t="s">
        <v>109</v>
      </c>
      <c r="B70" s="8">
        <f t="shared" si="1"/>
        <v>0</v>
      </c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26"/>
      <c r="AF70" s="27"/>
      <c r="AG70" s="26"/>
      <c r="AH70" s="26"/>
      <c r="AI70" s="28"/>
      <c r="AJ70" s="26"/>
      <c r="AK70" s="27"/>
      <c r="AL70" s="26"/>
      <c r="AM70" s="26"/>
      <c r="AN70" s="26"/>
      <c r="AO70" s="27"/>
      <c r="AP70" s="8"/>
      <c r="AQ70" s="8"/>
      <c r="AR70" s="8"/>
      <c r="AS70" s="8"/>
      <c r="AT70" s="10"/>
    </row>
    <row r="71" ht="15.75" customHeight="1">
      <c r="A71" s="11" t="s">
        <v>110</v>
      </c>
      <c r="B71" s="8">
        <f t="shared" si="1"/>
        <v>0</v>
      </c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8"/>
      <c r="AQ71" s="8"/>
      <c r="AR71" s="8"/>
      <c r="AS71" s="8"/>
      <c r="AT71" s="10"/>
    </row>
    <row r="72" ht="15.75" customHeight="1">
      <c r="A72" s="11" t="s">
        <v>111</v>
      </c>
      <c r="B72" s="8">
        <f t="shared" si="1"/>
        <v>0</v>
      </c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  <c r="AD72" s="8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8"/>
      <c r="AQ72" s="8"/>
      <c r="AR72" s="8"/>
      <c r="AS72" s="8"/>
      <c r="AT72" s="10"/>
    </row>
    <row r="73" ht="15.75" customHeight="1">
      <c r="A73" s="11" t="s">
        <v>112</v>
      </c>
      <c r="B73" s="8">
        <f t="shared" si="1"/>
        <v>0</v>
      </c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  <c r="AD73" s="8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8"/>
      <c r="AQ73" s="8"/>
      <c r="AR73" s="8"/>
      <c r="AS73" s="8"/>
      <c r="AT73" s="10"/>
    </row>
    <row r="74" ht="15.75" customHeight="1">
      <c r="A74" s="11" t="s">
        <v>113</v>
      </c>
      <c r="B74" s="8">
        <f t="shared" si="1"/>
        <v>0</v>
      </c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  <c r="AD74" s="8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8"/>
      <c r="AQ74" s="8"/>
      <c r="AR74" s="8"/>
      <c r="AS74" s="8"/>
      <c r="AT74" s="10"/>
    </row>
    <row r="75" ht="15.75" customHeight="1">
      <c r="A75" s="11" t="s">
        <v>114</v>
      </c>
      <c r="B75" s="8">
        <f t="shared" si="1"/>
        <v>0</v>
      </c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  <c r="AD75" s="8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8"/>
      <c r="AQ75" s="8"/>
      <c r="AR75" s="8"/>
      <c r="AS75" s="8"/>
      <c r="AT75" s="10"/>
    </row>
    <row r="76" ht="15.75" customHeight="1">
      <c r="A76" s="11" t="s">
        <v>115</v>
      </c>
      <c r="B76" s="8">
        <f t="shared" si="1"/>
        <v>0</v>
      </c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8"/>
      <c r="AQ76" s="8"/>
      <c r="AR76" s="8"/>
      <c r="AS76" s="8"/>
      <c r="AT76" s="10"/>
    </row>
    <row r="77" ht="15.75" customHeight="1">
      <c r="A77" s="11" t="s">
        <v>116</v>
      </c>
      <c r="B77" s="8">
        <f t="shared" si="1"/>
        <v>0</v>
      </c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8"/>
      <c r="AQ77" s="8"/>
      <c r="AR77" s="8"/>
      <c r="AS77" s="8"/>
      <c r="AT77" s="10"/>
    </row>
    <row r="78" ht="15.75" customHeight="1">
      <c r="A78" s="22" t="s">
        <v>117</v>
      </c>
      <c r="B78" s="8">
        <f t="shared" si="1"/>
        <v>0</v>
      </c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  <c r="AD78" s="8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8"/>
      <c r="AQ78" s="8"/>
      <c r="AR78" s="8"/>
      <c r="AS78" s="8"/>
      <c r="AT78" s="8"/>
    </row>
    <row r="79" ht="15.75" customHeight="1">
      <c r="A79" s="22" t="s">
        <v>118</v>
      </c>
      <c r="B79" s="8">
        <f t="shared" si="1"/>
        <v>0</v>
      </c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  <c r="AD79" s="8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8"/>
      <c r="AQ79" s="8"/>
      <c r="AR79" s="8"/>
      <c r="AS79" s="8"/>
      <c r="AT79" s="8"/>
    </row>
    <row r="80" ht="15.75" customHeight="1">
      <c r="A80" s="22" t="s">
        <v>119</v>
      </c>
      <c r="B80" s="8">
        <f t="shared" si="1"/>
        <v>0</v>
      </c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8"/>
      <c r="AQ80" s="8"/>
      <c r="AR80" s="8"/>
      <c r="AS80" s="8"/>
      <c r="AT80" s="8"/>
    </row>
    <row r="81" ht="15.75" customHeight="1">
      <c r="A81" s="22" t="s">
        <v>120</v>
      </c>
      <c r="B81" s="8">
        <f t="shared" si="1"/>
        <v>0</v>
      </c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  <c r="AD81" s="8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8"/>
      <c r="AQ81" s="8"/>
      <c r="AR81" s="8"/>
      <c r="AS81" s="8"/>
      <c r="AT81" s="8"/>
    </row>
    <row r="82" ht="15.75" customHeight="1">
      <c r="A82" s="22" t="s">
        <v>121</v>
      </c>
      <c r="B82" s="8">
        <f t="shared" si="1"/>
        <v>0</v>
      </c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  <c r="AD82" s="8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8"/>
      <c r="AQ82" s="8"/>
      <c r="AR82" s="8"/>
      <c r="AS82" s="8"/>
      <c r="AT82" s="8"/>
    </row>
    <row r="83" ht="15.75" customHeight="1">
      <c r="A83" s="22" t="s">
        <v>122</v>
      </c>
      <c r="B83" s="8">
        <f t="shared" si="1"/>
        <v>0</v>
      </c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8"/>
      <c r="AQ83" s="8"/>
      <c r="AR83" s="8"/>
      <c r="AS83" s="8"/>
      <c r="AT83" s="8"/>
    </row>
    <row r="84" ht="15.75" customHeight="1">
      <c r="A84" s="22" t="s">
        <v>123</v>
      </c>
      <c r="B84" s="8">
        <f t="shared" si="1"/>
        <v>0</v>
      </c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8"/>
      <c r="AQ84" s="8"/>
      <c r="AR84" s="8"/>
      <c r="AS84" s="8"/>
      <c r="AT84" s="8"/>
    </row>
    <row r="85" ht="15.75" customHeight="1">
      <c r="A85" s="22" t="s">
        <v>124</v>
      </c>
      <c r="B85" s="8">
        <f t="shared" si="1"/>
        <v>0</v>
      </c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8"/>
      <c r="AQ85" s="8"/>
      <c r="AR85" s="8"/>
      <c r="AS85" s="8"/>
      <c r="AT85" s="8"/>
    </row>
    <row r="86" ht="15.75" customHeight="1">
      <c r="A86" s="22" t="s">
        <v>125</v>
      </c>
      <c r="B86" s="8">
        <f t="shared" si="1"/>
        <v>0</v>
      </c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8"/>
      <c r="AQ86" s="8"/>
      <c r="AR86" s="8"/>
      <c r="AS86" s="8"/>
      <c r="AT86" s="8"/>
    </row>
    <row r="87" ht="15.75" customHeight="1">
      <c r="A87" s="22" t="s">
        <v>126</v>
      </c>
      <c r="B87" s="8">
        <f t="shared" si="1"/>
        <v>0</v>
      </c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  <c r="AD87" s="8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8"/>
      <c r="AQ87" s="8"/>
      <c r="AR87" s="8"/>
      <c r="AS87" s="8"/>
      <c r="AT87" s="8"/>
    </row>
    <row r="88" ht="15.75" customHeight="1">
      <c r="A88" s="22" t="s">
        <v>127</v>
      </c>
      <c r="B88" s="8">
        <f t="shared" si="1"/>
        <v>0</v>
      </c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8"/>
      <c r="AQ88" s="8"/>
      <c r="AR88" s="8"/>
      <c r="AS88" s="8"/>
      <c r="AT88" s="8"/>
    </row>
    <row r="89" ht="15.75" customHeight="1">
      <c r="A89" s="22" t="s">
        <v>128</v>
      </c>
      <c r="B89" s="8">
        <f t="shared" si="1"/>
        <v>0</v>
      </c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8"/>
      <c r="AQ89" s="8"/>
      <c r="AR89" s="8"/>
      <c r="AS89" s="8"/>
      <c r="AT89" s="8"/>
    </row>
    <row r="90" ht="15.75" customHeight="1">
      <c r="A90" s="22" t="s">
        <v>129</v>
      </c>
      <c r="B90" s="8">
        <f t="shared" si="1"/>
        <v>0</v>
      </c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  <c r="AD90" s="8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8"/>
      <c r="AQ90" s="8"/>
      <c r="AR90" s="8"/>
      <c r="AS90" s="8"/>
      <c r="AT90" s="8"/>
    </row>
    <row r="91" ht="15.75" customHeight="1">
      <c r="A91" s="22" t="s">
        <v>130</v>
      </c>
      <c r="B91" s="8">
        <f t="shared" si="1"/>
        <v>0</v>
      </c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8"/>
      <c r="AQ91" s="8"/>
      <c r="AR91" s="8"/>
      <c r="AS91" s="8"/>
      <c r="AT91" s="8"/>
    </row>
    <row r="92" ht="15.75" customHeight="1">
      <c r="A92" s="22" t="s">
        <v>131</v>
      </c>
      <c r="B92" s="8">
        <f t="shared" si="1"/>
        <v>0</v>
      </c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8"/>
      <c r="AQ92" s="8"/>
      <c r="AR92" s="8"/>
      <c r="AS92" s="8"/>
      <c r="AT92" s="8"/>
    </row>
    <row r="93" ht="15.75" customHeight="1">
      <c r="A93" s="22" t="s">
        <v>132</v>
      </c>
      <c r="B93" s="8">
        <f t="shared" si="1"/>
        <v>0</v>
      </c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8"/>
      <c r="AQ93" s="8"/>
      <c r="AR93" s="8"/>
      <c r="AS93" s="8"/>
      <c r="AT93" s="8"/>
    </row>
    <row r="94" ht="15.75" customHeight="1">
      <c r="A94" s="22" t="s">
        <v>133</v>
      </c>
      <c r="B94" s="8">
        <f t="shared" si="1"/>
        <v>0</v>
      </c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8"/>
      <c r="AQ94" s="8"/>
      <c r="AR94" s="8"/>
      <c r="AS94" s="8"/>
      <c r="AT94" s="8"/>
    </row>
    <row r="95" ht="15.75" customHeight="1">
      <c r="A95" s="22" t="s">
        <v>134</v>
      </c>
      <c r="B95" s="8">
        <f t="shared" si="1"/>
        <v>0</v>
      </c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8"/>
      <c r="AQ95" s="8"/>
      <c r="AR95" s="8"/>
      <c r="AS95" s="8"/>
      <c r="AT95" s="8"/>
    </row>
    <row r="96" ht="15.75" customHeight="1">
      <c r="A96" s="22" t="s">
        <v>135</v>
      </c>
      <c r="B96" s="8">
        <f t="shared" si="1"/>
        <v>0</v>
      </c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8"/>
      <c r="AQ96" s="8"/>
      <c r="AR96" s="8"/>
      <c r="AS96" s="8"/>
      <c r="AT96" s="8"/>
    </row>
    <row r="97" ht="15.75" customHeight="1">
      <c r="A97" s="22" t="s">
        <v>136</v>
      </c>
      <c r="B97" s="8">
        <f t="shared" si="1"/>
        <v>0</v>
      </c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8"/>
      <c r="AQ97" s="8"/>
      <c r="AR97" s="8"/>
      <c r="AS97" s="8"/>
      <c r="AT97" s="8"/>
    </row>
    <row r="98" ht="15.75" customHeight="1">
      <c r="A98" s="22" t="s">
        <v>137</v>
      </c>
      <c r="B98" s="8">
        <f t="shared" si="1"/>
        <v>0</v>
      </c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8"/>
      <c r="AQ98" s="8"/>
      <c r="AR98" s="8"/>
      <c r="AS98" s="8"/>
      <c r="AT98" s="8"/>
    </row>
    <row r="99" ht="15.75" customHeight="1">
      <c r="A99" s="22" t="s">
        <v>138</v>
      </c>
      <c r="B99" s="8">
        <f t="shared" si="1"/>
        <v>0</v>
      </c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8"/>
      <c r="AQ99" s="8"/>
      <c r="AR99" s="8"/>
      <c r="AS99" s="8"/>
      <c r="AT99" s="8"/>
    </row>
    <row r="100" ht="15.75" customHeight="1">
      <c r="A100" s="22" t="s">
        <v>139</v>
      </c>
      <c r="B100" s="8">
        <f t="shared" si="1"/>
        <v>0</v>
      </c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20"/>
      <c r="AE100" s="27"/>
      <c r="AF100" s="26"/>
      <c r="AG100" s="27"/>
      <c r="AH100" s="26"/>
      <c r="AI100" s="28"/>
      <c r="AJ100" s="27"/>
      <c r="AK100" s="26"/>
      <c r="AL100" s="27"/>
      <c r="AM100" s="27"/>
      <c r="AN100" s="27"/>
      <c r="AO100" s="26"/>
      <c r="AP100" s="8"/>
      <c r="AQ100" s="8"/>
      <c r="AR100" s="8"/>
      <c r="AS100" s="8"/>
      <c r="AT100" s="8"/>
    </row>
    <row r="101" ht="15.75" customHeight="1">
      <c r="A101" s="22" t="s">
        <v>140</v>
      </c>
      <c r="B101" s="8">
        <f t="shared" si="1"/>
        <v>0</v>
      </c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8"/>
      <c r="AQ101" s="8"/>
      <c r="AR101" s="8"/>
      <c r="AS101" s="8"/>
      <c r="AT101" s="8"/>
    </row>
    <row r="102" ht="15.75" customHeight="1">
      <c r="A102" s="22" t="s">
        <v>141</v>
      </c>
      <c r="B102" s="8">
        <f t="shared" si="1"/>
        <v>0</v>
      </c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8"/>
      <c r="AQ102" s="8"/>
      <c r="AR102" s="8"/>
      <c r="AS102" s="8"/>
      <c r="AT102" s="8"/>
    </row>
    <row r="103" ht="15.75" customHeight="1">
      <c r="A103" s="22" t="s">
        <v>142</v>
      </c>
      <c r="B103" s="8">
        <f t="shared" si="1"/>
        <v>2</v>
      </c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  <c r="AE103" s="26"/>
      <c r="AF103" s="27"/>
      <c r="AG103" s="26"/>
      <c r="AH103" s="26"/>
      <c r="AI103" s="26"/>
      <c r="AJ103" s="27">
        <v>2.0</v>
      </c>
      <c r="AK103" s="27"/>
      <c r="AL103" s="26"/>
      <c r="AM103" s="26"/>
      <c r="AN103" s="27"/>
      <c r="AO103" s="26"/>
      <c r="AP103" s="8"/>
      <c r="AQ103" s="8"/>
      <c r="AR103" s="8"/>
      <c r="AS103" s="8"/>
      <c r="AT103" s="8"/>
    </row>
    <row r="104" ht="15.75" customHeight="1">
      <c r="A104" s="22" t="s">
        <v>143</v>
      </c>
      <c r="B104" s="8">
        <f t="shared" si="1"/>
        <v>3.75</v>
      </c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  <c r="AE104" s="26"/>
      <c r="AF104" s="26"/>
      <c r="AG104" s="26"/>
      <c r="AH104" s="26"/>
      <c r="AI104" s="28">
        <v>1.75</v>
      </c>
      <c r="AJ104" s="26"/>
      <c r="AK104" s="26"/>
      <c r="AL104" s="26"/>
      <c r="AM104" s="26"/>
      <c r="AN104" s="26"/>
      <c r="AO104" s="27">
        <v>2.0</v>
      </c>
      <c r="AP104" s="8"/>
      <c r="AQ104" s="8"/>
      <c r="AR104" s="8"/>
      <c r="AS104" s="8"/>
      <c r="AT104" s="8"/>
    </row>
    <row r="105" ht="15.75" customHeight="1">
      <c r="A105" s="22" t="s">
        <v>144</v>
      </c>
      <c r="B105" s="8">
        <f t="shared" si="1"/>
        <v>0</v>
      </c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8"/>
      <c r="AQ105" s="8"/>
      <c r="AR105" s="8"/>
      <c r="AS105" s="8"/>
      <c r="AT105" s="8"/>
    </row>
    <row r="106" ht="15.75" customHeight="1">
      <c r="A106" s="22" t="s">
        <v>145</v>
      </c>
      <c r="B106" s="8">
        <f t="shared" si="1"/>
        <v>0</v>
      </c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8"/>
      <c r="AQ106" s="8"/>
      <c r="AR106" s="8"/>
      <c r="AS106" s="8"/>
      <c r="AT106" s="8"/>
    </row>
    <row r="107" ht="15.75" customHeight="1">
      <c r="A107" s="22" t="s">
        <v>146</v>
      </c>
      <c r="B107" s="8">
        <f t="shared" si="1"/>
        <v>0</v>
      </c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  <c r="AE107" s="26"/>
      <c r="AF107" s="26"/>
      <c r="AG107" s="26"/>
      <c r="AH107" s="26"/>
      <c r="AI107" s="26"/>
      <c r="AJ107" s="27"/>
      <c r="AK107" s="26"/>
      <c r="AL107" s="26"/>
      <c r="AM107" s="26"/>
      <c r="AN107" s="26"/>
      <c r="AO107" s="26"/>
      <c r="AP107" s="8"/>
      <c r="AQ107" s="8"/>
      <c r="AR107" s="8"/>
      <c r="AS107" s="8"/>
      <c r="AT107" s="8"/>
    </row>
    <row r="108" ht="15.75" customHeight="1">
      <c r="A108" s="22" t="s">
        <v>147</v>
      </c>
      <c r="B108" s="8">
        <f t="shared" si="1"/>
        <v>7.75</v>
      </c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20"/>
      <c r="AE108" s="26"/>
      <c r="AF108" s="26"/>
      <c r="AG108" s="26"/>
      <c r="AH108" s="26"/>
      <c r="AI108" s="26"/>
      <c r="AJ108" s="27">
        <v>2.0</v>
      </c>
      <c r="AK108" s="27">
        <v>1.75</v>
      </c>
      <c r="AL108" s="26"/>
      <c r="AM108" s="27">
        <v>2.0</v>
      </c>
      <c r="AN108" s="27"/>
      <c r="AO108" s="27">
        <v>2.0</v>
      </c>
      <c r="AP108" s="8"/>
      <c r="AQ108" s="8"/>
      <c r="AR108" s="8"/>
      <c r="AS108" s="8"/>
      <c r="AT108" s="8"/>
    </row>
    <row r="109" ht="15.75" customHeight="1">
      <c r="A109" s="22" t="s">
        <v>148</v>
      </c>
      <c r="B109" s="8">
        <f t="shared" si="1"/>
        <v>0</v>
      </c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  <c r="AE109" s="26"/>
      <c r="AF109" s="26"/>
      <c r="AG109" s="26"/>
      <c r="AH109" s="26"/>
      <c r="AI109" s="26"/>
      <c r="AJ109" s="26"/>
      <c r="AK109" s="26"/>
      <c r="AL109" s="26"/>
      <c r="AM109" s="26"/>
      <c r="AN109" s="26"/>
      <c r="AO109" s="26"/>
      <c r="AP109" s="8"/>
      <c r="AQ109" s="8"/>
      <c r="AR109" s="8"/>
      <c r="AS109" s="8"/>
      <c r="AT109" s="8"/>
    </row>
    <row r="110" ht="15.75" customHeight="1">
      <c r="A110" s="22" t="s">
        <v>149</v>
      </c>
      <c r="B110" s="8">
        <f t="shared" si="1"/>
        <v>0</v>
      </c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  <c r="AE110" s="26"/>
      <c r="AF110" s="26"/>
      <c r="AG110" s="26"/>
      <c r="AH110" s="26"/>
      <c r="AI110" s="26"/>
      <c r="AJ110" s="26"/>
      <c r="AK110" s="26"/>
      <c r="AL110" s="26"/>
      <c r="AM110" s="26"/>
      <c r="AN110" s="26"/>
      <c r="AO110" s="26"/>
      <c r="AP110" s="8"/>
      <c r="AQ110" s="8"/>
      <c r="AR110" s="8"/>
      <c r="AS110" s="8"/>
      <c r="AT110" s="8"/>
    </row>
    <row r="111" ht="15.75" customHeight="1">
      <c r="A111" s="22" t="s">
        <v>150</v>
      </c>
      <c r="B111" s="8">
        <f t="shared" si="1"/>
        <v>1.75</v>
      </c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  <c r="AE111" s="26"/>
      <c r="AF111" s="26"/>
      <c r="AG111" s="26"/>
      <c r="AH111" s="26"/>
      <c r="AI111" s="26"/>
      <c r="AJ111" s="26"/>
      <c r="AK111" s="27">
        <v>1.75</v>
      </c>
      <c r="AL111" s="26"/>
      <c r="AM111" s="26"/>
      <c r="AN111" s="26"/>
      <c r="AO111" s="26"/>
      <c r="AP111" s="8"/>
      <c r="AQ111" s="8"/>
      <c r="AR111" s="8"/>
      <c r="AS111" s="8"/>
      <c r="AT111" s="8"/>
    </row>
    <row r="112" ht="15.75" customHeight="1">
      <c r="A112" s="22" t="s">
        <v>151</v>
      </c>
      <c r="B112" s="8">
        <f t="shared" si="1"/>
        <v>0</v>
      </c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  <c r="AE112" s="26"/>
      <c r="AF112" s="26"/>
      <c r="AG112" s="26"/>
      <c r="AH112" s="26"/>
      <c r="AI112" s="26"/>
      <c r="AJ112" s="26"/>
      <c r="AK112" s="26"/>
      <c r="AL112" s="26"/>
      <c r="AM112" s="26"/>
      <c r="AN112" s="26"/>
      <c r="AO112" s="26"/>
      <c r="AP112" s="8"/>
      <c r="AQ112" s="8"/>
      <c r="AR112" s="8"/>
      <c r="AS112" s="8"/>
      <c r="AT112" s="8"/>
    </row>
    <row r="113" ht="15.75" customHeight="1">
      <c r="A113" s="22" t="s">
        <v>152</v>
      </c>
      <c r="B113" s="8">
        <f t="shared" si="1"/>
        <v>0</v>
      </c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  <c r="AE113" s="26"/>
      <c r="AF113" s="26"/>
      <c r="AG113" s="26"/>
      <c r="AH113" s="26"/>
      <c r="AI113" s="26"/>
      <c r="AJ113" s="26"/>
      <c r="AK113" s="26"/>
      <c r="AL113" s="26"/>
      <c r="AM113" s="26"/>
      <c r="AN113" s="26"/>
      <c r="AO113" s="26"/>
      <c r="AP113" s="8"/>
      <c r="AQ113" s="8"/>
      <c r="AR113" s="8"/>
      <c r="AS113" s="8"/>
      <c r="AT113" s="8"/>
    </row>
    <row r="114" ht="15.75" customHeight="1">
      <c r="A114" s="22" t="s">
        <v>153</v>
      </c>
      <c r="B114" s="8">
        <f t="shared" si="1"/>
        <v>0</v>
      </c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  <c r="AE114" s="26"/>
      <c r="AF114" s="26"/>
      <c r="AG114" s="26"/>
      <c r="AH114" s="26"/>
      <c r="AI114" s="26"/>
      <c r="AJ114" s="26"/>
      <c r="AK114" s="26"/>
      <c r="AL114" s="26"/>
      <c r="AM114" s="26"/>
      <c r="AN114" s="26"/>
      <c r="AO114" s="26"/>
      <c r="AP114" s="8"/>
      <c r="AQ114" s="8"/>
      <c r="AR114" s="8"/>
      <c r="AS114" s="8"/>
      <c r="AT114" s="8"/>
    </row>
    <row r="115" ht="15.75" customHeight="1">
      <c r="A115" s="23" t="s">
        <v>154</v>
      </c>
      <c r="B115" s="8">
        <f t="shared" si="1"/>
        <v>0</v>
      </c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20"/>
      <c r="AE115" s="26"/>
      <c r="AF115" s="26"/>
      <c r="AG115" s="26"/>
      <c r="AH115" s="26"/>
      <c r="AI115" s="26"/>
      <c r="AJ115" s="26"/>
      <c r="AK115" s="26"/>
      <c r="AL115" s="26"/>
      <c r="AM115" s="26"/>
      <c r="AN115" s="26"/>
      <c r="AO115" s="26"/>
      <c r="AP115" s="8"/>
      <c r="AQ115" s="8"/>
      <c r="AR115" s="8"/>
      <c r="AS115" s="8"/>
      <c r="AT115" s="8"/>
    </row>
    <row r="116" ht="15.75" customHeight="1">
      <c r="A116" s="23" t="s">
        <v>155</v>
      </c>
      <c r="B116" s="8">
        <f t="shared" si="1"/>
        <v>3.5</v>
      </c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20"/>
      <c r="AE116" s="26"/>
      <c r="AF116" s="26"/>
      <c r="AG116" s="27">
        <v>1.5</v>
      </c>
      <c r="AH116" s="26"/>
      <c r="AI116" s="26"/>
      <c r="AJ116" s="27">
        <v>2.0</v>
      </c>
      <c r="AK116" s="26"/>
      <c r="AL116" s="26"/>
      <c r="AM116" s="26"/>
      <c r="AN116" s="26"/>
      <c r="AO116" s="26"/>
      <c r="AP116" s="8"/>
      <c r="AQ116" s="8"/>
      <c r="AR116" s="8"/>
      <c r="AS116" s="8"/>
      <c r="AT116" s="8"/>
    </row>
    <row r="117" ht="15.75" customHeight="1">
      <c r="A117" s="23" t="s">
        <v>156</v>
      </c>
      <c r="B117" s="8">
        <f t="shared" si="1"/>
        <v>0</v>
      </c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20"/>
      <c r="AE117" s="27"/>
      <c r="AF117" s="27"/>
      <c r="AG117" s="27"/>
      <c r="AH117" s="27"/>
      <c r="AI117" s="27"/>
      <c r="AJ117" s="27"/>
      <c r="AK117" s="27"/>
      <c r="AL117" s="26"/>
      <c r="AM117" s="26"/>
      <c r="AN117" s="26"/>
      <c r="AO117" s="26"/>
      <c r="AP117" s="8"/>
      <c r="AQ117" s="8"/>
      <c r="AR117" s="8"/>
      <c r="AS117" s="8"/>
      <c r="AT117" s="8"/>
    </row>
    <row r="118" ht="15.75" customHeight="1">
      <c r="A118" s="23" t="s">
        <v>157</v>
      </c>
      <c r="B118" s="8">
        <f t="shared" si="1"/>
        <v>3.75</v>
      </c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  <c r="AE118" s="27">
        <v>2.0</v>
      </c>
      <c r="AF118" s="26"/>
      <c r="AG118" s="26"/>
      <c r="AH118" s="26"/>
      <c r="AI118" s="26"/>
      <c r="AJ118" s="26"/>
      <c r="AK118" s="27">
        <v>1.75</v>
      </c>
      <c r="AL118" s="26"/>
      <c r="AM118" s="26"/>
      <c r="AN118" s="26"/>
      <c r="AO118" s="26"/>
      <c r="AP118" s="8"/>
      <c r="AQ118" s="8"/>
      <c r="AR118" s="8"/>
      <c r="AS118" s="8"/>
      <c r="AT118" s="8"/>
    </row>
    <row r="119" ht="15.75" customHeight="1">
      <c r="A119" s="23" t="s">
        <v>158</v>
      </c>
      <c r="B119" s="8">
        <f t="shared" si="1"/>
        <v>2</v>
      </c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  <c r="AE119" s="27">
        <v>2.0</v>
      </c>
      <c r="AF119" s="26"/>
      <c r="AG119" s="26"/>
      <c r="AH119" s="26"/>
      <c r="AI119" s="26"/>
      <c r="AJ119" s="26"/>
      <c r="AK119" s="26"/>
      <c r="AL119" s="26"/>
      <c r="AM119" s="26"/>
      <c r="AN119" s="26"/>
      <c r="AO119" s="26"/>
      <c r="AP119" s="8"/>
      <c r="AQ119" s="8"/>
      <c r="AR119" s="8"/>
      <c r="AS119" s="8"/>
      <c r="AT119" s="8"/>
    </row>
    <row r="120" ht="15.75" customHeight="1">
      <c r="A120" s="23" t="s">
        <v>159</v>
      </c>
      <c r="B120" s="8">
        <f t="shared" si="1"/>
        <v>2</v>
      </c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  <c r="AE120" s="27">
        <v>2.0</v>
      </c>
      <c r="AF120" s="26"/>
      <c r="AG120" s="26"/>
      <c r="AH120" s="26"/>
      <c r="AI120" s="26"/>
      <c r="AJ120" s="26"/>
      <c r="AK120" s="26"/>
      <c r="AL120" s="26"/>
      <c r="AM120" s="26"/>
      <c r="AN120" s="26"/>
      <c r="AO120" s="26"/>
      <c r="AP120" s="8"/>
      <c r="AQ120" s="8"/>
      <c r="AR120" s="8"/>
      <c r="AS120" s="8"/>
      <c r="AT120" s="8"/>
    </row>
    <row r="121" ht="15.75" customHeight="1">
      <c r="A121" s="23" t="s">
        <v>160</v>
      </c>
      <c r="B121" s="8">
        <f t="shared" si="1"/>
        <v>2</v>
      </c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  <c r="AE121" s="27">
        <v>2.0</v>
      </c>
      <c r="AF121" s="26"/>
      <c r="AG121" s="26"/>
      <c r="AH121" s="26"/>
      <c r="AI121" s="26"/>
      <c r="AJ121" s="26"/>
      <c r="AK121" s="26"/>
      <c r="AL121" s="26"/>
      <c r="AM121" s="26"/>
      <c r="AN121" s="26"/>
      <c r="AO121" s="26"/>
      <c r="AP121" s="8"/>
      <c r="AQ121" s="8"/>
      <c r="AR121" s="8"/>
      <c r="AS121" s="8"/>
      <c r="AT121" s="8"/>
    </row>
    <row r="122" ht="15.75" customHeight="1">
      <c r="A122" s="23" t="s">
        <v>161</v>
      </c>
      <c r="B122" s="8">
        <f t="shared" si="1"/>
        <v>2</v>
      </c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  <c r="AE122" s="27">
        <v>2.0</v>
      </c>
      <c r="AF122" s="26"/>
      <c r="AG122" s="26"/>
      <c r="AH122" s="26"/>
      <c r="AI122" s="26"/>
      <c r="AJ122" s="26"/>
      <c r="AK122" s="26"/>
      <c r="AL122" s="26"/>
      <c r="AM122" s="26"/>
      <c r="AN122" s="26"/>
      <c r="AO122" s="26"/>
      <c r="AP122" s="8"/>
      <c r="AQ122" s="8"/>
      <c r="AR122" s="8"/>
      <c r="AS122" s="8"/>
      <c r="AT122" s="8"/>
    </row>
    <row r="123" ht="15.75" customHeight="1">
      <c r="A123" s="23" t="s">
        <v>162</v>
      </c>
      <c r="B123" s="8">
        <f t="shared" si="1"/>
        <v>2</v>
      </c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  <c r="AE123" s="27">
        <v>2.0</v>
      </c>
      <c r="AF123" s="26"/>
      <c r="AG123" s="26"/>
      <c r="AH123" s="26"/>
      <c r="AI123" s="26"/>
      <c r="AJ123" s="26"/>
      <c r="AK123" s="26"/>
      <c r="AL123" s="26"/>
      <c r="AM123" s="26"/>
      <c r="AN123" s="26"/>
      <c r="AO123" s="26"/>
      <c r="AP123" s="8"/>
      <c r="AQ123" s="8"/>
      <c r="AR123" s="8"/>
      <c r="AS123" s="8"/>
      <c r="AT123" s="8"/>
    </row>
    <row r="124" ht="15.75" customHeight="1">
      <c r="A124" s="23" t="s">
        <v>163</v>
      </c>
      <c r="B124" s="8">
        <f t="shared" si="1"/>
        <v>2</v>
      </c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  <c r="AE124" s="27">
        <v>2.0</v>
      </c>
      <c r="AF124" s="26"/>
      <c r="AG124" s="26"/>
      <c r="AH124" s="26"/>
      <c r="AI124" s="26"/>
      <c r="AJ124" s="26"/>
      <c r="AK124" s="26"/>
      <c r="AL124" s="26"/>
      <c r="AM124" s="26"/>
      <c r="AN124" s="26"/>
      <c r="AO124" s="26"/>
      <c r="AP124" s="8"/>
      <c r="AQ124" s="8"/>
      <c r="AR124" s="8"/>
      <c r="AS124" s="8"/>
      <c r="AT124" s="8"/>
    </row>
    <row r="125" ht="15.75" customHeight="1">
      <c r="A125" s="23" t="s">
        <v>164</v>
      </c>
      <c r="B125" s="8">
        <f t="shared" si="1"/>
        <v>6.25</v>
      </c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27"/>
      <c r="AF125" s="26"/>
      <c r="AG125" s="27">
        <v>1.5</v>
      </c>
      <c r="AH125" s="27">
        <v>1.0</v>
      </c>
      <c r="AI125" s="28">
        <v>1.75</v>
      </c>
      <c r="AJ125" s="26"/>
      <c r="AK125" s="26"/>
      <c r="AL125" s="26"/>
      <c r="AM125" s="27">
        <v>2.0</v>
      </c>
      <c r="AN125" s="26"/>
      <c r="AO125" s="26"/>
      <c r="AP125" s="8"/>
      <c r="AQ125" s="8"/>
      <c r="AR125" s="8"/>
      <c r="AS125" s="8"/>
      <c r="AT125" s="8"/>
    </row>
    <row r="126" ht="15.75" customHeight="1">
      <c r="A126" s="23" t="s">
        <v>165</v>
      </c>
      <c r="B126" s="8">
        <f t="shared" si="1"/>
        <v>0</v>
      </c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  <c r="AE126" s="27"/>
      <c r="AF126" s="26"/>
      <c r="AG126" s="26"/>
      <c r="AH126" s="26"/>
      <c r="AI126" s="26"/>
      <c r="AJ126" s="26"/>
      <c r="AK126" s="26"/>
      <c r="AL126" s="26"/>
      <c r="AM126" s="26"/>
      <c r="AN126" s="26"/>
      <c r="AO126" s="26"/>
      <c r="AP126" s="8"/>
      <c r="AQ126" s="8"/>
      <c r="AR126" s="8"/>
      <c r="AS126" s="8"/>
      <c r="AT126" s="8"/>
    </row>
    <row r="127" ht="15.75" customHeight="1">
      <c r="A127" s="23" t="s">
        <v>166</v>
      </c>
      <c r="B127" s="8">
        <f t="shared" si="1"/>
        <v>0</v>
      </c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  <c r="AE127" s="27"/>
      <c r="AF127" s="26"/>
      <c r="AG127" s="26"/>
      <c r="AH127" s="26"/>
      <c r="AI127" s="26"/>
      <c r="AJ127" s="26"/>
      <c r="AK127" s="26"/>
      <c r="AL127" s="26"/>
      <c r="AM127" s="26"/>
      <c r="AN127" s="26"/>
      <c r="AO127" s="26"/>
      <c r="AP127" s="8"/>
      <c r="AQ127" s="8"/>
      <c r="AR127" s="8"/>
      <c r="AS127" s="8"/>
      <c r="AT127" s="8"/>
    </row>
    <row r="128" ht="15.75" customHeight="1">
      <c r="A128" s="23" t="s">
        <v>167</v>
      </c>
      <c r="B128" s="8">
        <f t="shared" si="1"/>
        <v>2</v>
      </c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  <c r="AE128" s="27"/>
      <c r="AF128" s="26"/>
      <c r="AG128" s="26"/>
      <c r="AH128" s="26"/>
      <c r="AI128" s="26"/>
      <c r="AJ128" s="27"/>
      <c r="AK128" s="26"/>
      <c r="AL128" s="28">
        <v>2.0</v>
      </c>
      <c r="AM128" s="26"/>
      <c r="AN128" s="27"/>
      <c r="AO128" s="26"/>
      <c r="AP128" s="8"/>
      <c r="AQ128" s="8"/>
      <c r="AR128" s="8"/>
      <c r="AS128" s="8"/>
      <c r="AT128" s="8"/>
    </row>
    <row r="129" ht="15.75" customHeight="1">
      <c r="A129" s="23" t="s">
        <v>168</v>
      </c>
      <c r="B129" s="8">
        <f t="shared" si="1"/>
        <v>0</v>
      </c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  <c r="AE129" s="27"/>
      <c r="AF129" s="26"/>
      <c r="AG129" s="26"/>
      <c r="AH129" s="26"/>
      <c r="AI129" s="26"/>
      <c r="AJ129" s="26"/>
      <c r="AK129" s="26"/>
      <c r="AL129" s="26"/>
      <c r="AM129" s="26"/>
      <c r="AN129" s="26"/>
      <c r="AO129" s="26"/>
      <c r="AP129" s="8"/>
      <c r="AQ129" s="8"/>
      <c r="AR129" s="8"/>
      <c r="AS129" s="8"/>
      <c r="AT129" s="8"/>
    </row>
    <row r="130" ht="15.75" customHeight="1">
      <c r="A130" s="23" t="s">
        <v>169</v>
      </c>
      <c r="B130" s="8">
        <f t="shared" si="1"/>
        <v>2.75</v>
      </c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  <c r="AE130" s="26"/>
      <c r="AF130" s="27">
        <v>1.25</v>
      </c>
      <c r="AG130" s="27">
        <v>1.5</v>
      </c>
      <c r="AH130" s="26"/>
      <c r="AI130" s="26"/>
      <c r="AJ130" s="26"/>
      <c r="AK130" s="26"/>
      <c r="AL130" s="26"/>
      <c r="AM130" s="26"/>
      <c r="AN130" s="26"/>
      <c r="AO130" s="26"/>
      <c r="AP130" s="8"/>
      <c r="AQ130" s="8"/>
      <c r="AR130" s="8"/>
      <c r="AS130" s="8"/>
      <c r="AT130" s="8"/>
    </row>
    <row r="131" ht="15.75" customHeight="1">
      <c r="A131" s="23" t="s">
        <v>170</v>
      </c>
      <c r="B131" s="8">
        <f t="shared" si="1"/>
        <v>6.5</v>
      </c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  <c r="AE131" s="26"/>
      <c r="AF131" s="27">
        <v>1.25</v>
      </c>
      <c r="AG131" s="27">
        <v>1.5</v>
      </c>
      <c r="AH131" s="26"/>
      <c r="AI131" s="26"/>
      <c r="AJ131" s="27">
        <v>2.0</v>
      </c>
      <c r="AK131" s="27">
        <v>1.75</v>
      </c>
      <c r="AL131" s="26"/>
      <c r="AM131" s="26"/>
      <c r="AN131" s="26"/>
      <c r="AO131" s="26"/>
      <c r="AP131" s="8"/>
      <c r="AQ131" s="8"/>
      <c r="AR131" s="8"/>
      <c r="AS131" s="8"/>
      <c r="AT131" s="8"/>
    </row>
    <row r="132" ht="15.75" customHeight="1">
      <c r="A132" s="23" t="s">
        <v>171</v>
      </c>
      <c r="B132" s="8">
        <f t="shared" si="1"/>
        <v>1.25</v>
      </c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  <c r="AE132" s="26"/>
      <c r="AF132" s="27">
        <v>1.25</v>
      </c>
      <c r="AG132" s="26"/>
      <c r="AH132" s="26"/>
      <c r="AI132" s="26"/>
      <c r="AJ132" s="26"/>
      <c r="AK132" s="26"/>
      <c r="AL132" s="26"/>
      <c r="AM132" s="26"/>
      <c r="AN132" s="26"/>
      <c r="AO132" s="26"/>
      <c r="AP132" s="8"/>
      <c r="AQ132" s="8"/>
      <c r="AR132" s="8"/>
      <c r="AS132" s="8"/>
      <c r="AT132" s="8"/>
    </row>
    <row r="133" ht="15.75" customHeight="1">
      <c r="A133" s="23" t="s">
        <v>172</v>
      </c>
      <c r="B133" s="8">
        <f t="shared" si="1"/>
        <v>1.25</v>
      </c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  <c r="AE133" s="26"/>
      <c r="AF133" s="27">
        <v>1.25</v>
      </c>
      <c r="AG133" s="26"/>
      <c r="AH133" s="26"/>
      <c r="AI133" s="26"/>
      <c r="AJ133" s="26"/>
      <c r="AK133" s="26"/>
      <c r="AL133" s="26"/>
      <c r="AM133" s="26"/>
      <c r="AN133" s="26"/>
      <c r="AO133" s="26"/>
      <c r="AP133" s="8"/>
      <c r="AQ133" s="8"/>
      <c r="AR133" s="8"/>
      <c r="AS133" s="8"/>
      <c r="AT133" s="8"/>
    </row>
    <row r="134" ht="15.75" customHeight="1">
      <c r="A134" s="23" t="s">
        <v>173</v>
      </c>
      <c r="B134" s="8">
        <f t="shared" si="1"/>
        <v>1.25</v>
      </c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  <c r="AE134" s="26"/>
      <c r="AF134" s="27">
        <v>1.25</v>
      </c>
      <c r="AG134" s="26"/>
      <c r="AH134" s="26"/>
      <c r="AI134" s="26"/>
      <c r="AJ134" s="26"/>
      <c r="AK134" s="26"/>
      <c r="AL134" s="26"/>
      <c r="AM134" s="26"/>
      <c r="AN134" s="26"/>
      <c r="AO134" s="26"/>
      <c r="AP134" s="8"/>
      <c r="AQ134" s="8"/>
      <c r="AR134" s="8"/>
      <c r="AS134" s="8"/>
      <c r="AT134" s="8"/>
    </row>
    <row r="135" ht="15.75" customHeight="1">
      <c r="A135" s="23" t="s">
        <v>174</v>
      </c>
      <c r="B135" s="8">
        <f t="shared" si="1"/>
        <v>1.25</v>
      </c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  <c r="AE135" s="26"/>
      <c r="AF135" s="27">
        <v>1.25</v>
      </c>
      <c r="AG135" s="26"/>
      <c r="AH135" s="26"/>
      <c r="AI135" s="26"/>
      <c r="AJ135" s="26"/>
      <c r="AK135" s="26"/>
      <c r="AL135" s="26"/>
      <c r="AM135" s="26"/>
      <c r="AN135" s="26"/>
      <c r="AO135" s="26"/>
      <c r="AP135" s="8"/>
      <c r="AQ135" s="8"/>
      <c r="AR135" s="8"/>
      <c r="AS135" s="8"/>
      <c r="AT135" s="8"/>
    </row>
    <row r="136" ht="15.75" customHeight="1">
      <c r="A136" s="23" t="s">
        <v>175</v>
      </c>
      <c r="B136" s="8">
        <f t="shared" si="1"/>
        <v>1.25</v>
      </c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  <c r="AE136" s="26"/>
      <c r="AF136" s="27">
        <v>1.25</v>
      </c>
      <c r="AG136" s="26"/>
      <c r="AH136" s="26"/>
      <c r="AI136" s="26"/>
      <c r="AJ136" s="26"/>
      <c r="AK136" s="26"/>
      <c r="AL136" s="26"/>
      <c r="AM136" s="26"/>
      <c r="AN136" s="26"/>
      <c r="AO136" s="26"/>
      <c r="AP136" s="8"/>
      <c r="AQ136" s="8"/>
      <c r="AR136" s="8"/>
      <c r="AS136" s="8"/>
      <c r="AT136" s="8"/>
    </row>
    <row r="137" ht="15.75" customHeight="1">
      <c r="A137" s="23" t="s">
        <v>176</v>
      </c>
      <c r="B137" s="8">
        <f t="shared" si="1"/>
        <v>1.25</v>
      </c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  <c r="AD137" s="8"/>
      <c r="AE137" s="26"/>
      <c r="AF137" s="27">
        <v>1.25</v>
      </c>
      <c r="AG137" s="26"/>
      <c r="AH137" s="26"/>
      <c r="AI137" s="26"/>
      <c r="AJ137" s="26"/>
      <c r="AK137" s="26"/>
      <c r="AL137" s="26"/>
      <c r="AM137" s="26"/>
      <c r="AN137" s="26"/>
      <c r="AO137" s="26"/>
      <c r="AP137" s="8"/>
      <c r="AQ137" s="8"/>
      <c r="AR137" s="8"/>
      <c r="AS137" s="8"/>
      <c r="AT137" s="8"/>
    </row>
    <row r="138" ht="15.75" customHeight="1">
      <c r="A138" s="23" t="s">
        <v>177</v>
      </c>
      <c r="B138" s="8">
        <f t="shared" si="1"/>
        <v>1.25</v>
      </c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  <c r="AD138" s="8"/>
      <c r="AE138" s="26"/>
      <c r="AF138" s="27">
        <v>1.25</v>
      </c>
      <c r="AG138" s="26"/>
      <c r="AH138" s="26"/>
      <c r="AI138" s="26"/>
      <c r="AJ138" s="26"/>
      <c r="AK138" s="26"/>
      <c r="AL138" s="26"/>
      <c r="AM138" s="26"/>
      <c r="AN138" s="26"/>
      <c r="AO138" s="26"/>
      <c r="AP138" s="8"/>
      <c r="AQ138" s="8"/>
      <c r="AR138" s="8"/>
      <c r="AS138" s="8"/>
      <c r="AT138" s="8"/>
    </row>
    <row r="139" ht="15.75" customHeight="1">
      <c r="A139" s="23" t="s">
        <v>235</v>
      </c>
      <c r="B139" s="8">
        <f t="shared" si="1"/>
        <v>0</v>
      </c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  <c r="AD139" s="8"/>
      <c r="AE139" s="26"/>
      <c r="AF139" s="27"/>
      <c r="AG139" s="27"/>
      <c r="AH139" s="27"/>
      <c r="AI139" s="27"/>
      <c r="AJ139" s="27"/>
      <c r="AK139" s="27"/>
      <c r="AL139" s="26"/>
      <c r="AM139" s="26"/>
      <c r="AN139" s="26"/>
      <c r="AO139" s="26"/>
      <c r="AP139" s="8"/>
      <c r="AQ139" s="8"/>
      <c r="AR139" s="8"/>
      <c r="AS139" s="8"/>
      <c r="AT139" s="8"/>
    </row>
    <row r="140" ht="15.75" customHeight="1">
      <c r="A140" s="23" t="s">
        <v>179</v>
      </c>
      <c r="B140" s="8">
        <f t="shared" si="1"/>
        <v>2</v>
      </c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  <c r="AD140" s="8"/>
      <c r="AE140" s="26"/>
      <c r="AF140" s="27"/>
      <c r="AG140" s="26"/>
      <c r="AH140" s="26"/>
      <c r="AI140" s="26"/>
      <c r="AJ140" s="27">
        <v>2.0</v>
      </c>
      <c r="AK140" s="26"/>
      <c r="AL140" s="26"/>
      <c r="AM140" s="26"/>
      <c r="AN140" s="26"/>
      <c r="AO140" s="26"/>
      <c r="AP140" s="8"/>
      <c r="AQ140" s="8"/>
      <c r="AR140" s="8"/>
      <c r="AS140" s="8"/>
      <c r="AT140" s="8"/>
    </row>
    <row r="141" ht="15.75" customHeight="1">
      <c r="A141" s="23" t="s">
        <v>180</v>
      </c>
      <c r="B141" s="8">
        <f t="shared" si="1"/>
        <v>1.75</v>
      </c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  <c r="AD141" s="8"/>
      <c r="AE141" s="26"/>
      <c r="AF141" s="27"/>
      <c r="AG141" s="26"/>
      <c r="AH141" s="26"/>
      <c r="AI141" s="28">
        <v>1.75</v>
      </c>
      <c r="AJ141" s="26"/>
      <c r="AK141" s="26"/>
      <c r="AL141" s="26"/>
      <c r="AM141" s="26"/>
      <c r="AN141" s="26"/>
      <c r="AO141" s="26"/>
      <c r="AP141" s="8"/>
      <c r="AQ141" s="8"/>
      <c r="AR141" s="8"/>
      <c r="AS141" s="8"/>
      <c r="AT141" s="8"/>
    </row>
    <row r="142" ht="15.75" customHeight="1">
      <c r="A142" s="23" t="s">
        <v>181</v>
      </c>
      <c r="B142" s="8">
        <f t="shared" si="1"/>
        <v>4</v>
      </c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8"/>
      <c r="AD142" s="8"/>
      <c r="AE142" s="26"/>
      <c r="AF142" s="26"/>
      <c r="AG142" s="27"/>
      <c r="AH142" s="27"/>
      <c r="AI142" s="27"/>
      <c r="AJ142" s="27"/>
      <c r="AK142" s="26"/>
      <c r="AL142" s="28">
        <v>2.0</v>
      </c>
      <c r="AM142" s="27">
        <v>2.0</v>
      </c>
      <c r="AN142" s="27"/>
      <c r="AO142" s="26"/>
      <c r="AP142" s="8"/>
      <c r="AQ142" s="8"/>
      <c r="AR142" s="8"/>
      <c r="AS142" s="8"/>
      <c r="AT142" s="8"/>
    </row>
    <row r="143" ht="15.75" customHeight="1">
      <c r="A143" s="23" t="s">
        <v>182</v>
      </c>
      <c r="B143" s="8">
        <f t="shared" si="1"/>
        <v>0</v>
      </c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8"/>
      <c r="AD143" s="8"/>
      <c r="AE143" s="26"/>
      <c r="AF143" s="26"/>
      <c r="AG143" s="27"/>
      <c r="AH143" s="26"/>
      <c r="AI143" s="26"/>
      <c r="AJ143" s="26"/>
      <c r="AK143" s="26"/>
      <c r="AL143" s="26"/>
      <c r="AM143" s="26"/>
      <c r="AN143" s="27"/>
      <c r="AO143" s="26"/>
      <c r="AP143" s="8"/>
      <c r="AQ143" s="8"/>
      <c r="AR143" s="8"/>
      <c r="AS143" s="8"/>
      <c r="AT143" s="8"/>
    </row>
    <row r="144" ht="15.75" customHeight="1">
      <c r="A144" s="23" t="s">
        <v>183</v>
      </c>
      <c r="B144" s="8">
        <f t="shared" si="1"/>
        <v>0</v>
      </c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  <c r="AE144" s="26"/>
      <c r="AF144" s="26"/>
      <c r="AG144" s="27"/>
      <c r="AH144" s="26"/>
      <c r="AI144" s="26"/>
      <c r="AJ144" s="26"/>
      <c r="AK144" s="26"/>
      <c r="AL144" s="26"/>
      <c r="AM144" s="26"/>
      <c r="AN144" s="26"/>
      <c r="AO144" s="26"/>
      <c r="AP144" s="8"/>
      <c r="AQ144" s="8"/>
      <c r="AR144" s="8"/>
      <c r="AS144" s="8"/>
      <c r="AT144" s="8"/>
    </row>
    <row r="145" ht="15.75" customHeight="1">
      <c r="A145" s="23" t="s">
        <v>184</v>
      </c>
      <c r="B145" s="8">
        <f t="shared" si="1"/>
        <v>0</v>
      </c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  <c r="AE145" s="26"/>
      <c r="AF145" s="26"/>
      <c r="AG145" s="27"/>
      <c r="AH145" s="26"/>
      <c r="AI145" s="26"/>
      <c r="AJ145" s="26"/>
      <c r="AK145" s="27"/>
      <c r="AL145" s="26"/>
      <c r="AM145" s="26"/>
      <c r="AN145" s="26"/>
      <c r="AO145" s="26"/>
      <c r="AP145" s="8"/>
      <c r="AQ145" s="8"/>
      <c r="AR145" s="8"/>
      <c r="AS145" s="8"/>
      <c r="AT145" s="8"/>
    </row>
    <row r="146" ht="15.75" customHeight="1">
      <c r="A146" s="23" t="s">
        <v>185</v>
      </c>
      <c r="B146" s="8">
        <f t="shared" si="1"/>
        <v>0</v>
      </c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  <c r="AD146" s="8"/>
      <c r="AE146" s="26"/>
      <c r="AF146" s="26"/>
      <c r="AG146" s="27"/>
      <c r="AH146" s="26"/>
      <c r="AI146" s="26"/>
      <c r="AJ146" s="26"/>
      <c r="AK146" s="26"/>
      <c r="AL146" s="26"/>
      <c r="AM146" s="26"/>
      <c r="AN146" s="26"/>
      <c r="AO146" s="26"/>
      <c r="AP146" s="8"/>
      <c r="AQ146" s="8"/>
      <c r="AR146" s="8"/>
      <c r="AS146" s="8"/>
      <c r="AT146" s="8"/>
    </row>
    <row r="147" ht="15.75" customHeight="1">
      <c r="A147" s="23" t="s">
        <v>186</v>
      </c>
      <c r="B147" s="8">
        <f t="shared" si="1"/>
        <v>5.75</v>
      </c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  <c r="AE147" s="26"/>
      <c r="AF147" s="26"/>
      <c r="AG147" s="27"/>
      <c r="AH147" s="26"/>
      <c r="AI147" s="26"/>
      <c r="AJ147" s="26"/>
      <c r="AK147" s="27">
        <v>1.75</v>
      </c>
      <c r="AL147" s="28">
        <v>2.0</v>
      </c>
      <c r="AM147" s="27">
        <v>2.0</v>
      </c>
      <c r="AN147" s="27"/>
      <c r="AO147" s="26"/>
      <c r="AP147" s="8"/>
      <c r="AQ147" s="8"/>
      <c r="AR147" s="8"/>
      <c r="AS147" s="8"/>
      <c r="AT147" s="8"/>
    </row>
    <row r="148" ht="15.75" customHeight="1">
      <c r="A148" s="23" t="s">
        <v>187</v>
      </c>
      <c r="B148" s="8">
        <f t="shared" si="1"/>
        <v>1.75</v>
      </c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  <c r="AC148" s="8"/>
      <c r="AD148" s="8"/>
      <c r="AE148" s="26"/>
      <c r="AF148" s="26"/>
      <c r="AG148" s="27"/>
      <c r="AH148" s="26"/>
      <c r="AI148" s="26"/>
      <c r="AJ148" s="26"/>
      <c r="AK148" s="27">
        <v>1.75</v>
      </c>
      <c r="AL148" s="26"/>
      <c r="AM148" s="26"/>
      <c r="AN148" s="26"/>
      <c r="AO148" s="26"/>
      <c r="AP148" s="8"/>
      <c r="AQ148" s="8"/>
      <c r="AR148" s="8"/>
      <c r="AS148" s="8"/>
      <c r="AT148" s="8"/>
    </row>
    <row r="149" ht="15.75" customHeight="1">
      <c r="A149" s="23" t="s">
        <v>188</v>
      </c>
      <c r="B149" s="8">
        <f t="shared" si="1"/>
        <v>0</v>
      </c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  <c r="AE149" s="26"/>
      <c r="AF149" s="26"/>
      <c r="AG149" s="27"/>
      <c r="AH149" s="26"/>
      <c r="AI149" s="26"/>
      <c r="AJ149" s="26"/>
      <c r="AK149" s="26"/>
      <c r="AL149" s="26"/>
      <c r="AM149" s="26"/>
      <c r="AN149" s="26"/>
      <c r="AO149" s="26"/>
      <c r="AP149" s="8"/>
      <c r="AQ149" s="8"/>
      <c r="AR149" s="8"/>
      <c r="AS149" s="8"/>
      <c r="AT149" s="8"/>
    </row>
    <row r="150" ht="15.75" customHeight="1">
      <c r="A150" s="23" t="s">
        <v>189</v>
      </c>
      <c r="B150" s="8">
        <f t="shared" si="1"/>
        <v>1.5</v>
      </c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  <c r="AD150" s="8"/>
      <c r="AE150" s="26"/>
      <c r="AF150" s="26"/>
      <c r="AG150" s="27">
        <v>1.5</v>
      </c>
      <c r="AH150" s="26"/>
      <c r="AI150" s="26"/>
      <c r="AJ150" s="26"/>
      <c r="AK150" s="26"/>
      <c r="AL150" s="26"/>
      <c r="AM150" s="26"/>
      <c r="AN150" s="26"/>
      <c r="AO150" s="26"/>
      <c r="AP150" s="8"/>
      <c r="AQ150" s="8"/>
      <c r="AR150" s="8"/>
      <c r="AS150" s="8"/>
      <c r="AT150" s="8"/>
    </row>
    <row r="151" ht="15.75" customHeight="1">
      <c r="A151" s="23" t="s">
        <v>190</v>
      </c>
      <c r="B151" s="8">
        <f t="shared" si="1"/>
        <v>3.25</v>
      </c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  <c r="AC151" s="8"/>
      <c r="AD151" s="8"/>
      <c r="AE151" s="26"/>
      <c r="AF151" s="26"/>
      <c r="AG151" s="27">
        <v>1.5</v>
      </c>
      <c r="AH151" s="26"/>
      <c r="AI151" s="26"/>
      <c r="AJ151" s="26"/>
      <c r="AK151" s="27">
        <v>1.75</v>
      </c>
      <c r="AL151" s="27"/>
      <c r="AM151" s="27"/>
      <c r="AN151" s="27"/>
      <c r="AO151" s="27"/>
      <c r="AP151" s="8"/>
      <c r="AQ151" s="8"/>
      <c r="AR151" s="8"/>
      <c r="AS151" s="8"/>
      <c r="AT151" s="8"/>
    </row>
    <row r="152" ht="15.75" customHeight="1">
      <c r="A152" s="23" t="s">
        <v>191</v>
      </c>
      <c r="B152" s="8">
        <f t="shared" si="1"/>
        <v>1.5</v>
      </c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  <c r="AC152" s="8"/>
      <c r="AD152" s="8"/>
      <c r="AE152" s="26"/>
      <c r="AF152" s="26"/>
      <c r="AG152" s="26"/>
      <c r="AH152" s="27">
        <v>1.5</v>
      </c>
      <c r="AI152" s="26"/>
      <c r="AJ152" s="26"/>
      <c r="AK152" s="26"/>
      <c r="AL152" s="26"/>
      <c r="AM152" s="26"/>
      <c r="AN152" s="26"/>
      <c r="AO152" s="26"/>
      <c r="AP152" s="8"/>
      <c r="AQ152" s="8"/>
      <c r="AR152" s="8"/>
      <c r="AS152" s="8"/>
      <c r="AT152" s="8"/>
    </row>
    <row r="153" ht="15.75" customHeight="1">
      <c r="A153" s="23" t="s">
        <v>192</v>
      </c>
      <c r="B153" s="8">
        <f t="shared" si="1"/>
        <v>3.25</v>
      </c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  <c r="AC153" s="8"/>
      <c r="AD153" s="8"/>
      <c r="AE153" s="26"/>
      <c r="AF153" s="26"/>
      <c r="AG153" s="26"/>
      <c r="AH153" s="27">
        <v>1.5</v>
      </c>
      <c r="AI153" s="28">
        <v>1.75</v>
      </c>
      <c r="AJ153" s="26"/>
      <c r="AK153" s="26"/>
      <c r="AL153" s="26"/>
      <c r="AM153" s="26"/>
      <c r="AN153" s="26"/>
      <c r="AO153" s="26"/>
      <c r="AP153" s="8"/>
      <c r="AQ153" s="8"/>
      <c r="AR153" s="8"/>
      <c r="AS153" s="8"/>
      <c r="AT153" s="8"/>
    </row>
    <row r="154" ht="15.75" customHeight="1">
      <c r="A154" s="23" t="s">
        <v>193</v>
      </c>
      <c r="B154" s="8">
        <f t="shared" si="1"/>
        <v>1.5</v>
      </c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  <c r="AC154" s="8"/>
      <c r="AD154" s="8"/>
      <c r="AE154" s="26"/>
      <c r="AF154" s="26"/>
      <c r="AG154" s="26"/>
      <c r="AH154" s="27">
        <v>1.5</v>
      </c>
      <c r="AI154" s="26"/>
      <c r="AJ154" s="26"/>
      <c r="AK154" s="26"/>
      <c r="AL154" s="26"/>
      <c r="AM154" s="26"/>
      <c r="AN154" s="26"/>
      <c r="AO154" s="26"/>
      <c r="AP154" s="8"/>
      <c r="AQ154" s="8"/>
      <c r="AR154" s="8"/>
      <c r="AS154" s="8"/>
      <c r="AT154" s="8"/>
    </row>
    <row r="155" ht="15.75" customHeight="1">
      <c r="A155" s="23" t="s">
        <v>194</v>
      </c>
      <c r="B155" s="8">
        <f t="shared" si="1"/>
        <v>1.5</v>
      </c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  <c r="AC155" s="8"/>
      <c r="AD155" s="8"/>
      <c r="AE155" s="26"/>
      <c r="AF155" s="26"/>
      <c r="AG155" s="26"/>
      <c r="AH155" s="27">
        <v>1.5</v>
      </c>
      <c r="AI155" s="26"/>
      <c r="AJ155" s="26"/>
      <c r="AK155" s="26"/>
      <c r="AL155" s="26"/>
      <c r="AM155" s="26"/>
      <c r="AN155" s="26"/>
      <c r="AO155" s="26"/>
      <c r="AP155" s="8"/>
      <c r="AQ155" s="8"/>
      <c r="AR155" s="8"/>
      <c r="AS155" s="8"/>
      <c r="AT155" s="8"/>
    </row>
    <row r="156" ht="15.75" customHeight="1">
      <c r="A156" s="23" t="s">
        <v>195</v>
      </c>
      <c r="B156" s="8">
        <f t="shared" si="1"/>
        <v>1.5</v>
      </c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  <c r="AC156" s="8"/>
      <c r="AD156" s="8"/>
      <c r="AE156" s="26"/>
      <c r="AF156" s="26"/>
      <c r="AG156" s="26"/>
      <c r="AH156" s="27">
        <v>1.5</v>
      </c>
      <c r="AI156" s="26"/>
      <c r="AJ156" s="26"/>
      <c r="AK156" s="26"/>
      <c r="AL156" s="26"/>
      <c r="AM156" s="26"/>
      <c r="AN156" s="26"/>
      <c r="AO156" s="26"/>
      <c r="AP156" s="8"/>
      <c r="AQ156" s="8"/>
      <c r="AR156" s="8"/>
      <c r="AS156" s="8"/>
      <c r="AT156" s="8"/>
    </row>
    <row r="157" ht="15.75" customHeight="1">
      <c r="A157" s="23" t="s">
        <v>196</v>
      </c>
      <c r="B157" s="8">
        <f t="shared" si="1"/>
        <v>1.5</v>
      </c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  <c r="AE157" s="26"/>
      <c r="AF157" s="26"/>
      <c r="AG157" s="26"/>
      <c r="AH157" s="27">
        <v>1.5</v>
      </c>
      <c r="AI157" s="26"/>
      <c r="AJ157" s="26"/>
      <c r="AK157" s="26"/>
      <c r="AL157" s="26"/>
      <c r="AM157" s="26"/>
      <c r="AN157" s="26"/>
      <c r="AO157" s="26"/>
      <c r="AP157" s="8"/>
      <c r="AQ157" s="8"/>
      <c r="AR157" s="8"/>
      <c r="AS157" s="8"/>
      <c r="AT157" s="8"/>
    </row>
    <row r="158" ht="15.75" customHeight="1">
      <c r="A158" s="23" t="s">
        <v>197</v>
      </c>
      <c r="B158" s="8">
        <f t="shared" si="1"/>
        <v>1.5</v>
      </c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  <c r="AD158" s="8"/>
      <c r="AE158" s="26"/>
      <c r="AF158" s="26"/>
      <c r="AG158" s="26"/>
      <c r="AH158" s="27">
        <v>1.5</v>
      </c>
      <c r="AI158" s="26"/>
      <c r="AJ158" s="26"/>
      <c r="AK158" s="26"/>
      <c r="AL158" s="26"/>
      <c r="AM158" s="26"/>
      <c r="AN158" s="26"/>
      <c r="AO158" s="26"/>
      <c r="AP158" s="8"/>
      <c r="AQ158" s="8"/>
      <c r="AR158" s="8"/>
      <c r="AS158" s="8"/>
      <c r="AT158" s="8"/>
    </row>
    <row r="159" ht="15.75" customHeight="1">
      <c r="A159" s="23" t="s">
        <v>198</v>
      </c>
      <c r="B159" s="8">
        <f t="shared" si="1"/>
        <v>0</v>
      </c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  <c r="AC159" s="8"/>
      <c r="AD159" s="8"/>
      <c r="AE159" s="26"/>
      <c r="AF159" s="26"/>
      <c r="AG159" s="26"/>
      <c r="AH159" s="27"/>
      <c r="AI159" s="27"/>
      <c r="AJ159" s="27"/>
      <c r="AK159" s="26"/>
      <c r="AL159" s="26"/>
      <c r="AM159" s="26"/>
      <c r="AN159" s="26"/>
      <c r="AO159" s="26"/>
      <c r="AP159" s="8"/>
      <c r="AQ159" s="8"/>
      <c r="AR159" s="8"/>
      <c r="AS159" s="8"/>
      <c r="AT159" s="8"/>
    </row>
    <row r="160" ht="15.75" customHeight="1">
      <c r="A160" s="23" t="s">
        <v>199</v>
      </c>
      <c r="B160" s="8">
        <f t="shared" si="1"/>
        <v>0</v>
      </c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  <c r="AC160" s="8"/>
      <c r="AD160" s="8"/>
      <c r="AE160" s="26"/>
      <c r="AF160" s="26"/>
      <c r="AG160" s="26"/>
      <c r="AH160" s="27"/>
      <c r="AI160" s="27"/>
      <c r="AJ160" s="27"/>
      <c r="AK160" s="26"/>
      <c r="AL160" s="26"/>
      <c r="AM160" s="26"/>
      <c r="AN160" s="26"/>
      <c r="AO160" s="26"/>
      <c r="AP160" s="8"/>
      <c r="AQ160" s="8"/>
      <c r="AR160" s="8"/>
      <c r="AS160" s="8"/>
      <c r="AT160" s="8"/>
    </row>
    <row r="161" ht="15.75" customHeight="1">
      <c r="A161" s="23" t="s">
        <v>200</v>
      </c>
      <c r="B161" s="8">
        <f t="shared" si="1"/>
        <v>0</v>
      </c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  <c r="AC161" s="8"/>
      <c r="AD161" s="8"/>
      <c r="AE161" s="26"/>
      <c r="AF161" s="26"/>
      <c r="AG161" s="26"/>
      <c r="AH161" s="27"/>
      <c r="AI161" s="27"/>
      <c r="AJ161" s="27"/>
      <c r="AK161" s="26"/>
      <c r="AL161" s="26"/>
      <c r="AM161" s="26"/>
      <c r="AN161" s="26"/>
      <c r="AO161" s="26"/>
      <c r="AP161" s="8"/>
      <c r="AQ161" s="8"/>
      <c r="AR161" s="8"/>
      <c r="AS161" s="8"/>
      <c r="AT161" s="8"/>
    </row>
    <row r="162" ht="15.75" customHeight="1">
      <c r="A162" s="23" t="s">
        <v>201</v>
      </c>
      <c r="B162" s="8">
        <f t="shared" si="1"/>
        <v>0</v>
      </c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8"/>
      <c r="AC162" s="8"/>
      <c r="AD162" s="8"/>
      <c r="AE162" s="26"/>
      <c r="AF162" s="26"/>
      <c r="AG162" s="26"/>
      <c r="AH162" s="27"/>
      <c r="AI162" s="27"/>
      <c r="AJ162" s="27"/>
      <c r="AK162" s="26"/>
      <c r="AL162" s="26"/>
      <c r="AM162" s="26"/>
      <c r="AN162" s="26"/>
      <c r="AO162" s="26"/>
      <c r="AP162" s="8"/>
      <c r="AQ162" s="8"/>
      <c r="AR162" s="8"/>
      <c r="AS162" s="8"/>
      <c r="AT162" s="8"/>
    </row>
    <row r="163" ht="15.75" customHeight="1">
      <c r="A163" s="24" t="s">
        <v>202</v>
      </c>
      <c r="B163" s="8">
        <f t="shared" si="1"/>
        <v>0</v>
      </c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  <c r="AB163" s="8"/>
      <c r="AC163" s="8"/>
      <c r="AD163" s="8"/>
      <c r="AE163" s="26"/>
      <c r="AF163" s="26"/>
      <c r="AG163" s="26"/>
      <c r="AH163" s="26"/>
      <c r="AI163" s="28"/>
      <c r="AJ163" s="26"/>
      <c r="AK163" s="26"/>
      <c r="AL163" s="26"/>
      <c r="AM163" s="26"/>
      <c r="AN163" s="26"/>
      <c r="AO163" s="26"/>
      <c r="AP163" s="8"/>
      <c r="AQ163" s="8"/>
      <c r="AR163" s="8"/>
      <c r="AS163" s="8"/>
      <c r="AT163" s="8"/>
    </row>
    <row r="164" ht="15.75" customHeight="1">
      <c r="A164" s="24" t="s">
        <v>203</v>
      </c>
      <c r="B164" s="8">
        <f t="shared" si="1"/>
        <v>0</v>
      </c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  <c r="AB164" s="8"/>
      <c r="AC164" s="8"/>
      <c r="AD164" s="8"/>
      <c r="AE164" s="26"/>
      <c r="AF164" s="26"/>
      <c r="AG164" s="26"/>
      <c r="AH164" s="26"/>
      <c r="AI164" s="28"/>
      <c r="AJ164" s="26"/>
      <c r="AK164" s="26"/>
      <c r="AL164" s="26"/>
      <c r="AM164" s="26"/>
      <c r="AN164" s="26"/>
      <c r="AO164" s="26"/>
      <c r="AP164" s="8"/>
      <c r="AQ164" s="8"/>
      <c r="AR164" s="8"/>
      <c r="AS164" s="8"/>
      <c r="AT164" s="8"/>
    </row>
    <row r="165" ht="15.75" customHeight="1">
      <c r="A165" s="24" t="s">
        <v>204</v>
      </c>
      <c r="B165" s="8">
        <f t="shared" si="1"/>
        <v>5.5</v>
      </c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  <c r="AB165" s="8"/>
      <c r="AC165" s="8"/>
      <c r="AD165" s="8"/>
      <c r="AE165" s="26"/>
      <c r="AF165" s="26"/>
      <c r="AG165" s="26"/>
      <c r="AH165" s="26"/>
      <c r="AI165" s="28">
        <v>1.75</v>
      </c>
      <c r="AJ165" s="26"/>
      <c r="AK165" s="27">
        <v>1.75</v>
      </c>
      <c r="AL165" s="26"/>
      <c r="AM165" s="26"/>
      <c r="AN165" s="26"/>
      <c r="AO165" s="27">
        <v>2.0</v>
      </c>
      <c r="AP165" s="8"/>
      <c r="AQ165" s="8"/>
      <c r="AR165" s="8"/>
      <c r="AS165" s="8"/>
      <c r="AT165" s="8"/>
    </row>
    <row r="166" ht="15.75" customHeight="1">
      <c r="A166" s="24" t="s">
        <v>205</v>
      </c>
      <c r="B166" s="8">
        <f t="shared" si="1"/>
        <v>1.75</v>
      </c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  <c r="AB166" s="8"/>
      <c r="AC166" s="8"/>
      <c r="AD166" s="8"/>
      <c r="AE166" s="26"/>
      <c r="AF166" s="26"/>
      <c r="AG166" s="26"/>
      <c r="AH166" s="26"/>
      <c r="AI166" s="28">
        <v>1.75</v>
      </c>
      <c r="AJ166" s="26"/>
      <c r="AK166" s="26"/>
      <c r="AL166" s="26"/>
      <c r="AM166" s="26"/>
      <c r="AN166" s="26"/>
      <c r="AO166" s="26"/>
      <c r="AP166" s="8"/>
      <c r="AQ166" s="8"/>
      <c r="AR166" s="8"/>
      <c r="AS166" s="8"/>
      <c r="AT166" s="8"/>
    </row>
    <row r="167" ht="15.75" customHeight="1">
      <c r="A167" s="24" t="s">
        <v>206</v>
      </c>
      <c r="B167" s="8">
        <f t="shared" si="1"/>
        <v>1.75</v>
      </c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  <c r="AC167" s="8"/>
      <c r="AD167" s="8"/>
      <c r="AE167" s="26"/>
      <c r="AF167" s="26"/>
      <c r="AG167" s="26"/>
      <c r="AH167" s="26"/>
      <c r="AI167" s="28">
        <v>1.75</v>
      </c>
      <c r="AJ167" s="26"/>
      <c r="AK167" s="26"/>
      <c r="AL167" s="26"/>
      <c r="AM167" s="26"/>
      <c r="AN167" s="26"/>
      <c r="AO167" s="26"/>
      <c r="AP167" s="8"/>
      <c r="AQ167" s="8"/>
      <c r="AR167" s="8"/>
      <c r="AS167" s="8"/>
      <c r="AT167" s="8"/>
    </row>
    <row r="168" ht="15.75" customHeight="1">
      <c r="A168" s="23" t="s">
        <v>5</v>
      </c>
      <c r="B168" s="8">
        <f t="shared" si="1"/>
        <v>2</v>
      </c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  <c r="AB168" s="8"/>
      <c r="AC168" s="8"/>
      <c r="AD168" s="8"/>
      <c r="AE168" s="26"/>
      <c r="AF168" s="26"/>
      <c r="AG168" s="26"/>
      <c r="AH168" s="26"/>
      <c r="AI168" s="26"/>
      <c r="AJ168" s="27">
        <v>2.0</v>
      </c>
      <c r="AK168" s="26"/>
      <c r="AL168" s="26"/>
      <c r="AM168" s="26"/>
      <c r="AN168" s="26"/>
      <c r="AO168" s="26"/>
      <c r="AP168" s="8"/>
      <c r="AQ168" s="8"/>
      <c r="AR168" s="8"/>
      <c r="AS168" s="8"/>
      <c r="AT168" s="8"/>
    </row>
    <row r="169" ht="15.75" customHeight="1">
      <c r="A169" s="23" t="s">
        <v>207</v>
      </c>
      <c r="B169" s="8">
        <f t="shared" si="1"/>
        <v>0</v>
      </c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8"/>
      <c r="AC169" s="8"/>
      <c r="AD169" s="8"/>
      <c r="AE169" s="26"/>
      <c r="AF169" s="26"/>
      <c r="AG169" s="26"/>
      <c r="AH169" s="26"/>
      <c r="AI169" s="26"/>
      <c r="AJ169" s="27"/>
      <c r="AK169" s="27"/>
      <c r="AL169" s="26"/>
      <c r="AM169" s="27"/>
      <c r="AN169" s="27"/>
      <c r="AO169" s="27"/>
      <c r="AP169" s="8"/>
      <c r="AQ169" s="8"/>
      <c r="AR169" s="8"/>
      <c r="AS169" s="8"/>
      <c r="AT169" s="8"/>
    </row>
    <row r="170" ht="15.75" customHeight="1">
      <c r="A170" s="23" t="s">
        <v>208</v>
      </c>
      <c r="B170" s="8">
        <f t="shared" si="1"/>
        <v>0</v>
      </c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8"/>
      <c r="AC170" s="8"/>
      <c r="AD170" s="8"/>
      <c r="AE170" s="26"/>
      <c r="AF170" s="26"/>
      <c r="AG170" s="26"/>
      <c r="AH170" s="26"/>
      <c r="AI170" s="26"/>
      <c r="AJ170" s="26"/>
      <c r="AK170" s="27"/>
      <c r="AL170" s="26"/>
      <c r="AM170" s="27"/>
      <c r="AN170" s="26"/>
      <c r="AO170" s="27"/>
      <c r="AP170" s="8"/>
      <c r="AQ170" s="8"/>
      <c r="AR170" s="8"/>
      <c r="AS170" s="8"/>
      <c r="AT170" s="8"/>
    </row>
    <row r="171" ht="15.75" customHeight="1">
      <c r="A171" s="23" t="s">
        <v>209</v>
      </c>
      <c r="B171" s="8">
        <f t="shared" si="1"/>
        <v>1.25</v>
      </c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  <c r="AC171" s="8"/>
      <c r="AD171" s="8"/>
      <c r="AE171" s="26"/>
      <c r="AF171" s="26"/>
      <c r="AG171" s="26"/>
      <c r="AH171" s="26"/>
      <c r="AI171" s="26"/>
      <c r="AJ171" s="26"/>
      <c r="AK171" s="26"/>
      <c r="AL171" s="26"/>
      <c r="AM171" s="26"/>
      <c r="AN171" s="27">
        <v>1.25</v>
      </c>
      <c r="AO171" s="26"/>
      <c r="AP171" s="8"/>
      <c r="AQ171" s="8"/>
      <c r="AR171" s="8"/>
      <c r="AS171" s="8"/>
      <c r="AT171" s="8"/>
    </row>
    <row r="172" ht="15.75" customHeight="1">
      <c r="A172" s="23" t="s">
        <v>210</v>
      </c>
      <c r="B172" s="8">
        <f t="shared" si="1"/>
        <v>1.75</v>
      </c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  <c r="AC172" s="8"/>
      <c r="AD172" s="8"/>
      <c r="AE172" s="26"/>
      <c r="AF172" s="26"/>
      <c r="AG172" s="26"/>
      <c r="AH172" s="26"/>
      <c r="AI172" s="26"/>
      <c r="AJ172" s="26"/>
      <c r="AK172" s="27">
        <v>1.75</v>
      </c>
      <c r="AL172" s="26"/>
      <c r="AM172" s="26"/>
      <c r="AN172" s="26"/>
      <c r="AO172" s="26"/>
      <c r="AP172" s="8"/>
      <c r="AQ172" s="8"/>
      <c r="AR172" s="8"/>
      <c r="AS172" s="8"/>
      <c r="AT172" s="8"/>
    </row>
    <row r="173" ht="15.75" customHeight="1">
      <c r="A173" s="23" t="s">
        <v>211</v>
      </c>
      <c r="B173" s="8">
        <f t="shared" si="1"/>
        <v>3.75</v>
      </c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  <c r="AC173" s="8"/>
      <c r="AD173" s="8"/>
      <c r="AE173" s="26"/>
      <c r="AF173" s="26"/>
      <c r="AG173" s="26"/>
      <c r="AH173" s="26"/>
      <c r="AI173" s="26"/>
      <c r="AJ173" s="26"/>
      <c r="AK173" s="27">
        <v>1.75</v>
      </c>
      <c r="AL173" s="26"/>
      <c r="AM173" s="26"/>
      <c r="AN173" s="26"/>
      <c r="AO173" s="27">
        <v>2.0</v>
      </c>
      <c r="AP173" s="8"/>
      <c r="AQ173" s="8"/>
      <c r="AR173" s="8"/>
      <c r="AS173" s="8"/>
      <c r="AT173" s="8"/>
    </row>
    <row r="174" ht="15.75" customHeight="1">
      <c r="A174" s="23" t="s">
        <v>212</v>
      </c>
      <c r="B174" s="8">
        <f t="shared" si="1"/>
        <v>1.75</v>
      </c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  <c r="AC174" s="8"/>
      <c r="AD174" s="8"/>
      <c r="AE174" s="26"/>
      <c r="AF174" s="26"/>
      <c r="AG174" s="26"/>
      <c r="AH174" s="26"/>
      <c r="AI174" s="26"/>
      <c r="AJ174" s="26"/>
      <c r="AK174" s="27">
        <v>1.75</v>
      </c>
      <c r="AL174" s="26"/>
      <c r="AM174" s="26"/>
      <c r="AN174" s="26"/>
      <c r="AO174" s="26"/>
      <c r="AP174" s="8"/>
      <c r="AQ174" s="8"/>
      <c r="AR174" s="8"/>
      <c r="AS174" s="8"/>
      <c r="AT174" s="8"/>
    </row>
    <row r="175" ht="15.75" customHeight="1">
      <c r="A175" s="24" t="s">
        <v>213</v>
      </c>
      <c r="B175" s="8">
        <f t="shared" si="1"/>
        <v>2</v>
      </c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  <c r="AC175" s="8"/>
      <c r="AD175" s="8"/>
      <c r="AE175" s="26"/>
      <c r="AF175" s="26"/>
      <c r="AG175" s="26"/>
      <c r="AH175" s="26"/>
      <c r="AI175" s="26"/>
      <c r="AJ175" s="26"/>
      <c r="AK175" s="26"/>
      <c r="AL175" s="28">
        <v>2.0</v>
      </c>
      <c r="AM175" s="26"/>
      <c r="AN175" s="26"/>
      <c r="AO175" s="26"/>
      <c r="AP175" s="8"/>
      <c r="AQ175" s="8"/>
      <c r="AR175" s="8"/>
      <c r="AS175" s="8"/>
      <c r="AT175" s="8"/>
    </row>
    <row r="176" ht="15.75" customHeight="1">
      <c r="A176" s="24" t="s">
        <v>214</v>
      </c>
      <c r="B176" s="8">
        <f t="shared" si="1"/>
        <v>3.25</v>
      </c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  <c r="AC176" s="8"/>
      <c r="AD176" s="8"/>
      <c r="AE176" s="26"/>
      <c r="AF176" s="26"/>
      <c r="AG176" s="26"/>
      <c r="AH176" s="26"/>
      <c r="AI176" s="26"/>
      <c r="AJ176" s="26"/>
      <c r="AK176" s="26"/>
      <c r="AL176" s="28">
        <v>2.0</v>
      </c>
      <c r="AM176" s="26"/>
      <c r="AN176" s="27">
        <v>1.25</v>
      </c>
      <c r="AO176" s="26"/>
      <c r="AP176" s="8"/>
      <c r="AQ176" s="8"/>
      <c r="AR176" s="8"/>
      <c r="AS176" s="8"/>
      <c r="AT176" s="8"/>
    </row>
    <row r="177" ht="15.75" customHeight="1">
      <c r="A177" s="24" t="s">
        <v>215</v>
      </c>
      <c r="B177" s="8">
        <f t="shared" si="1"/>
        <v>2</v>
      </c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  <c r="AC177" s="8"/>
      <c r="AD177" s="8"/>
      <c r="AE177" s="26"/>
      <c r="AF177" s="26"/>
      <c r="AG177" s="26"/>
      <c r="AH177" s="26"/>
      <c r="AI177" s="26"/>
      <c r="AJ177" s="26"/>
      <c r="AK177" s="26"/>
      <c r="AL177" s="28">
        <v>2.0</v>
      </c>
      <c r="AM177" s="26"/>
      <c r="AN177" s="26"/>
      <c r="AO177" s="26"/>
      <c r="AP177" s="8"/>
      <c r="AQ177" s="8"/>
      <c r="AR177" s="8"/>
      <c r="AS177" s="8"/>
      <c r="AT177" s="8"/>
    </row>
    <row r="178" ht="15.75" customHeight="1">
      <c r="A178" s="24" t="s">
        <v>216</v>
      </c>
      <c r="B178" s="8">
        <f t="shared" si="1"/>
        <v>4</v>
      </c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  <c r="AC178" s="8"/>
      <c r="AD178" s="8"/>
      <c r="AE178" s="26"/>
      <c r="AF178" s="26"/>
      <c r="AG178" s="26"/>
      <c r="AH178" s="26"/>
      <c r="AI178" s="26"/>
      <c r="AJ178" s="26"/>
      <c r="AK178" s="26"/>
      <c r="AL178" s="28">
        <v>2.0</v>
      </c>
      <c r="AM178" s="27"/>
      <c r="AN178" s="27"/>
      <c r="AO178" s="27">
        <v>2.0</v>
      </c>
      <c r="AP178" s="8"/>
      <c r="AQ178" s="8"/>
      <c r="AR178" s="8"/>
      <c r="AS178" s="8"/>
      <c r="AT178" s="8"/>
    </row>
    <row r="179" ht="15.75" customHeight="1">
      <c r="A179" s="24" t="s">
        <v>217</v>
      </c>
      <c r="B179" s="8">
        <f t="shared" si="1"/>
        <v>1.75</v>
      </c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  <c r="AC179" s="8"/>
      <c r="AD179" s="8"/>
      <c r="AE179" s="26"/>
      <c r="AF179" s="26"/>
      <c r="AG179" s="26"/>
      <c r="AH179" s="26"/>
      <c r="AI179" s="26"/>
      <c r="AJ179" s="26"/>
      <c r="AK179" s="26"/>
      <c r="AL179" s="28">
        <v>1.75</v>
      </c>
      <c r="AM179" s="26"/>
      <c r="AN179" s="26"/>
      <c r="AO179" s="26"/>
      <c r="AP179" s="8"/>
      <c r="AQ179" s="8"/>
      <c r="AR179" s="8"/>
      <c r="AS179" s="8"/>
      <c r="AT179" s="8"/>
    </row>
    <row r="180" ht="15.75" customHeight="1">
      <c r="A180" s="24" t="s">
        <v>218</v>
      </c>
      <c r="B180" s="8">
        <f t="shared" si="1"/>
        <v>2</v>
      </c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  <c r="AC180" s="8"/>
      <c r="AD180" s="8"/>
      <c r="AE180" s="26"/>
      <c r="AF180" s="26"/>
      <c r="AG180" s="26"/>
      <c r="AH180" s="26"/>
      <c r="AI180" s="26"/>
      <c r="AJ180" s="26"/>
      <c r="AK180" s="26"/>
      <c r="AL180" s="27">
        <v>2.0</v>
      </c>
      <c r="AM180" s="26"/>
      <c r="AN180" s="26"/>
      <c r="AO180" s="26"/>
      <c r="AP180" s="8"/>
      <c r="AQ180" s="8"/>
      <c r="AR180" s="8"/>
      <c r="AS180" s="8"/>
      <c r="AT180" s="8"/>
    </row>
    <row r="181" ht="15.75" customHeight="1">
      <c r="A181" s="23" t="s">
        <v>219</v>
      </c>
      <c r="B181" s="8">
        <f t="shared" si="1"/>
        <v>5.25</v>
      </c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  <c r="AC181" s="8"/>
      <c r="AD181" s="8"/>
      <c r="AE181" s="26"/>
      <c r="AF181" s="26"/>
      <c r="AG181" s="26"/>
      <c r="AH181" s="26"/>
      <c r="AI181" s="26"/>
      <c r="AJ181" s="26"/>
      <c r="AK181" s="26"/>
      <c r="AL181" s="27"/>
      <c r="AM181" s="27">
        <v>2.0</v>
      </c>
      <c r="AN181" s="27">
        <v>1.25</v>
      </c>
      <c r="AO181" s="27">
        <v>2.0</v>
      </c>
      <c r="AP181" s="8"/>
      <c r="AQ181" s="8"/>
      <c r="AR181" s="8"/>
      <c r="AS181" s="8"/>
      <c r="AT181" s="8"/>
    </row>
    <row r="182" ht="15.75" customHeight="1">
      <c r="A182" s="23" t="s">
        <v>220</v>
      </c>
      <c r="B182" s="8">
        <f t="shared" si="1"/>
        <v>0</v>
      </c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  <c r="AC182" s="8"/>
      <c r="AD182" s="8"/>
      <c r="AE182" s="26"/>
      <c r="AF182" s="26"/>
      <c r="AG182" s="26"/>
      <c r="AH182" s="26"/>
      <c r="AI182" s="26"/>
      <c r="AJ182" s="26"/>
      <c r="AK182" s="26"/>
      <c r="AL182" s="27"/>
      <c r="AM182" s="26"/>
      <c r="AN182" s="26"/>
      <c r="AO182" s="26"/>
      <c r="AP182" s="8"/>
      <c r="AQ182" s="8"/>
      <c r="AR182" s="8"/>
      <c r="AS182" s="8"/>
      <c r="AT182" s="8"/>
    </row>
    <row r="183" ht="15.75" customHeight="1">
      <c r="A183" s="23" t="s">
        <v>221</v>
      </c>
      <c r="B183" s="8">
        <f t="shared" si="1"/>
        <v>3.25</v>
      </c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  <c r="AC183" s="8"/>
      <c r="AD183" s="8"/>
      <c r="AE183" s="26"/>
      <c r="AF183" s="26"/>
      <c r="AG183" s="26"/>
      <c r="AH183" s="26"/>
      <c r="AI183" s="26"/>
      <c r="AJ183" s="26"/>
      <c r="AK183" s="26"/>
      <c r="AL183" s="26"/>
      <c r="AM183" s="27">
        <v>2.0</v>
      </c>
      <c r="AN183" s="27">
        <v>1.25</v>
      </c>
      <c r="AO183" s="26"/>
      <c r="AP183" s="8"/>
      <c r="AQ183" s="8"/>
      <c r="AR183" s="8"/>
      <c r="AS183" s="8"/>
      <c r="AT183" s="8"/>
    </row>
    <row r="184" ht="15.75" customHeight="1">
      <c r="A184" s="23" t="s">
        <v>222</v>
      </c>
      <c r="B184" s="8">
        <f t="shared" si="1"/>
        <v>0</v>
      </c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  <c r="AC184" s="8"/>
      <c r="AD184" s="8"/>
      <c r="AE184" s="26"/>
      <c r="AF184" s="26"/>
      <c r="AG184" s="26"/>
      <c r="AH184" s="26"/>
      <c r="AI184" s="26"/>
      <c r="AJ184" s="26"/>
      <c r="AK184" s="26"/>
      <c r="AL184" s="26"/>
      <c r="AM184" s="27"/>
      <c r="AN184" s="26"/>
      <c r="AO184" s="27"/>
      <c r="AP184" s="8"/>
      <c r="AQ184" s="8"/>
      <c r="AR184" s="8"/>
      <c r="AS184" s="8"/>
      <c r="AT184" s="8"/>
    </row>
    <row r="185" ht="15.75" customHeight="1">
      <c r="A185" s="23" t="s">
        <v>223</v>
      </c>
      <c r="B185" s="8">
        <f t="shared" si="1"/>
        <v>1.5</v>
      </c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  <c r="AC185" s="8"/>
      <c r="AD185" s="8"/>
      <c r="AE185" s="26"/>
      <c r="AF185" s="26"/>
      <c r="AG185" s="26"/>
      <c r="AH185" s="26"/>
      <c r="AI185" s="26"/>
      <c r="AJ185" s="26"/>
      <c r="AK185" s="26"/>
      <c r="AL185" s="26"/>
      <c r="AM185" s="27">
        <v>1.5</v>
      </c>
      <c r="AN185" s="26"/>
      <c r="AO185" s="26"/>
      <c r="AP185" s="8"/>
      <c r="AQ185" s="8"/>
      <c r="AR185" s="8"/>
      <c r="AS185" s="8"/>
      <c r="AT185" s="8"/>
    </row>
    <row r="186" ht="15.75" customHeight="1">
      <c r="A186" s="23" t="s">
        <v>224</v>
      </c>
      <c r="B186" s="8">
        <f t="shared" si="1"/>
        <v>0</v>
      </c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  <c r="AC186" s="8"/>
      <c r="AD186" s="8"/>
      <c r="AE186" s="26"/>
      <c r="AF186" s="26"/>
      <c r="AG186" s="26"/>
      <c r="AH186" s="26"/>
      <c r="AI186" s="26"/>
      <c r="AJ186" s="26"/>
      <c r="AK186" s="26"/>
      <c r="AL186" s="26"/>
      <c r="AM186" s="26"/>
      <c r="AN186" s="27"/>
      <c r="AO186" s="26"/>
      <c r="AP186" s="8"/>
      <c r="AQ186" s="8"/>
      <c r="AR186" s="8"/>
      <c r="AS186" s="8"/>
      <c r="AT186" s="8"/>
    </row>
    <row r="187" ht="15.75" customHeight="1">
      <c r="A187" s="23" t="s">
        <v>225</v>
      </c>
      <c r="B187" s="8">
        <f t="shared" si="1"/>
        <v>0</v>
      </c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8"/>
      <c r="AD187" s="8"/>
      <c r="AE187" s="26"/>
      <c r="AF187" s="26"/>
      <c r="AG187" s="26"/>
      <c r="AH187" s="26"/>
      <c r="AI187" s="26"/>
      <c r="AJ187" s="26"/>
      <c r="AK187" s="26"/>
      <c r="AL187" s="26"/>
      <c r="AM187" s="26"/>
      <c r="AN187" s="27"/>
      <c r="AO187" s="26"/>
      <c r="AP187" s="8"/>
      <c r="AQ187" s="8"/>
      <c r="AR187" s="8"/>
      <c r="AS187" s="8"/>
      <c r="AT187" s="8"/>
    </row>
    <row r="188" ht="15.75" customHeight="1">
      <c r="A188" s="23" t="s">
        <v>226</v>
      </c>
      <c r="B188" s="8">
        <f t="shared" si="1"/>
        <v>1.25</v>
      </c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  <c r="AD188" s="8"/>
      <c r="AE188" s="26"/>
      <c r="AF188" s="26"/>
      <c r="AG188" s="26"/>
      <c r="AH188" s="26"/>
      <c r="AI188" s="26"/>
      <c r="AJ188" s="26"/>
      <c r="AK188" s="26"/>
      <c r="AL188" s="26"/>
      <c r="AM188" s="26"/>
      <c r="AN188" s="27">
        <v>1.25</v>
      </c>
      <c r="AO188" s="26"/>
      <c r="AP188" s="8"/>
      <c r="AQ188" s="8"/>
      <c r="AR188" s="8"/>
      <c r="AS188" s="8"/>
      <c r="AT188" s="8"/>
    </row>
    <row r="189" ht="15.75" customHeight="1">
      <c r="A189" s="23" t="s">
        <v>227</v>
      </c>
      <c r="B189" s="8">
        <f t="shared" si="1"/>
        <v>1.25</v>
      </c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  <c r="AC189" s="8"/>
      <c r="AD189" s="8"/>
      <c r="AE189" s="26"/>
      <c r="AF189" s="26"/>
      <c r="AG189" s="26"/>
      <c r="AH189" s="26"/>
      <c r="AI189" s="26"/>
      <c r="AJ189" s="26"/>
      <c r="AK189" s="26"/>
      <c r="AL189" s="26"/>
      <c r="AM189" s="26"/>
      <c r="AN189" s="27">
        <v>1.25</v>
      </c>
      <c r="AO189" s="26"/>
      <c r="AP189" s="8"/>
      <c r="AQ189" s="8"/>
      <c r="AR189" s="8"/>
      <c r="AS189" s="8"/>
      <c r="AT189" s="8"/>
    </row>
    <row r="190" ht="15.75" customHeight="1">
      <c r="A190" s="23" t="s">
        <v>228</v>
      </c>
      <c r="B190" s="8">
        <f t="shared" si="1"/>
        <v>1.25</v>
      </c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  <c r="AC190" s="8"/>
      <c r="AD190" s="8"/>
      <c r="AE190" s="26"/>
      <c r="AF190" s="26"/>
      <c r="AG190" s="26"/>
      <c r="AH190" s="26"/>
      <c r="AI190" s="26"/>
      <c r="AJ190" s="26"/>
      <c r="AK190" s="26"/>
      <c r="AL190" s="26"/>
      <c r="AM190" s="26"/>
      <c r="AN190" s="27">
        <v>1.25</v>
      </c>
      <c r="AO190" s="26"/>
      <c r="AP190" s="8"/>
      <c r="AQ190" s="8"/>
      <c r="AR190" s="8"/>
      <c r="AS190" s="8"/>
      <c r="AT190" s="8"/>
    </row>
    <row r="191" ht="15.75" customHeight="1">
      <c r="A191" s="23" t="s">
        <v>229</v>
      </c>
      <c r="B191" s="8">
        <f t="shared" si="1"/>
        <v>1.25</v>
      </c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  <c r="AC191" s="8"/>
      <c r="AD191" s="8"/>
      <c r="AE191" s="26"/>
      <c r="AF191" s="26"/>
      <c r="AG191" s="26"/>
      <c r="AH191" s="26"/>
      <c r="AI191" s="26"/>
      <c r="AJ191" s="26"/>
      <c r="AK191" s="26"/>
      <c r="AL191" s="26"/>
      <c r="AM191" s="26"/>
      <c r="AN191" s="27">
        <v>1.25</v>
      </c>
      <c r="AO191" s="26"/>
      <c r="AP191" s="8"/>
      <c r="AQ191" s="8"/>
      <c r="AR191" s="8"/>
      <c r="AS191" s="8"/>
      <c r="AT191" s="8"/>
    </row>
    <row r="192" ht="15.75" customHeight="1">
      <c r="A192" s="23" t="s">
        <v>60</v>
      </c>
      <c r="B192" s="8">
        <f t="shared" si="1"/>
        <v>0</v>
      </c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8"/>
      <c r="AD192" s="8"/>
      <c r="AE192" s="26"/>
      <c r="AF192" s="26"/>
      <c r="AG192" s="26"/>
      <c r="AH192" s="26"/>
      <c r="AI192" s="26"/>
      <c r="AJ192" s="26"/>
      <c r="AK192" s="26"/>
      <c r="AL192" s="26"/>
      <c r="AM192" s="26"/>
      <c r="AN192" s="26"/>
      <c r="AO192" s="27"/>
      <c r="AP192" s="8"/>
      <c r="AQ192" s="8"/>
      <c r="AR192" s="8"/>
      <c r="AS192" s="8"/>
      <c r="AT192" s="8"/>
    </row>
    <row r="193" ht="15.75" customHeight="1">
      <c r="A193" s="23" t="s">
        <v>230</v>
      </c>
      <c r="B193" s="8">
        <f t="shared" si="1"/>
        <v>0</v>
      </c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  <c r="AD193" s="8"/>
      <c r="AE193" s="26"/>
      <c r="AF193" s="26"/>
      <c r="AG193" s="26"/>
      <c r="AH193" s="26"/>
      <c r="AI193" s="26"/>
      <c r="AJ193" s="26"/>
      <c r="AK193" s="26"/>
      <c r="AL193" s="26"/>
      <c r="AM193" s="26"/>
      <c r="AN193" s="26"/>
      <c r="AO193" s="27"/>
      <c r="AP193" s="8"/>
      <c r="AQ193" s="8"/>
      <c r="AR193" s="8"/>
      <c r="AS193" s="8"/>
      <c r="AT193" s="8"/>
    </row>
    <row r="194" ht="15.75" customHeight="1">
      <c r="A194" s="23" t="s">
        <v>231</v>
      </c>
      <c r="B194" s="8">
        <f t="shared" si="1"/>
        <v>0</v>
      </c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  <c r="AD194" s="8"/>
      <c r="AE194" s="26"/>
      <c r="AF194" s="26"/>
      <c r="AG194" s="26"/>
      <c r="AH194" s="26"/>
      <c r="AI194" s="26"/>
      <c r="AJ194" s="26"/>
      <c r="AK194" s="26"/>
      <c r="AL194" s="26"/>
      <c r="AM194" s="26"/>
      <c r="AN194" s="26"/>
      <c r="AO194" s="27"/>
      <c r="AP194" s="8"/>
      <c r="AQ194" s="8"/>
      <c r="AR194" s="8"/>
      <c r="AS194" s="8"/>
      <c r="AT194" s="8"/>
    </row>
    <row r="195" ht="15.75" customHeight="1">
      <c r="A195" s="23" t="s">
        <v>232</v>
      </c>
      <c r="B195" s="8">
        <f t="shared" si="1"/>
        <v>0</v>
      </c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  <c r="AC195" s="8"/>
      <c r="AD195" s="8"/>
      <c r="AE195" s="26"/>
      <c r="AF195" s="26"/>
      <c r="AG195" s="26"/>
      <c r="AH195" s="26"/>
      <c r="AI195" s="26"/>
      <c r="AJ195" s="26"/>
      <c r="AK195" s="26"/>
      <c r="AL195" s="26"/>
      <c r="AM195" s="26"/>
      <c r="AN195" s="26"/>
      <c r="AO195" s="27"/>
      <c r="AP195" s="8"/>
      <c r="AQ195" s="8"/>
      <c r="AR195" s="8"/>
      <c r="AS195" s="8"/>
      <c r="AT195" s="8"/>
    </row>
    <row r="196" ht="15.75" customHeight="1">
      <c r="A196" s="23" t="s">
        <v>233</v>
      </c>
      <c r="B196" s="8">
        <f t="shared" si="1"/>
        <v>0</v>
      </c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  <c r="AC196" s="8"/>
      <c r="AD196" s="8"/>
      <c r="AE196" s="26"/>
      <c r="AF196" s="26"/>
      <c r="AG196" s="26"/>
      <c r="AH196" s="26"/>
      <c r="AI196" s="26"/>
      <c r="AJ196" s="26"/>
      <c r="AK196" s="26"/>
      <c r="AL196" s="26"/>
      <c r="AM196" s="26"/>
      <c r="AN196" s="26"/>
      <c r="AO196" s="27"/>
      <c r="AP196" s="8"/>
      <c r="AQ196" s="8"/>
      <c r="AR196" s="8"/>
      <c r="AS196" s="8"/>
      <c r="AT196" s="8"/>
    </row>
    <row r="197" ht="15.75" customHeight="1">
      <c r="A197" s="23" t="s">
        <v>234</v>
      </c>
      <c r="B197" s="8">
        <f t="shared" si="1"/>
        <v>2</v>
      </c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  <c r="AD197" s="8"/>
      <c r="AE197" s="26"/>
      <c r="AF197" s="26"/>
      <c r="AG197" s="26"/>
      <c r="AH197" s="26"/>
      <c r="AI197" s="26"/>
      <c r="AJ197" s="26"/>
      <c r="AK197" s="26"/>
      <c r="AL197" s="26"/>
      <c r="AM197" s="26"/>
      <c r="AN197" s="26"/>
      <c r="AO197" s="27">
        <v>2.0</v>
      </c>
      <c r="AP197" s="8"/>
      <c r="AQ197" s="8"/>
      <c r="AR197" s="8"/>
      <c r="AS197" s="8"/>
      <c r="AT197" s="8"/>
    </row>
    <row r="198" ht="15.75" customHeight="1">
      <c r="A198" s="22"/>
      <c r="B198" s="8">
        <f t="shared" si="1"/>
        <v>0</v>
      </c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  <c r="AC198" s="8"/>
      <c r="AD198" s="8"/>
      <c r="AE198" s="26"/>
      <c r="AF198" s="26"/>
      <c r="AG198" s="26"/>
      <c r="AH198" s="26"/>
      <c r="AI198" s="26"/>
      <c r="AJ198" s="26"/>
      <c r="AK198" s="26"/>
      <c r="AL198" s="26"/>
      <c r="AM198" s="26"/>
      <c r="AN198" s="26"/>
      <c r="AO198" s="26"/>
      <c r="AP198" s="8"/>
      <c r="AQ198" s="8"/>
      <c r="AR198" s="8"/>
      <c r="AS198" s="8"/>
      <c r="AT198" s="8"/>
    </row>
    <row r="199" ht="15.75" customHeight="1">
      <c r="A199" s="22"/>
      <c r="B199" s="8">
        <f t="shared" si="1"/>
        <v>0</v>
      </c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  <c r="AC199" s="8"/>
      <c r="AD199" s="8"/>
      <c r="AE199" s="26"/>
      <c r="AF199" s="26"/>
      <c r="AG199" s="26"/>
      <c r="AH199" s="26"/>
      <c r="AI199" s="26"/>
      <c r="AJ199" s="26"/>
      <c r="AK199" s="26"/>
      <c r="AL199" s="26"/>
      <c r="AM199" s="26"/>
      <c r="AN199" s="26"/>
      <c r="AO199" s="26"/>
      <c r="AP199" s="8"/>
      <c r="AQ199" s="8"/>
      <c r="AR199" s="8"/>
      <c r="AS199" s="8"/>
      <c r="AT199" s="8"/>
    </row>
    <row r="200" ht="15.75" customHeight="1">
      <c r="A200" s="22"/>
      <c r="B200" s="8">
        <f t="shared" si="1"/>
        <v>0</v>
      </c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  <c r="AD200" s="8"/>
      <c r="AE200" s="26"/>
      <c r="AF200" s="26"/>
      <c r="AG200" s="26"/>
      <c r="AH200" s="26"/>
      <c r="AI200" s="26"/>
      <c r="AJ200" s="26"/>
      <c r="AK200" s="26"/>
      <c r="AL200" s="26"/>
      <c r="AM200" s="26"/>
      <c r="AN200" s="26"/>
      <c r="AO200" s="26"/>
      <c r="AP200" s="8"/>
      <c r="AQ200" s="8"/>
      <c r="AR200" s="8"/>
      <c r="AS200" s="8"/>
      <c r="AT200" s="8"/>
    </row>
    <row r="201" ht="15.75" customHeight="1">
      <c r="AE201" s="29"/>
      <c r="AF201" s="29"/>
      <c r="AG201" s="29"/>
      <c r="AH201" s="29"/>
      <c r="AI201" s="29"/>
      <c r="AJ201" s="29"/>
      <c r="AK201" s="29"/>
      <c r="AL201" s="29"/>
      <c r="AM201" s="29"/>
      <c r="AN201" s="29"/>
      <c r="AO201" s="29"/>
    </row>
    <row r="202" ht="15.75" customHeight="1">
      <c r="AE202" s="29"/>
      <c r="AF202" s="29"/>
      <c r="AG202" s="29"/>
      <c r="AH202" s="29"/>
      <c r="AI202" s="29"/>
      <c r="AJ202" s="29"/>
      <c r="AK202" s="29"/>
      <c r="AL202" s="29"/>
      <c r="AM202" s="29"/>
      <c r="AN202" s="29"/>
      <c r="AO202" s="29"/>
    </row>
    <row r="203" ht="15.75" customHeight="1">
      <c r="AE203" s="29"/>
      <c r="AF203" s="29"/>
      <c r="AG203" s="29"/>
      <c r="AH203" s="29"/>
      <c r="AI203" s="29"/>
      <c r="AJ203" s="29"/>
      <c r="AK203" s="29"/>
      <c r="AL203" s="29"/>
      <c r="AM203" s="29"/>
      <c r="AN203" s="29"/>
      <c r="AO203" s="29"/>
    </row>
    <row r="204" ht="15.75" customHeight="1">
      <c r="AE204" s="29"/>
      <c r="AF204" s="29"/>
      <c r="AG204" s="29"/>
      <c r="AH204" s="29"/>
      <c r="AI204" s="29"/>
      <c r="AJ204" s="29"/>
      <c r="AK204" s="29"/>
      <c r="AL204" s="29"/>
      <c r="AM204" s="29"/>
      <c r="AN204" s="29"/>
      <c r="AO204" s="29"/>
    </row>
    <row r="205" ht="15.75" customHeight="1">
      <c r="AE205" s="29"/>
      <c r="AF205" s="29"/>
      <c r="AG205" s="29"/>
      <c r="AH205" s="29"/>
      <c r="AI205" s="29"/>
      <c r="AJ205" s="29"/>
      <c r="AK205" s="29"/>
      <c r="AL205" s="29"/>
      <c r="AM205" s="29"/>
      <c r="AN205" s="29"/>
      <c r="AO205" s="29"/>
    </row>
    <row r="206" ht="15.75" customHeight="1">
      <c r="AE206" s="29"/>
      <c r="AF206" s="29"/>
      <c r="AG206" s="29"/>
      <c r="AH206" s="29"/>
      <c r="AI206" s="29"/>
      <c r="AJ206" s="29"/>
      <c r="AK206" s="29"/>
      <c r="AL206" s="29"/>
      <c r="AM206" s="29"/>
      <c r="AN206" s="29"/>
      <c r="AO206" s="29"/>
    </row>
    <row r="207" ht="15.75" customHeight="1">
      <c r="AE207" s="29"/>
      <c r="AF207" s="29"/>
      <c r="AG207" s="29"/>
      <c r="AH207" s="29"/>
      <c r="AI207" s="29"/>
      <c r="AJ207" s="29"/>
      <c r="AK207" s="29"/>
      <c r="AL207" s="29"/>
      <c r="AM207" s="29"/>
      <c r="AN207" s="29"/>
      <c r="AO207" s="29"/>
    </row>
    <row r="208" ht="15.75" customHeight="1">
      <c r="AE208" s="29"/>
      <c r="AF208" s="29"/>
      <c r="AG208" s="29"/>
      <c r="AH208" s="29"/>
      <c r="AI208" s="29"/>
      <c r="AJ208" s="29"/>
      <c r="AK208" s="29"/>
      <c r="AL208" s="29"/>
      <c r="AM208" s="29"/>
      <c r="AN208" s="29"/>
      <c r="AO208" s="29"/>
    </row>
    <row r="209" ht="15.75" customHeight="1">
      <c r="AE209" s="29"/>
      <c r="AF209" s="29"/>
      <c r="AG209" s="29"/>
      <c r="AH209" s="29"/>
      <c r="AI209" s="29"/>
      <c r="AJ209" s="29"/>
      <c r="AK209" s="29"/>
      <c r="AL209" s="29"/>
      <c r="AM209" s="29"/>
      <c r="AN209" s="29"/>
      <c r="AO209" s="29"/>
    </row>
    <row r="210" ht="15.75" customHeight="1">
      <c r="AE210" s="29"/>
      <c r="AF210" s="29"/>
      <c r="AG210" s="29"/>
      <c r="AH210" s="29"/>
      <c r="AI210" s="29"/>
      <c r="AJ210" s="29"/>
      <c r="AK210" s="29"/>
      <c r="AL210" s="29"/>
      <c r="AM210" s="29"/>
      <c r="AN210" s="29"/>
      <c r="AO210" s="29"/>
    </row>
    <row r="211" ht="15.75" customHeight="1">
      <c r="AE211" s="29"/>
      <c r="AF211" s="29"/>
      <c r="AG211" s="29"/>
      <c r="AH211" s="29"/>
      <c r="AI211" s="29"/>
      <c r="AJ211" s="29"/>
      <c r="AK211" s="29"/>
      <c r="AL211" s="29"/>
      <c r="AM211" s="29"/>
      <c r="AN211" s="29"/>
      <c r="AO211" s="29"/>
    </row>
    <row r="212" ht="15.75" customHeight="1">
      <c r="AE212" s="29"/>
      <c r="AF212" s="29"/>
      <c r="AG212" s="29"/>
      <c r="AH212" s="29"/>
      <c r="AI212" s="29"/>
      <c r="AJ212" s="29"/>
      <c r="AK212" s="29"/>
      <c r="AL212" s="29"/>
      <c r="AM212" s="29"/>
      <c r="AN212" s="29"/>
      <c r="AO212" s="29"/>
    </row>
    <row r="213" ht="15.75" customHeight="1">
      <c r="AE213" s="29"/>
      <c r="AF213" s="29"/>
      <c r="AG213" s="29"/>
      <c r="AH213" s="29"/>
      <c r="AI213" s="29"/>
      <c r="AJ213" s="29"/>
      <c r="AK213" s="29"/>
      <c r="AL213" s="29"/>
      <c r="AM213" s="29"/>
      <c r="AN213" s="29"/>
      <c r="AO213" s="29"/>
    </row>
    <row r="214" ht="15.75" customHeight="1">
      <c r="AE214" s="29"/>
      <c r="AF214" s="29"/>
      <c r="AG214" s="29"/>
      <c r="AH214" s="29"/>
      <c r="AI214" s="29"/>
      <c r="AJ214" s="29"/>
      <c r="AK214" s="29"/>
      <c r="AL214" s="29"/>
      <c r="AM214" s="29"/>
      <c r="AN214" s="29"/>
      <c r="AO214" s="29"/>
    </row>
    <row r="215" ht="15.75" customHeight="1">
      <c r="AE215" s="29"/>
      <c r="AF215" s="29"/>
      <c r="AG215" s="29"/>
      <c r="AH215" s="29"/>
      <c r="AI215" s="29"/>
      <c r="AJ215" s="29"/>
      <c r="AK215" s="29"/>
      <c r="AL215" s="29"/>
      <c r="AM215" s="29"/>
      <c r="AN215" s="29"/>
      <c r="AO215" s="29"/>
    </row>
    <row r="216" ht="15.75" customHeight="1">
      <c r="AE216" s="29"/>
      <c r="AF216" s="29"/>
      <c r="AG216" s="29"/>
      <c r="AH216" s="29"/>
      <c r="AI216" s="29"/>
      <c r="AJ216" s="29"/>
      <c r="AK216" s="29"/>
      <c r="AL216" s="29"/>
      <c r="AM216" s="29"/>
      <c r="AN216" s="29"/>
      <c r="AO216" s="29"/>
    </row>
    <row r="217" ht="15.75" customHeight="1">
      <c r="AE217" s="29"/>
      <c r="AF217" s="29"/>
      <c r="AG217" s="29"/>
      <c r="AH217" s="29"/>
      <c r="AI217" s="29"/>
      <c r="AJ217" s="29"/>
      <c r="AK217" s="29"/>
      <c r="AL217" s="29"/>
      <c r="AM217" s="29"/>
      <c r="AN217" s="29"/>
      <c r="AO217" s="29"/>
    </row>
    <row r="218" ht="15.75" customHeight="1">
      <c r="AE218" s="29"/>
      <c r="AF218" s="29"/>
      <c r="AG218" s="29"/>
      <c r="AH218" s="29"/>
      <c r="AI218" s="29"/>
      <c r="AJ218" s="29"/>
      <c r="AK218" s="29"/>
      <c r="AL218" s="29"/>
      <c r="AM218" s="29"/>
      <c r="AN218" s="29"/>
      <c r="AO218" s="29"/>
    </row>
    <row r="219" ht="15.75" customHeight="1">
      <c r="AE219" s="29"/>
      <c r="AF219" s="29"/>
      <c r="AG219" s="29"/>
      <c r="AH219" s="29"/>
      <c r="AI219" s="29"/>
      <c r="AJ219" s="29"/>
      <c r="AK219" s="29"/>
      <c r="AL219" s="29"/>
      <c r="AM219" s="29"/>
      <c r="AN219" s="29"/>
      <c r="AO219" s="29"/>
    </row>
    <row r="220" ht="15.75" customHeight="1">
      <c r="AE220" s="29"/>
      <c r="AF220" s="29"/>
      <c r="AG220" s="29"/>
      <c r="AH220" s="29"/>
      <c r="AI220" s="29"/>
      <c r="AJ220" s="29"/>
      <c r="AK220" s="29"/>
      <c r="AL220" s="29"/>
      <c r="AM220" s="29"/>
      <c r="AN220" s="29"/>
      <c r="AO220" s="29"/>
    </row>
    <row r="221" ht="15.75" customHeight="1">
      <c r="AE221" s="29"/>
      <c r="AF221" s="29"/>
      <c r="AG221" s="29"/>
      <c r="AH221" s="29"/>
      <c r="AI221" s="29"/>
      <c r="AJ221" s="29"/>
      <c r="AK221" s="29"/>
      <c r="AL221" s="29"/>
      <c r="AM221" s="29"/>
      <c r="AN221" s="29"/>
      <c r="AO221" s="29"/>
    </row>
    <row r="222" ht="15.75" customHeight="1">
      <c r="AE222" s="29"/>
      <c r="AF222" s="29"/>
      <c r="AG222" s="29"/>
      <c r="AH222" s="29"/>
      <c r="AI222" s="29"/>
      <c r="AJ222" s="29"/>
      <c r="AK222" s="29"/>
      <c r="AL222" s="29"/>
      <c r="AM222" s="29"/>
      <c r="AN222" s="29"/>
      <c r="AO222" s="29"/>
    </row>
    <row r="223" ht="15.75" customHeight="1">
      <c r="AE223" s="29"/>
      <c r="AF223" s="29"/>
      <c r="AG223" s="29"/>
      <c r="AH223" s="29"/>
      <c r="AI223" s="29"/>
      <c r="AJ223" s="29"/>
      <c r="AK223" s="29"/>
      <c r="AL223" s="29"/>
      <c r="AM223" s="29"/>
      <c r="AN223" s="29"/>
      <c r="AO223" s="29"/>
    </row>
    <row r="224" ht="15.75" customHeight="1">
      <c r="AE224" s="29"/>
      <c r="AF224" s="29"/>
      <c r="AG224" s="29"/>
      <c r="AH224" s="29"/>
      <c r="AI224" s="29"/>
      <c r="AJ224" s="29"/>
      <c r="AK224" s="29"/>
      <c r="AL224" s="29"/>
      <c r="AM224" s="29"/>
      <c r="AN224" s="29"/>
      <c r="AO224" s="29"/>
    </row>
    <row r="225" ht="15.75" customHeight="1">
      <c r="AE225" s="29"/>
      <c r="AF225" s="29"/>
      <c r="AG225" s="29"/>
      <c r="AH225" s="29"/>
      <c r="AI225" s="29"/>
      <c r="AJ225" s="29"/>
      <c r="AK225" s="29"/>
      <c r="AL225" s="29"/>
      <c r="AM225" s="29"/>
      <c r="AN225" s="29"/>
      <c r="AO225" s="29"/>
    </row>
    <row r="226" ht="15.75" customHeight="1">
      <c r="AE226" s="29"/>
      <c r="AF226" s="29"/>
      <c r="AG226" s="29"/>
      <c r="AH226" s="29"/>
      <c r="AI226" s="29"/>
      <c r="AJ226" s="29"/>
      <c r="AK226" s="29"/>
      <c r="AL226" s="29"/>
      <c r="AM226" s="29"/>
      <c r="AN226" s="29"/>
      <c r="AO226" s="29"/>
    </row>
    <row r="227" ht="15.75" customHeight="1">
      <c r="AE227" s="29"/>
      <c r="AF227" s="29"/>
      <c r="AG227" s="29"/>
      <c r="AH227" s="29"/>
      <c r="AI227" s="29"/>
      <c r="AJ227" s="29"/>
      <c r="AK227" s="29"/>
      <c r="AL227" s="29"/>
      <c r="AM227" s="29"/>
      <c r="AN227" s="29"/>
      <c r="AO227" s="29"/>
    </row>
    <row r="228" ht="15.75" customHeight="1">
      <c r="AE228" s="29"/>
      <c r="AF228" s="29"/>
      <c r="AG228" s="29"/>
      <c r="AH228" s="29"/>
      <c r="AI228" s="29"/>
      <c r="AJ228" s="29"/>
      <c r="AK228" s="29"/>
      <c r="AL228" s="29"/>
      <c r="AM228" s="29"/>
      <c r="AN228" s="29"/>
      <c r="AO228" s="29"/>
    </row>
    <row r="229" ht="15.75" customHeight="1">
      <c r="AE229" s="29"/>
      <c r="AF229" s="29"/>
      <c r="AG229" s="29"/>
      <c r="AH229" s="29"/>
      <c r="AI229" s="29"/>
      <c r="AJ229" s="29"/>
      <c r="AK229" s="29"/>
      <c r="AL229" s="29"/>
      <c r="AM229" s="29"/>
      <c r="AN229" s="29"/>
      <c r="AO229" s="29"/>
    </row>
    <row r="230" ht="15.75" customHeight="1">
      <c r="AE230" s="29"/>
      <c r="AF230" s="29"/>
      <c r="AG230" s="29"/>
      <c r="AH230" s="29"/>
      <c r="AI230" s="29"/>
      <c r="AJ230" s="29"/>
      <c r="AK230" s="29"/>
      <c r="AL230" s="29"/>
      <c r="AM230" s="29"/>
      <c r="AN230" s="29"/>
      <c r="AO230" s="29"/>
    </row>
    <row r="231" ht="15.75" customHeight="1">
      <c r="AE231" s="29"/>
      <c r="AF231" s="29"/>
      <c r="AG231" s="29"/>
      <c r="AH231" s="29"/>
      <c r="AI231" s="29"/>
      <c r="AJ231" s="29"/>
      <c r="AK231" s="29"/>
      <c r="AL231" s="29"/>
      <c r="AM231" s="29"/>
      <c r="AN231" s="29"/>
      <c r="AO231" s="29"/>
    </row>
    <row r="232" ht="15.75" customHeight="1">
      <c r="AE232" s="29"/>
      <c r="AF232" s="29"/>
      <c r="AG232" s="29"/>
      <c r="AH232" s="29"/>
      <c r="AI232" s="29"/>
      <c r="AJ232" s="29"/>
      <c r="AK232" s="29"/>
      <c r="AL232" s="29"/>
      <c r="AM232" s="29"/>
      <c r="AN232" s="29"/>
      <c r="AO232" s="29"/>
    </row>
    <row r="233" ht="15.75" customHeight="1">
      <c r="AE233" s="29"/>
      <c r="AF233" s="29"/>
      <c r="AG233" s="29"/>
      <c r="AH233" s="29"/>
      <c r="AI233" s="29"/>
      <c r="AJ233" s="29"/>
      <c r="AK233" s="29"/>
      <c r="AL233" s="29"/>
      <c r="AM233" s="29"/>
      <c r="AN233" s="29"/>
      <c r="AO233" s="29"/>
    </row>
    <row r="234" ht="15.75" customHeight="1">
      <c r="AE234" s="29"/>
      <c r="AF234" s="29"/>
      <c r="AG234" s="29"/>
      <c r="AH234" s="29"/>
      <c r="AI234" s="29"/>
      <c r="AJ234" s="29"/>
      <c r="AK234" s="29"/>
      <c r="AL234" s="29"/>
      <c r="AM234" s="29"/>
      <c r="AN234" s="29"/>
      <c r="AO234" s="29"/>
    </row>
    <row r="235" ht="15.75" customHeight="1">
      <c r="AE235" s="29"/>
      <c r="AF235" s="29"/>
      <c r="AG235" s="29"/>
      <c r="AH235" s="29"/>
      <c r="AI235" s="29"/>
      <c r="AJ235" s="29"/>
      <c r="AK235" s="29"/>
      <c r="AL235" s="29"/>
      <c r="AM235" s="29"/>
      <c r="AN235" s="29"/>
      <c r="AO235" s="29"/>
    </row>
    <row r="236" ht="15.75" customHeight="1">
      <c r="AE236" s="29"/>
      <c r="AF236" s="29"/>
      <c r="AG236" s="29"/>
      <c r="AH236" s="29"/>
      <c r="AI236" s="29"/>
      <c r="AJ236" s="29"/>
      <c r="AK236" s="29"/>
      <c r="AL236" s="29"/>
      <c r="AM236" s="29"/>
      <c r="AN236" s="29"/>
      <c r="AO236" s="29"/>
    </row>
    <row r="237" ht="15.75" customHeight="1">
      <c r="AE237" s="29"/>
      <c r="AF237" s="29"/>
      <c r="AG237" s="29"/>
      <c r="AH237" s="29"/>
      <c r="AI237" s="29"/>
      <c r="AJ237" s="29"/>
      <c r="AK237" s="29"/>
      <c r="AL237" s="29"/>
      <c r="AM237" s="29"/>
      <c r="AN237" s="29"/>
      <c r="AO237" s="29"/>
    </row>
    <row r="238" ht="15.75" customHeight="1">
      <c r="AE238" s="29"/>
      <c r="AF238" s="29"/>
      <c r="AG238" s="29"/>
      <c r="AH238" s="29"/>
      <c r="AI238" s="29"/>
      <c r="AJ238" s="29"/>
      <c r="AK238" s="29"/>
      <c r="AL238" s="29"/>
      <c r="AM238" s="29"/>
      <c r="AN238" s="29"/>
      <c r="AO238" s="29"/>
    </row>
    <row r="239" ht="15.75" customHeight="1">
      <c r="AE239" s="29"/>
      <c r="AF239" s="29"/>
      <c r="AG239" s="29"/>
      <c r="AH239" s="29"/>
      <c r="AI239" s="29"/>
      <c r="AJ239" s="29"/>
      <c r="AK239" s="29"/>
      <c r="AL239" s="29"/>
      <c r="AM239" s="29"/>
      <c r="AN239" s="29"/>
      <c r="AO239" s="29"/>
    </row>
    <row r="240" ht="15.75" customHeight="1">
      <c r="AE240" s="29"/>
      <c r="AF240" s="29"/>
      <c r="AG240" s="29"/>
      <c r="AH240" s="29"/>
      <c r="AI240" s="29"/>
      <c r="AJ240" s="29"/>
      <c r="AK240" s="29"/>
      <c r="AL240" s="29"/>
      <c r="AM240" s="29"/>
      <c r="AN240" s="29"/>
      <c r="AO240" s="29"/>
    </row>
    <row r="241" ht="15.75" customHeight="1">
      <c r="AE241" s="29"/>
      <c r="AF241" s="29"/>
      <c r="AG241" s="29"/>
      <c r="AH241" s="29"/>
      <c r="AI241" s="29"/>
      <c r="AJ241" s="29"/>
      <c r="AK241" s="29"/>
      <c r="AL241" s="29"/>
      <c r="AM241" s="29"/>
      <c r="AN241" s="29"/>
      <c r="AO241" s="29"/>
    </row>
    <row r="242" ht="15.75" customHeight="1">
      <c r="AE242" s="29"/>
      <c r="AF242" s="29"/>
      <c r="AG242" s="29"/>
      <c r="AH242" s="29"/>
      <c r="AI242" s="29"/>
      <c r="AJ242" s="29"/>
      <c r="AK242" s="29"/>
      <c r="AL242" s="29"/>
      <c r="AM242" s="29"/>
      <c r="AN242" s="29"/>
      <c r="AO242" s="29"/>
    </row>
    <row r="243" ht="15.75" customHeight="1">
      <c r="AE243" s="29"/>
      <c r="AF243" s="29"/>
      <c r="AG243" s="29"/>
      <c r="AH243" s="29"/>
      <c r="AI243" s="29"/>
      <c r="AJ243" s="29"/>
      <c r="AK243" s="29"/>
      <c r="AL243" s="29"/>
      <c r="AM243" s="29"/>
      <c r="AN243" s="29"/>
      <c r="AO243" s="29"/>
    </row>
    <row r="244" ht="15.75" customHeight="1">
      <c r="AE244" s="29"/>
      <c r="AF244" s="29"/>
      <c r="AG244" s="29"/>
      <c r="AH244" s="29"/>
      <c r="AI244" s="29"/>
      <c r="AJ244" s="29"/>
      <c r="AK244" s="29"/>
      <c r="AL244" s="29"/>
      <c r="AM244" s="29"/>
      <c r="AN244" s="29"/>
      <c r="AO244" s="29"/>
    </row>
    <row r="245" ht="15.75" customHeight="1">
      <c r="AE245" s="29"/>
      <c r="AF245" s="29"/>
      <c r="AG245" s="29"/>
      <c r="AH245" s="29"/>
      <c r="AI245" s="29"/>
      <c r="AJ245" s="29"/>
      <c r="AK245" s="29"/>
      <c r="AL245" s="29"/>
      <c r="AM245" s="29"/>
      <c r="AN245" s="29"/>
      <c r="AO245" s="29"/>
    </row>
    <row r="246" ht="15.75" customHeight="1">
      <c r="AE246" s="29"/>
      <c r="AF246" s="29"/>
      <c r="AG246" s="29"/>
      <c r="AH246" s="29"/>
      <c r="AI246" s="29"/>
      <c r="AJ246" s="29"/>
      <c r="AK246" s="29"/>
      <c r="AL246" s="29"/>
      <c r="AM246" s="29"/>
      <c r="AN246" s="29"/>
      <c r="AO246" s="29"/>
    </row>
    <row r="247" ht="15.75" customHeight="1">
      <c r="AE247" s="29"/>
      <c r="AF247" s="29"/>
      <c r="AG247" s="29"/>
      <c r="AH247" s="29"/>
      <c r="AI247" s="29"/>
      <c r="AJ247" s="29"/>
      <c r="AK247" s="29"/>
      <c r="AL247" s="29"/>
      <c r="AM247" s="29"/>
      <c r="AN247" s="29"/>
      <c r="AO247" s="29"/>
    </row>
    <row r="248" ht="15.75" customHeight="1">
      <c r="AE248" s="29"/>
      <c r="AF248" s="29"/>
      <c r="AG248" s="29"/>
      <c r="AH248" s="29"/>
      <c r="AI248" s="29"/>
      <c r="AJ248" s="29"/>
      <c r="AK248" s="29"/>
      <c r="AL248" s="29"/>
      <c r="AM248" s="29"/>
      <c r="AN248" s="29"/>
      <c r="AO248" s="29"/>
    </row>
    <row r="249" ht="15.75" customHeight="1">
      <c r="AE249" s="29"/>
      <c r="AF249" s="29"/>
      <c r="AG249" s="29"/>
      <c r="AH249" s="29"/>
      <c r="AI249" s="29"/>
      <c r="AJ249" s="29"/>
      <c r="AK249" s="29"/>
      <c r="AL249" s="29"/>
      <c r="AM249" s="29"/>
      <c r="AN249" s="29"/>
      <c r="AO249" s="29"/>
    </row>
    <row r="250" ht="15.75" customHeight="1">
      <c r="AE250" s="29"/>
      <c r="AF250" s="29"/>
      <c r="AG250" s="29"/>
      <c r="AH250" s="29"/>
      <c r="AI250" s="29"/>
      <c r="AJ250" s="29"/>
      <c r="AK250" s="29"/>
      <c r="AL250" s="29"/>
      <c r="AM250" s="29"/>
      <c r="AN250" s="29"/>
      <c r="AO250" s="29"/>
    </row>
    <row r="251" ht="15.75" customHeight="1">
      <c r="AE251" s="29"/>
      <c r="AF251" s="29"/>
      <c r="AG251" s="29"/>
      <c r="AH251" s="29"/>
      <c r="AI251" s="29"/>
      <c r="AJ251" s="29"/>
      <c r="AK251" s="29"/>
      <c r="AL251" s="29"/>
      <c r="AM251" s="29"/>
      <c r="AN251" s="29"/>
      <c r="AO251" s="29"/>
    </row>
    <row r="252" ht="15.75" customHeight="1">
      <c r="AE252" s="29"/>
      <c r="AF252" s="29"/>
      <c r="AG252" s="29"/>
      <c r="AH252" s="29"/>
      <c r="AI252" s="29"/>
      <c r="AJ252" s="29"/>
      <c r="AK252" s="29"/>
      <c r="AL252" s="29"/>
      <c r="AM252" s="29"/>
      <c r="AN252" s="29"/>
      <c r="AO252" s="29"/>
    </row>
    <row r="253" ht="15.75" customHeight="1">
      <c r="AE253" s="29"/>
      <c r="AF253" s="29"/>
      <c r="AG253" s="29"/>
      <c r="AH253" s="29"/>
      <c r="AI253" s="29"/>
      <c r="AJ253" s="29"/>
      <c r="AK253" s="29"/>
      <c r="AL253" s="29"/>
      <c r="AM253" s="29"/>
      <c r="AN253" s="29"/>
      <c r="AO253" s="29"/>
    </row>
    <row r="254" ht="15.75" customHeight="1">
      <c r="AE254" s="29"/>
      <c r="AF254" s="29"/>
      <c r="AG254" s="29"/>
      <c r="AH254" s="29"/>
      <c r="AI254" s="29"/>
      <c r="AJ254" s="29"/>
      <c r="AK254" s="29"/>
      <c r="AL254" s="29"/>
      <c r="AM254" s="29"/>
      <c r="AN254" s="29"/>
      <c r="AO254" s="29"/>
    </row>
    <row r="255" ht="15.75" customHeight="1">
      <c r="AE255" s="29"/>
      <c r="AF255" s="29"/>
      <c r="AG255" s="29"/>
      <c r="AH255" s="29"/>
      <c r="AI255" s="29"/>
      <c r="AJ255" s="29"/>
      <c r="AK255" s="29"/>
      <c r="AL255" s="29"/>
      <c r="AM255" s="29"/>
      <c r="AN255" s="29"/>
      <c r="AO255" s="29"/>
    </row>
    <row r="256" ht="15.75" customHeight="1">
      <c r="AE256" s="29"/>
      <c r="AF256" s="29"/>
      <c r="AG256" s="29"/>
      <c r="AH256" s="29"/>
      <c r="AI256" s="29"/>
      <c r="AJ256" s="29"/>
      <c r="AK256" s="29"/>
      <c r="AL256" s="29"/>
      <c r="AM256" s="29"/>
      <c r="AN256" s="29"/>
      <c r="AO256" s="29"/>
    </row>
    <row r="257" ht="15.75" customHeight="1">
      <c r="AE257" s="29"/>
      <c r="AF257" s="29"/>
      <c r="AG257" s="29"/>
      <c r="AH257" s="29"/>
      <c r="AI257" s="29"/>
      <c r="AJ257" s="29"/>
      <c r="AK257" s="29"/>
      <c r="AL257" s="29"/>
      <c r="AM257" s="29"/>
      <c r="AN257" s="29"/>
      <c r="AO257" s="29"/>
    </row>
    <row r="258" ht="15.75" customHeight="1">
      <c r="AE258" s="29"/>
      <c r="AF258" s="29"/>
      <c r="AG258" s="29"/>
      <c r="AH258" s="29"/>
      <c r="AI258" s="29"/>
      <c r="AJ258" s="29"/>
      <c r="AK258" s="29"/>
      <c r="AL258" s="29"/>
      <c r="AM258" s="29"/>
      <c r="AN258" s="29"/>
      <c r="AO258" s="29"/>
    </row>
    <row r="259" ht="15.75" customHeight="1">
      <c r="AE259" s="29"/>
      <c r="AF259" s="29"/>
      <c r="AG259" s="29"/>
      <c r="AH259" s="29"/>
      <c r="AI259" s="29"/>
      <c r="AJ259" s="29"/>
      <c r="AK259" s="29"/>
      <c r="AL259" s="29"/>
      <c r="AM259" s="29"/>
      <c r="AN259" s="29"/>
      <c r="AO259" s="29"/>
    </row>
    <row r="260" ht="15.75" customHeight="1">
      <c r="AE260" s="29"/>
      <c r="AF260" s="29"/>
      <c r="AG260" s="29"/>
      <c r="AH260" s="29"/>
      <c r="AI260" s="29"/>
      <c r="AJ260" s="29"/>
      <c r="AK260" s="29"/>
      <c r="AL260" s="29"/>
      <c r="AM260" s="29"/>
      <c r="AN260" s="29"/>
      <c r="AO260" s="29"/>
    </row>
    <row r="261" ht="15.75" customHeight="1">
      <c r="AE261" s="29"/>
      <c r="AF261" s="29"/>
      <c r="AG261" s="29"/>
      <c r="AH261" s="29"/>
      <c r="AI261" s="29"/>
      <c r="AJ261" s="29"/>
      <c r="AK261" s="29"/>
      <c r="AL261" s="29"/>
      <c r="AM261" s="29"/>
      <c r="AN261" s="29"/>
      <c r="AO261" s="29"/>
    </row>
    <row r="262" ht="15.75" customHeight="1">
      <c r="AE262" s="29"/>
      <c r="AF262" s="29"/>
      <c r="AG262" s="29"/>
      <c r="AH262" s="29"/>
      <c r="AI262" s="29"/>
      <c r="AJ262" s="29"/>
      <c r="AK262" s="29"/>
      <c r="AL262" s="29"/>
      <c r="AM262" s="29"/>
      <c r="AN262" s="29"/>
      <c r="AO262" s="29"/>
    </row>
    <row r="263" ht="15.75" customHeight="1">
      <c r="AE263" s="29"/>
      <c r="AF263" s="29"/>
      <c r="AG263" s="29"/>
      <c r="AH263" s="29"/>
      <c r="AI263" s="29"/>
      <c r="AJ263" s="29"/>
      <c r="AK263" s="29"/>
      <c r="AL263" s="29"/>
      <c r="AM263" s="29"/>
      <c r="AN263" s="29"/>
      <c r="AO263" s="29"/>
    </row>
    <row r="264" ht="15.75" customHeight="1">
      <c r="AE264" s="29"/>
      <c r="AF264" s="29"/>
      <c r="AG264" s="29"/>
      <c r="AH264" s="29"/>
      <c r="AI264" s="29"/>
      <c r="AJ264" s="29"/>
      <c r="AK264" s="29"/>
      <c r="AL264" s="29"/>
      <c r="AM264" s="29"/>
      <c r="AN264" s="29"/>
      <c r="AO264" s="29"/>
    </row>
    <row r="265" ht="15.75" customHeight="1">
      <c r="AE265" s="29"/>
      <c r="AF265" s="29"/>
      <c r="AG265" s="29"/>
      <c r="AH265" s="29"/>
      <c r="AI265" s="29"/>
      <c r="AJ265" s="29"/>
      <c r="AK265" s="29"/>
      <c r="AL265" s="29"/>
      <c r="AM265" s="29"/>
      <c r="AN265" s="29"/>
      <c r="AO265" s="29"/>
    </row>
    <row r="266" ht="15.75" customHeight="1">
      <c r="AE266" s="29"/>
      <c r="AF266" s="29"/>
      <c r="AG266" s="29"/>
      <c r="AH266" s="29"/>
      <c r="AI266" s="29"/>
      <c r="AJ266" s="29"/>
      <c r="AK266" s="29"/>
      <c r="AL266" s="29"/>
      <c r="AM266" s="29"/>
      <c r="AN266" s="29"/>
      <c r="AO266" s="29"/>
    </row>
    <row r="267" ht="15.75" customHeight="1">
      <c r="AE267" s="29"/>
      <c r="AF267" s="29"/>
      <c r="AG267" s="29"/>
      <c r="AH267" s="29"/>
      <c r="AI267" s="29"/>
      <c r="AJ267" s="29"/>
      <c r="AK267" s="29"/>
      <c r="AL267" s="29"/>
      <c r="AM267" s="29"/>
      <c r="AN267" s="29"/>
      <c r="AO267" s="29"/>
    </row>
    <row r="268" ht="15.75" customHeight="1">
      <c r="AE268" s="29"/>
      <c r="AF268" s="29"/>
      <c r="AG268" s="29"/>
      <c r="AH268" s="29"/>
      <c r="AI268" s="29"/>
      <c r="AJ268" s="29"/>
      <c r="AK268" s="29"/>
      <c r="AL268" s="29"/>
      <c r="AM268" s="29"/>
      <c r="AN268" s="29"/>
      <c r="AO268" s="29"/>
    </row>
    <row r="269" ht="15.75" customHeight="1">
      <c r="AE269" s="29"/>
      <c r="AF269" s="29"/>
      <c r="AG269" s="29"/>
      <c r="AH269" s="29"/>
      <c r="AI269" s="29"/>
      <c r="AJ269" s="29"/>
      <c r="AK269" s="29"/>
      <c r="AL269" s="29"/>
      <c r="AM269" s="29"/>
      <c r="AN269" s="29"/>
      <c r="AO269" s="29"/>
    </row>
    <row r="270" ht="15.75" customHeight="1">
      <c r="AE270" s="29"/>
      <c r="AF270" s="29"/>
      <c r="AG270" s="29"/>
      <c r="AH270" s="29"/>
      <c r="AI270" s="29"/>
      <c r="AJ270" s="29"/>
      <c r="AK270" s="29"/>
      <c r="AL270" s="29"/>
      <c r="AM270" s="29"/>
      <c r="AN270" s="29"/>
      <c r="AO270" s="29"/>
    </row>
    <row r="271" ht="15.75" customHeight="1">
      <c r="AE271" s="29"/>
      <c r="AF271" s="29"/>
      <c r="AG271" s="29"/>
      <c r="AH271" s="29"/>
      <c r="AI271" s="29"/>
      <c r="AJ271" s="29"/>
      <c r="AK271" s="29"/>
      <c r="AL271" s="29"/>
      <c r="AM271" s="29"/>
      <c r="AN271" s="29"/>
      <c r="AO271" s="29"/>
    </row>
    <row r="272" ht="15.75" customHeight="1">
      <c r="AE272" s="29"/>
      <c r="AF272" s="29"/>
      <c r="AG272" s="29"/>
      <c r="AH272" s="29"/>
      <c r="AI272" s="29"/>
      <c r="AJ272" s="29"/>
      <c r="AK272" s="29"/>
      <c r="AL272" s="29"/>
      <c r="AM272" s="29"/>
      <c r="AN272" s="29"/>
      <c r="AO272" s="29"/>
    </row>
    <row r="273" ht="15.75" customHeight="1">
      <c r="AE273" s="29"/>
      <c r="AF273" s="29"/>
      <c r="AG273" s="29"/>
      <c r="AH273" s="29"/>
      <c r="AI273" s="29"/>
      <c r="AJ273" s="29"/>
      <c r="AK273" s="29"/>
      <c r="AL273" s="29"/>
      <c r="AM273" s="29"/>
      <c r="AN273" s="29"/>
      <c r="AO273" s="29"/>
    </row>
    <row r="274" ht="15.75" customHeight="1">
      <c r="AE274" s="29"/>
      <c r="AF274" s="29"/>
      <c r="AG274" s="29"/>
      <c r="AH274" s="29"/>
      <c r="AI274" s="29"/>
      <c r="AJ274" s="29"/>
      <c r="AK274" s="29"/>
      <c r="AL274" s="29"/>
      <c r="AM274" s="29"/>
      <c r="AN274" s="29"/>
      <c r="AO274" s="29"/>
    </row>
    <row r="275" ht="15.75" customHeight="1">
      <c r="AE275" s="29"/>
      <c r="AF275" s="29"/>
      <c r="AG275" s="29"/>
      <c r="AH275" s="29"/>
      <c r="AI275" s="29"/>
      <c r="AJ275" s="29"/>
      <c r="AK275" s="29"/>
      <c r="AL275" s="29"/>
      <c r="AM275" s="29"/>
      <c r="AN275" s="29"/>
      <c r="AO275" s="29"/>
    </row>
    <row r="276" ht="15.75" customHeight="1">
      <c r="AE276" s="29"/>
      <c r="AF276" s="29"/>
      <c r="AG276" s="29"/>
      <c r="AH276" s="29"/>
      <c r="AI276" s="29"/>
      <c r="AJ276" s="29"/>
      <c r="AK276" s="29"/>
      <c r="AL276" s="29"/>
      <c r="AM276" s="29"/>
      <c r="AN276" s="29"/>
      <c r="AO276" s="29"/>
    </row>
    <row r="277" ht="15.75" customHeight="1">
      <c r="AE277" s="29"/>
      <c r="AF277" s="29"/>
      <c r="AG277" s="29"/>
      <c r="AH277" s="29"/>
      <c r="AI277" s="29"/>
      <c r="AJ277" s="29"/>
      <c r="AK277" s="29"/>
      <c r="AL277" s="29"/>
      <c r="AM277" s="29"/>
      <c r="AN277" s="29"/>
      <c r="AO277" s="29"/>
    </row>
    <row r="278" ht="15.75" customHeight="1">
      <c r="AE278" s="29"/>
      <c r="AF278" s="29"/>
      <c r="AG278" s="29"/>
      <c r="AH278" s="29"/>
      <c r="AI278" s="29"/>
      <c r="AJ278" s="29"/>
      <c r="AK278" s="29"/>
      <c r="AL278" s="29"/>
      <c r="AM278" s="29"/>
      <c r="AN278" s="29"/>
      <c r="AO278" s="29"/>
    </row>
    <row r="279" ht="15.75" customHeight="1">
      <c r="AE279" s="29"/>
      <c r="AF279" s="29"/>
      <c r="AG279" s="29"/>
      <c r="AH279" s="29"/>
      <c r="AI279" s="29"/>
      <c r="AJ279" s="29"/>
      <c r="AK279" s="29"/>
      <c r="AL279" s="29"/>
      <c r="AM279" s="29"/>
      <c r="AN279" s="29"/>
      <c r="AO279" s="29"/>
    </row>
    <row r="280" ht="15.75" customHeight="1">
      <c r="AE280" s="29"/>
      <c r="AF280" s="29"/>
      <c r="AG280" s="29"/>
      <c r="AH280" s="29"/>
      <c r="AI280" s="29"/>
      <c r="AJ280" s="29"/>
      <c r="AK280" s="29"/>
      <c r="AL280" s="29"/>
      <c r="AM280" s="29"/>
      <c r="AN280" s="29"/>
      <c r="AO280" s="29"/>
    </row>
    <row r="281" ht="15.75" customHeight="1">
      <c r="AE281" s="29"/>
      <c r="AF281" s="29"/>
      <c r="AG281" s="29"/>
      <c r="AH281" s="29"/>
      <c r="AI281" s="29"/>
      <c r="AJ281" s="29"/>
      <c r="AK281" s="29"/>
      <c r="AL281" s="29"/>
      <c r="AM281" s="29"/>
      <c r="AN281" s="29"/>
      <c r="AO281" s="29"/>
    </row>
    <row r="282" ht="15.75" customHeight="1">
      <c r="AE282" s="29"/>
      <c r="AF282" s="29"/>
      <c r="AG282" s="29"/>
      <c r="AH282" s="29"/>
      <c r="AI282" s="29"/>
      <c r="AJ282" s="29"/>
      <c r="AK282" s="29"/>
      <c r="AL282" s="29"/>
      <c r="AM282" s="29"/>
      <c r="AN282" s="29"/>
      <c r="AO282" s="29"/>
    </row>
    <row r="283" ht="15.75" customHeight="1">
      <c r="AE283" s="29"/>
      <c r="AF283" s="29"/>
      <c r="AG283" s="29"/>
      <c r="AH283" s="29"/>
      <c r="AI283" s="29"/>
      <c r="AJ283" s="29"/>
      <c r="AK283" s="29"/>
      <c r="AL283" s="29"/>
      <c r="AM283" s="29"/>
      <c r="AN283" s="29"/>
      <c r="AO283" s="29"/>
    </row>
    <row r="284" ht="15.75" customHeight="1">
      <c r="AE284" s="29"/>
      <c r="AF284" s="29"/>
      <c r="AG284" s="29"/>
      <c r="AH284" s="29"/>
      <c r="AI284" s="29"/>
      <c r="AJ284" s="29"/>
      <c r="AK284" s="29"/>
      <c r="AL284" s="29"/>
      <c r="AM284" s="29"/>
      <c r="AN284" s="29"/>
      <c r="AO284" s="29"/>
    </row>
    <row r="285" ht="15.75" customHeight="1">
      <c r="AE285" s="29"/>
      <c r="AF285" s="29"/>
      <c r="AG285" s="29"/>
      <c r="AH285" s="29"/>
      <c r="AI285" s="29"/>
      <c r="AJ285" s="29"/>
      <c r="AK285" s="29"/>
      <c r="AL285" s="29"/>
      <c r="AM285" s="29"/>
      <c r="AN285" s="29"/>
      <c r="AO285" s="29"/>
    </row>
    <row r="286" ht="15.75" customHeight="1">
      <c r="AE286" s="29"/>
      <c r="AF286" s="29"/>
      <c r="AG286" s="29"/>
      <c r="AH286" s="29"/>
      <c r="AI286" s="29"/>
      <c r="AJ286" s="29"/>
      <c r="AK286" s="29"/>
      <c r="AL286" s="29"/>
      <c r="AM286" s="29"/>
      <c r="AN286" s="29"/>
      <c r="AO286" s="29"/>
    </row>
    <row r="287" ht="15.75" customHeight="1">
      <c r="AE287" s="29"/>
      <c r="AF287" s="29"/>
      <c r="AG287" s="29"/>
      <c r="AH287" s="29"/>
      <c r="AI287" s="29"/>
      <c r="AJ287" s="29"/>
      <c r="AK287" s="29"/>
      <c r="AL287" s="29"/>
      <c r="AM287" s="29"/>
      <c r="AN287" s="29"/>
      <c r="AO287" s="29"/>
    </row>
    <row r="288" ht="15.75" customHeight="1">
      <c r="AE288" s="29"/>
      <c r="AF288" s="29"/>
      <c r="AG288" s="29"/>
      <c r="AH288" s="29"/>
      <c r="AI288" s="29"/>
      <c r="AJ288" s="29"/>
      <c r="AK288" s="29"/>
      <c r="AL288" s="29"/>
      <c r="AM288" s="29"/>
      <c r="AN288" s="29"/>
      <c r="AO288" s="29"/>
    </row>
    <row r="289" ht="15.75" customHeight="1">
      <c r="AE289" s="29"/>
      <c r="AF289" s="29"/>
      <c r="AG289" s="29"/>
      <c r="AH289" s="29"/>
      <c r="AI289" s="29"/>
      <c r="AJ289" s="29"/>
      <c r="AK289" s="29"/>
      <c r="AL289" s="29"/>
      <c r="AM289" s="29"/>
      <c r="AN289" s="29"/>
      <c r="AO289" s="29"/>
    </row>
    <row r="290" ht="15.75" customHeight="1">
      <c r="AE290" s="29"/>
      <c r="AF290" s="29"/>
      <c r="AG290" s="29"/>
      <c r="AH290" s="29"/>
      <c r="AI290" s="29"/>
      <c r="AJ290" s="29"/>
      <c r="AK290" s="29"/>
      <c r="AL290" s="29"/>
      <c r="AM290" s="29"/>
      <c r="AN290" s="29"/>
      <c r="AO290" s="29"/>
    </row>
    <row r="291" ht="15.75" customHeight="1">
      <c r="AE291" s="29"/>
      <c r="AF291" s="29"/>
      <c r="AG291" s="29"/>
      <c r="AH291" s="29"/>
      <c r="AI291" s="29"/>
      <c r="AJ291" s="29"/>
      <c r="AK291" s="29"/>
      <c r="AL291" s="29"/>
      <c r="AM291" s="29"/>
      <c r="AN291" s="29"/>
      <c r="AO291" s="29"/>
    </row>
    <row r="292" ht="15.75" customHeight="1">
      <c r="AE292" s="29"/>
      <c r="AF292" s="29"/>
      <c r="AG292" s="29"/>
      <c r="AH292" s="29"/>
      <c r="AI292" s="29"/>
      <c r="AJ292" s="29"/>
      <c r="AK292" s="29"/>
      <c r="AL292" s="29"/>
      <c r="AM292" s="29"/>
      <c r="AN292" s="29"/>
      <c r="AO292" s="29"/>
    </row>
    <row r="293" ht="15.75" customHeight="1">
      <c r="AE293" s="29"/>
      <c r="AF293" s="29"/>
      <c r="AG293" s="29"/>
      <c r="AH293" s="29"/>
      <c r="AI293" s="29"/>
      <c r="AJ293" s="29"/>
      <c r="AK293" s="29"/>
      <c r="AL293" s="29"/>
      <c r="AM293" s="29"/>
      <c r="AN293" s="29"/>
      <c r="AO293" s="29"/>
    </row>
    <row r="294" ht="15.75" customHeight="1">
      <c r="AE294" s="29"/>
      <c r="AF294" s="29"/>
      <c r="AG294" s="29"/>
      <c r="AH294" s="29"/>
      <c r="AI294" s="29"/>
      <c r="AJ294" s="29"/>
      <c r="AK294" s="29"/>
      <c r="AL294" s="29"/>
      <c r="AM294" s="29"/>
      <c r="AN294" s="29"/>
      <c r="AO294" s="29"/>
    </row>
    <row r="295" ht="15.75" customHeight="1">
      <c r="AE295" s="29"/>
      <c r="AF295" s="29"/>
      <c r="AG295" s="29"/>
      <c r="AH295" s="29"/>
      <c r="AI295" s="29"/>
      <c r="AJ295" s="29"/>
      <c r="AK295" s="29"/>
      <c r="AL295" s="29"/>
      <c r="AM295" s="29"/>
      <c r="AN295" s="29"/>
      <c r="AO295" s="29"/>
    </row>
    <row r="296" ht="15.75" customHeight="1">
      <c r="AE296" s="29"/>
      <c r="AF296" s="29"/>
      <c r="AG296" s="29"/>
      <c r="AH296" s="29"/>
      <c r="AI296" s="29"/>
      <c r="AJ296" s="29"/>
      <c r="AK296" s="29"/>
      <c r="AL296" s="29"/>
      <c r="AM296" s="29"/>
      <c r="AN296" s="29"/>
      <c r="AO296" s="29"/>
    </row>
    <row r="297" ht="15.75" customHeight="1">
      <c r="AE297" s="29"/>
      <c r="AF297" s="29"/>
      <c r="AG297" s="29"/>
      <c r="AH297" s="29"/>
      <c r="AI297" s="29"/>
      <c r="AJ297" s="29"/>
      <c r="AK297" s="29"/>
      <c r="AL297" s="29"/>
      <c r="AM297" s="29"/>
      <c r="AN297" s="29"/>
      <c r="AO297" s="29"/>
    </row>
    <row r="298" ht="15.75" customHeight="1">
      <c r="AE298" s="29"/>
      <c r="AF298" s="29"/>
      <c r="AG298" s="29"/>
      <c r="AH298" s="29"/>
      <c r="AI298" s="29"/>
      <c r="AJ298" s="29"/>
      <c r="AK298" s="29"/>
      <c r="AL298" s="29"/>
      <c r="AM298" s="29"/>
      <c r="AN298" s="29"/>
      <c r="AO298" s="29"/>
    </row>
    <row r="299" ht="15.75" customHeight="1">
      <c r="AE299" s="29"/>
      <c r="AF299" s="29"/>
      <c r="AG299" s="29"/>
      <c r="AH299" s="29"/>
      <c r="AI299" s="29"/>
      <c r="AJ299" s="29"/>
      <c r="AK299" s="29"/>
      <c r="AL299" s="29"/>
      <c r="AM299" s="29"/>
      <c r="AN299" s="29"/>
      <c r="AO299" s="29"/>
    </row>
    <row r="300" ht="15.75" customHeight="1">
      <c r="AE300" s="29"/>
      <c r="AF300" s="29"/>
      <c r="AG300" s="29"/>
      <c r="AH300" s="29"/>
      <c r="AI300" s="29"/>
      <c r="AJ300" s="29"/>
      <c r="AK300" s="29"/>
      <c r="AL300" s="29"/>
      <c r="AM300" s="29"/>
      <c r="AN300" s="29"/>
      <c r="AO300" s="29"/>
    </row>
    <row r="301" ht="15.75" customHeight="1">
      <c r="AE301" s="29"/>
      <c r="AF301" s="29"/>
      <c r="AG301" s="29"/>
      <c r="AH301" s="29"/>
      <c r="AI301" s="29"/>
      <c r="AJ301" s="29"/>
      <c r="AK301" s="29"/>
      <c r="AL301" s="29"/>
      <c r="AM301" s="29"/>
      <c r="AN301" s="29"/>
      <c r="AO301" s="29"/>
    </row>
    <row r="302" ht="15.75" customHeight="1">
      <c r="AE302" s="29"/>
      <c r="AF302" s="29"/>
      <c r="AG302" s="29"/>
      <c r="AH302" s="29"/>
      <c r="AI302" s="29"/>
      <c r="AJ302" s="29"/>
      <c r="AK302" s="29"/>
      <c r="AL302" s="29"/>
      <c r="AM302" s="29"/>
      <c r="AN302" s="29"/>
      <c r="AO302" s="29"/>
    </row>
    <row r="303" ht="15.75" customHeight="1">
      <c r="AE303" s="29"/>
      <c r="AF303" s="29"/>
      <c r="AG303" s="29"/>
      <c r="AH303" s="29"/>
      <c r="AI303" s="29"/>
      <c r="AJ303" s="29"/>
      <c r="AK303" s="29"/>
      <c r="AL303" s="29"/>
      <c r="AM303" s="29"/>
      <c r="AN303" s="29"/>
      <c r="AO303" s="29"/>
    </row>
    <row r="304" ht="15.75" customHeight="1">
      <c r="AE304" s="29"/>
      <c r="AF304" s="29"/>
      <c r="AG304" s="29"/>
      <c r="AH304" s="29"/>
      <c r="AI304" s="29"/>
      <c r="AJ304" s="29"/>
      <c r="AK304" s="29"/>
      <c r="AL304" s="29"/>
      <c r="AM304" s="29"/>
      <c r="AN304" s="29"/>
      <c r="AO304" s="29"/>
    </row>
    <row r="305" ht="15.75" customHeight="1">
      <c r="AE305" s="29"/>
      <c r="AF305" s="29"/>
      <c r="AG305" s="29"/>
      <c r="AH305" s="29"/>
      <c r="AI305" s="29"/>
      <c r="AJ305" s="29"/>
      <c r="AK305" s="29"/>
      <c r="AL305" s="29"/>
      <c r="AM305" s="29"/>
      <c r="AN305" s="29"/>
      <c r="AO305" s="29"/>
    </row>
    <row r="306" ht="15.75" customHeight="1">
      <c r="AE306" s="29"/>
      <c r="AF306" s="29"/>
      <c r="AG306" s="29"/>
      <c r="AH306" s="29"/>
      <c r="AI306" s="29"/>
      <c r="AJ306" s="29"/>
      <c r="AK306" s="29"/>
      <c r="AL306" s="29"/>
      <c r="AM306" s="29"/>
      <c r="AN306" s="29"/>
      <c r="AO306" s="29"/>
    </row>
    <row r="307" ht="15.75" customHeight="1">
      <c r="AE307" s="29"/>
      <c r="AF307" s="29"/>
      <c r="AG307" s="29"/>
      <c r="AH307" s="29"/>
      <c r="AI307" s="29"/>
      <c r="AJ307" s="29"/>
      <c r="AK307" s="29"/>
      <c r="AL307" s="29"/>
      <c r="AM307" s="29"/>
      <c r="AN307" s="29"/>
      <c r="AO307" s="29"/>
    </row>
    <row r="308" ht="15.75" customHeight="1">
      <c r="AE308" s="29"/>
      <c r="AF308" s="29"/>
      <c r="AG308" s="29"/>
      <c r="AH308" s="29"/>
      <c r="AI308" s="29"/>
      <c r="AJ308" s="29"/>
      <c r="AK308" s="29"/>
      <c r="AL308" s="29"/>
      <c r="AM308" s="29"/>
      <c r="AN308" s="29"/>
      <c r="AO308" s="29"/>
    </row>
    <row r="309" ht="15.75" customHeight="1">
      <c r="AE309" s="29"/>
      <c r="AF309" s="29"/>
      <c r="AG309" s="29"/>
      <c r="AH309" s="29"/>
      <c r="AI309" s="29"/>
      <c r="AJ309" s="29"/>
      <c r="AK309" s="29"/>
      <c r="AL309" s="29"/>
      <c r="AM309" s="29"/>
      <c r="AN309" s="29"/>
      <c r="AO309" s="29"/>
    </row>
    <row r="310" ht="15.75" customHeight="1">
      <c r="AE310" s="29"/>
      <c r="AF310" s="29"/>
      <c r="AG310" s="29"/>
      <c r="AH310" s="29"/>
      <c r="AI310" s="29"/>
      <c r="AJ310" s="29"/>
      <c r="AK310" s="29"/>
      <c r="AL310" s="29"/>
      <c r="AM310" s="29"/>
      <c r="AN310" s="29"/>
      <c r="AO310" s="29"/>
    </row>
    <row r="311" ht="15.75" customHeight="1">
      <c r="AE311" s="29"/>
      <c r="AF311" s="29"/>
      <c r="AG311" s="29"/>
      <c r="AH311" s="29"/>
      <c r="AI311" s="29"/>
      <c r="AJ311" s="29"/>
      <c r="AK311" s="29"/>
      <c r="AL311" s="29"/>
      <c r="AM311" s="29"/>
      <c r="AN311" s="29"/>
      <c r="AO311" s="29"/>
    </row>
    <row r="312" ht="15.75" customHeight="1">
      <c r="AE312" s="29"/>
      <c r="AF312" s="29"/>
      <c r="AG312" s="29"/>
      <c r="AH312" s="29"/>
      <c r="AI312" s="29"/>
      <c r="AJ312" s="29"/>
      <c r="AK312" s="29"/>
      <c r="AL312" s="29"/>
      <c r="AM312" s="29"/>
      <c r="AN312" s="29"/>
      <c r="AO312" s="29"/>
    </row>
    <row r="313" ht="15.75" customHeight="1">
      <c r="AE313" s="29"/>
      <c r="AF313" s="29"/>
      <c r="AG313" s="29"/>
      <c r="AH313" s="29"/>
      <c r="AI313" s="29"/>
      <c r="AJ313" s="29"/>
      <c r="AK313" s="29"/>
      <c r="AL313" s="29"/>
      <c r="AM313" s="29"/>
      <c r="AN313" s="29"/>
      <c r="AO313" s="29"/>
    </row>
    <row r="314" ht="15.75" customHeight="1">
      <c r="AE314" s="29"/>
      <c r="AF314" s="29"/>
      <c r="AG314" s="29"/>
      <c r="AH314" s="29"/>
      <c r="AI314" s="29"/>
      <c r="AJ314" s="29"/>
      <c r="AK314" s="29"/>
      <c r="AL314" s="29"/>
      <c r="AM314" s="29"/>
      <c r="AN314" s="29"/>
      <c r="AO314" s="29"/>
    </row>
    <row r="315" ht="15.75" customHeight="1">
      <c r="AE315" s="29"/>
      <c r="AF315" s="29"/>
      <c r="AG315" s="29"/>
      <c r="AH315" s="29"/>
      <c r="AI315" s="29"/>
      <c r="AJ315" s="29"/>
      <c r="AK315" s="29"/>
      <c r="AL315" s="29"/>
      <c r="AM315" s="29"/>
      <c r="AN315" s="29"/>
      <c r="AO315" s="29"/>
    </row>
    <row r="316" ht="15.75" customHeight="1">
      <c r="AE316" s="29"/>
      <c r="AF316" s="29"/>
      <c r="AG316" s="29"/>
      <c r="AH316" s="29"/>
      <c r="AI316" s="29"/>
      <c r="AJ316" s="29"/>
      <c r="AK316" s="29"/>
      <c r="AL316" s="29"/>
      <c r="AM316" s="29"/>
      <c r="AN316" s="29"/>
      <c r="AO316" s="29"/>
    </row>
    <row r="317" ht="15.75" customHeight="1">
      <c r="AE317" s="29"/>
      <c r="AF317" s="29"/>
      <c r="AG317" s="29"/>
      <c r="AH317" s="29"/>
      <c r="AI317" s="29"/>
      <c r="AJ317" s="29"/>
      <c r="AK317" s="29"/>
      <c r="AL317" s="29"/>
      <c r="AM317" s="29"/>
      <c r="AN317" s="29"/>
      <c r="AO317" s="29"/>
    </row>
    <row r="318" ht="15.75" customHeight="1">
      <c r="AE318" s="29"/>
      <c r="AF318" s="29"/>
      <c r="AG318" s="29"/>
      <c r="AH318" s="29"/>
      <c r="AI318" s="29"/>
      <c r="AJ318" s="29"/>
      <c r="AK318" s="29"/>
      <c r="AL318" s="29"/>
      <c r="AM318" s="29"/>
      <c r="AN318" s="29"/>
      <c r="AO318" s="29"/>
    </row>
    <row r="319" ht="15.75" customHeight="1">
      <c r="AE319" s="29"/>
      <c r="AF319" s="29"/>
      <c r="AG319" s="29"/>
      <c r="AH319" s="29"/>
      <c r="AI319" s="29"/>
      <c r="AJ319" s="29"/>
      <c r="AK319" s="29"/>
      <c r="AL319" s="29"/>
      <c r="AM319" s="29"/>
      <c r="AN319" s="29"/>
      <c r="AO319" s="29"/>
    </row>
    <row r="320" ht="15.75" customHeight="1">
      <c r="AE320" s="29"/>
      <c r="AF320" s="29"/>
      <c r="AG320" s="29"/>
      <c r="AH320" s="29"/>
      <c r="AI320" s="29"/>
      <c r="AJ320" s="29"/>
      <c r="AK320" s="29"/>
      <c r="AL320" s="29"/>
      <c r="AM320" s="29"/>
      <c r="AN320" s="29"/>
      <c r="AO320" s="29"/>
    </row>
    <row r="321" ht="15.75" customHeight="1">
      <c r="AE321" s="29"/>
      <c r="AF321" s="29"/>
      <c r="AG321" s="29"/>
      <c r="AH321" s="29"/>
      <c r="AI321" s="29"/>
      <c r="AJ321" s="29"/>
      <c r="AK321" s="29"/>
      <c r="AL321" s="29"/>
      <c r="AM321" s="29"/>
      <c r="AN321" s="29"/>
      <c r="AO321" s="29"/>
    </row>
    <row r="322" ht="15.75" customHeight="1">
      <c r="AE322" s="29"/>
      <c r="AF322" s="29"/>
      <c r="AG322" s="29"/>
      <c r="AH322" s="29"/>
      <c r="AI322" s="29"/>
      <c r="AJ322" s="29"/>
      <c r="AK322" s="29"/>
      <c r="AL322" s="29"/>
      <c r="AM322" s="29"/>
      <c r="AN322" s="29"/>
      <c r="AO322" s="29"/>
    </row>
    <row r="323" ht="15.75" customHeight="1">
      <c r="AE323" s="29"/>
      <c r="AF323" s="29"/>
      <c r="AG323" s="29"/>
      <c r="AH323" s="29"/>
      <c r="AI323" s="29"/>
      <c r="AJ323" s="29"/>
      <c r="AK323" s="29"/>
      <c r="AL323" s="29"/>
      <c r="AM323" s="29"/>
      <c r="AN323" s="29"/>
      <c r="AO323" s="29"/>
    </row>
    <row r="324" ht="15.75" customHeight="1">
      <c r="AE324" s="29"/>
      <c r="AF324" s="29"/>
      <c r="AG324" s="29"/>
      <c r="AH324" s="29"/>
      <c r="AI324" s="29"/>
      <c r="AJ324" s="29"/>
      <c r="AK324" s="29"/>
      <c r="AL324" s="29"/>
      <c r="AM324" s="29"/>
      <c r="AN324" s="29"/>
      <c r="AO324" s="29"/>
    </row>
    <row r="325" ht="15.75" customHeight="1">
      <c r="AE325" s="29"/>
      <c r="AF325" s="29"/>
      <c r="AG325" s="29"/>
      <c r="AH325" s="29"/>
      <c r="AI325" s="29"/>
      <c r="AJ325" s="29"/>
      <c r="AK325" s="29"/>
      <c r="AL325" s="29"/>
      <c r="AM325" s="29"/>
      <c r="AN325" s="29"/>
      <c r="AO325" s="29"/>
    </row>
    <row r="326" ht="15.75" customHeight="1">
      <c r="AE326" s="29"/>
      <c r="AF326" s="29"/>
      <c r="AG326" s="29"/>
      <c r="AH326" s="29"/>
      <c r="AI326" s="29"/>
      <c r="AJ326" s="29"/>
      <c r="AK326" s="29"/>
      <c r="AL326" s="29"/>
      <c r="AM326" s="29"/>
      <c r="AN326" s="29"/>
      <c r="AO326" s="29"/>
    </row>
    <row r="327" ht="15.75" customHeight="1">
      <c r="AE327" s="29"/>
      <c r="AF327" s="29"/>
      <c r="AG327" s="29"/>
      <c r="AH327" s="29"/>
      <c r="AI327" s="29"/>
      <c r="AJ327" s="29"/>
      <c r="AK327" s="29"/>
      <c r="AL327" s="29"/>
      <c r="AM327" s="29"/>
      <c r="AN327" s="29"/>
      <c r="AO327" s="29"/>
    </row>
    <row r="328" ht="15.75" customHeight="1">
      <c r="AE328" s="29"/>
      <c r="AF328" s="29"/>
      <c r="AG328" s="29"/>
      <c r="AH328" s="29"/>
      <c r="AI328" s="29"/>
      <c r="AJ328" s="29"/>
      <c r="AK328" s="29"/>
      <c r="AL328" s="29"/>
      <c r="AM328" s="29"/>
      <c r="AN328" s="29"/>
      <c r="AO328" s="29"/>
    </row>
    <row r="329" ht="15.75" customHeight="1">
      <c r="AE329" s="29"/>
      <c r="AF329" s="29"/>
      <c r="AG329" s="29"/>
      <c r="AH329" s="29"/>
      <c r="AI329" s="29"/>
      <c r="AJ329" s="29"/>
      <c r="AK329" s="29"/>
      <c r="AL329" s="29"/>
      <c r="AM329" s="29"/>
      <c r="AN329" s="29"/>
      <c r="AO329" s="29"/>
    </row>
    <row r="330" ht="15.75" customHeight="1">
      <c r="AE330" s="29"/>
      <c r="AF330" s="29"/>
      <c r="AG330" s="29"/>
      <c r="AH330" s="29"/>
      <c r="AI330" s="29"/>
      <c r="AJ330" s="29"/>
      <c r="AK330" s="29"/>
      <c r="AL330" s="29"/>
      <c r="AM330" s="29"/>
      <c r="AN330" s="29"/>
      <c r="AO330" s="29"/>
    </row>
    <row r="331" ht="15.75" customHeight="1">
      <c r="AE331" s="29"/>
      <c r="AF331" s="29"/>
      <c r="AG331" s="29"/>
      <c r="AH331" s="29"/>
      <c r="AI331" s="29"/>
      <c r="AJ331" s="29"/>
      <c r="AK331" s="29"/>
      <c r="AL331" s="29"/>
      <c r="AM331" s="29"/>
      <c r="AN331" s="29"/>
      <c r="AO331" s="29"/>
    </row>
    <row r="332" ht="15.75" customHeight="1">
      <c r="AE332" s="29"/>
      <c r="AF332" s="29"/>
      <c r="AG332" s="29"/>
      <c r="AH332" s="29"/>
      <c r="AI332" s="29"/>
      <c r="AJ332" s="29"/>
      <c r="AK332" s="29"/>
      <c r="AL332" s="29"/>
      <c r="AM332" s="29"/>
      <c r="AN332" s="29"/>
      <c r="AO332" s="29"/>
    </row>
    <row r="333" ht="15.75" customHeight="1">
      <c r="AE333" s="29"/>
      <c r="AF333" s="29"/>
      <c r="AG333" s="29"/>
      <c r="AH333" s="29"/>
      <c r="AI333" s="29"/>
      <c r="AJ333" s="29"/>
      <c r="AK333" s="29"/>
      <c r="AL333" s="29"/>
      <c r="AM333" s="29"/>
      <c r="AN333" s="29"/>
      <c r="AO333" s="29"/>
    </row>
    <row r="334" ht="15.75" customHeight="1">
      <c r="AE334" s="29"/>
      <c r="AF334" s="29"/>
      <c r="AG334" s="29"/>
      <c r="AH334" s="29"/>
      <c r="AI334" s="29"/>
      <c r="AJ334" s="29"/>
      <c r="AK334" s="29"/>
      <c r="AL334" s="29"/>
      <c r="AM334" s="29"/>
      <c r="AN334" s="29"/>
      <c r="AO334" s="29"/>
    </row>
    <row r="335" ht="15.75" customHeight="1">
      <c r="AE335" s="29"/>
      <c r="AF335" s="29"/>
      <c r="AG335" s="29"/>
      <c r="AH335" s="29"/>
      <c r="AI335" s="29"/>
      <c r="AJ335" s="29"/>
      <c r="AK335" s="29"/>
      <c r="AL335" s="29"/>
      <c r="AM335" s="29"/>
      <c r="AN335" s="29"/>
      <c r="AO335" s="29"/>
    </row>
    <row r="336" ht="15.75" customHeight="1">
      <c r="AE336" s="29"/>
      <c r="AF336" s="29"/>
      <c r="AG336" s="29"/>
      <c r="AH336" s="29"/>
      <c r="AI336" s="29"/>
      <c r="AJ336" s="29"/>
      <c r="AK336" s="29"/>
      <c r="AL336" s="29"/>
      <c r="AM336" s="29"/>
      <c r="AN336" s="29"/>
      <c r="AO336" s="29"/>
    </row>
    <row r="337" ht="15.75" customHeight="1">
      <c r="AE337" s="29"/>
      <c r="AF337" s="29"/>
      <c r="AG337" s="29"/>
      <c r="AH337" s="29"/>
      <c r="AI337" s="29"/>
      <c r="AJ337" s="29"/>
      <c r="AK337" s="29"/>
      <c r="AL337" s="29"/>
      <c r="AM337" s="29"/>
      <c r="AN337" s="29"/>
      <c r="AO337" s="29"/>
    </row>
    <row r="338" ht="15.75" customHeight="1">
      <c r="AE338" s="29"/>
      <c r="AF338" s="29"/>
      <c r="AG338" s="29"/>
      <c r="AH338" s="29"/>
      <c r="AI338" s="29"/>
      <c r="AJ338" s="29"/>
      <c r="AK338" s="29"/>
      <c r="AL338" s="29"/>
      <c r="AM338" s="29"/>
      <c r="AN338" s="29"/>
      <c r="AO338" s="29"/>
    </row>
    <row r="339" ht="15.75" customHeight="1">
      <c r="AE339" s="29"/>
      <c r="AF339" s="29"/>
      <c r="AG339" s="29"/>
      <c r="AH339" s="29"/>
      <c r="AI339" s="29"/>
      <c r="AJ339" s="29"/>
      <c r="AK339" s="29"/>
      <c r="AL339" s="29"/>
      <c r="AM339" s="29"/>
      <c r="AN339" s="29"/>
      <c r="AO339" s="29"/>
    </row>
    <row r="340" ht="15.75" customHeight="1">
      <c r="AE340" s="29"/>
      <c r="AF340" s="29"/>
      <c r="AG340" s="29"/>
      <c r="AH340" s="29"/>
      <c r="AI340" s="29"/>
      <c r="AJ340" s="29"/>
      <c r="AK340" s="29"/>
      <c r="AL340" s="29"/>
      <c r="AM340" s="29"/>
      <c r="AN340" s="29"/>
      <c r="AO340" s="29"/>
    </row>
    <row r="341" ht="15.75" customHeight="1">
      <c r="AE341" s="29"/>
      <c r="AF341" s="29"/>
      <c r="AG341" s="29"/>
      <c r="AH341" s="29"/>
      <c r="AI341" s="29"/>
      <c r="AJ341" s="29"/>
      <c r="AK341" s="29"/>
      <c r="AL341" s="29"/>
      <c r="AM341" s="29"/>
      <c r="AN341" s="29"/>
      <c r="AO341" s="29"/>
    </row>
    <row r="342" ht="15.75" customHeight="1">
      <c r="AE342" s="29"/>
      <c r="AF342" s="29"/>
      <c r="AG342" s="29"/>
      <c r="AH342" s="29"/>
      <c r="AI342" s="29"/>
      <c r="AJ342" s="29"/>
      <c r="AK342" s="29"/>
      <c r="AL342" s="29"/>
      <c r="AM342" s="29"/>
      <c r="AN342" s="29"/>
      <c r="AO342" s="29"/>
    </row>
    <row r="343" ht="15.75" customHeight="1">
      <c r="AE343" s="29"/>
      <c r="AF343" s="29"/>
      <c r="AG343" s="29"/>
      <c r="AH343" s="29"/>
      <c r="AI343" s="29"/>
      <c r="AJ343" s="29"/>
      <c r="AK343" s="29"/>
      <c r="AL343" s="29"/>
      <c r="AM343" s="29"/>
      <c r="AN343" s="29"/>
      <c r="AO343" s="29"/>
    </row>
    <row r="344" ht="15.75" customHeight="1">
      <c r="AE344" s="29"/>
      <c r="AF344" s="29"/>
      <c r="AG344" s="29"/>
      <c r="AH344" s="29"/>
      <c r="AI344" s="29"/>
      <c r="AJ344" s="29"/>
      <c r="AK344" s="29"/>
      <c r="AL344" s="29"/>
      <c r="AM344" s="29"/>
      <c r="AN344" s="29"/>
      <c r="AO344" s="29"/>
    </row>
    <row r="345" ht="15.75" customHeight="1">
      <c r="AE345" s="29"/>
      <c r="AF345" s="29"/>
      <c r="AG345" s="29"/>
      <c r="AH345" s="29"/>
      <c r="AI345" s="29"/>
      <c r="AJ345" s="29"/>
      <c r="AK345" s="29"/>
      <c r="AL345" s="29"/>
      <c r="AM345" s="29"/>
      <c r="AN345" s="29"/>
      <c r="AO345" s="29"/>
    </row>
    <row r="346" ht="15.75" customHeight="1">
      <c r="AE346" s="29"/>
      <c r="AF346" s="29"/>
      <c r="AG346" s="29"/>
      <c r="AH346" s="29"/>
      <c r="AI346" s="29"/>
      <c r="AJ346" s="29"/>
      <c r="AK346" s="29"/>
      <c r="AL346" s="29"/>
      <c r="AM346" s="29"/>
      <c r="AN346" s="29"/>
      <c r="AO346" s="29"/>
    </row>
    <row r="347" ht="15.75" customHeight="1">
      <c r="AE347" s="29"/>
      <c r="AF347" s="29"/>
      <c r="AG347" s="29"/>
      <c r="AH347" s="29"/>
      <c r="AI347" s="29"/>
      <c r="AJ347" s="29"/>
      <c r="AK347" s="29"/>
      <c r="AL347" s="29"/>
      <c r="AM347" s="29"/>
      <c r="AN347" s="29"/>
      <c r="AO347" s="29"/>
    </row>
    <row r="348" ht="15.75" customHeight="1">
      <c r="AE348" s="29"/>
      <c r="AF348" s="29"/>
      <c r="AG348" s="29"/>
      <c r="AH348" s="29"/>
      <c r="AI348" s="29"/>
      <c r="AJ348" s="29"/>
      <c r="AK348" s="29"/>
      <c r="AL348" s="29"/>
      <c r="AM348" s="29"/>
      <c r="AN348" s="29"/>
      <c r="AO348" s="29"/>
    </row>
    <row r="349" ht="15.75" customHeight="1">
      <c r="AE349" s="29"/>
      <c r="AF349" s="29"/>
      <c r="AG349" s="29"/>
      <c r="AH349" s="29"/>
      <c r="AI349" s="29"/>
      <c r="AJ349" s="29"/>
      <c r="AK349" s="29"/>
      <c r="AL349" s="29"/>
      <c r="AM349" s="29"/>
      <c r="AN349" s="29"/>
      <c r="AO349" s="29"/>
    </row>
    <row r="350" ht="15.75" customHeight="1">
      <c r="AE350" s="29"/>
      <c r="AF350" s="29"/>
      <c r="AG350" s="29"/>
      <c r="AH350" s="29"/>
      <c r="AI350" s="29"/>
      <c r="AJ350" s="29"/>
      <c r="AK350" s="29"/>
      <c r="AL350" s="29"/>
      <c r="AM350" s="29"/>
      <c r="AN350" s="29"/>
      <c r="AO350" s="29"/>
    </row>
    <row r="351" ht="15.75" customHeight="1">
      <c r="AE351" s="29"/>
      <c r="AF351" s="29"/>
      <c r="AG351" s="29"/>
      <c r="AH351" s="29"/>
      <c r="AI351" s="29"/>
      <c r="AJ351" s="29"/>
      <c r="AK351" s="29"/>
      <c r="AL351" s="29"/>
      <c r="AM351" s="29"/>
      <c r="AN351" s="29"/>
      <c r="AO351" s="29"/>
    </row>
    <row r="352" ht="15.75" customHeight="1">
      <c r="AE352" s="29"/>
      <c r="AF352" s="29"/>
      <c r="AG352" s="29"/>
      <c r="AH352" s="29"/>
      <c r="AI352" s="29"/>
      <c r="AJ352" s="29"/>
      <c r="AK352" s="29"/>
      <c r="AL352" s="29"/>
      <c r="AM352" s="29"/>
      <c r="AN352" s="29"/>
      <c r="AO352" s="29"/>
    </row>
    <row r="353" ht="15.75" customHeight="1">
      <c r="AE353" s="29"/>
      <c r="AF353" s="29"/>
      <c r="AG353" s="29"/>
      <c r="AH353" s="29"/>
      <c r="AI353" s="29"/>
      <c r="AJ353" s="29"/>
      <c r="AK353" s="29"/>
      <c r="AL353" s="29"/>
      <c r="AM353" s="29"/>
      <c r="AN353" s="29"/>
      <c r="AO353" s="29"/>
    </row>
    <row r="354" ht="15.75" customHeight="1">
      <c r="AE354" s="29"/>
      <c r="AF354" s="29"/>
      <c r="AG354" s="29"/>
      <c r="AH354" s="29"/>
      <c r="AI354" s="29"/>
      <c r="AJ354" s="29"/>
      <c r="AK354" s="29"/>
      <c r="AL354" s="29"/>
      <c r="AM354" s="29"/>
      <c r="AN354" s="29"/>
      <c r="AO354" s="29"/>
    </row>
    <row r="355" ht="15.75" customHeight="1">
      <c r="AE355" s="29"/>
      <c r="AF355" s="29"/>
      <c r="AG355" s="29"/>
      <c r="AH355" s="29"/>
      <c r="AI355" s="29"/>
      <c r="AJ355" s="29"/>
      <c r="AK355" s="29"/>
      <c r="AL355" s="29"/>
      <c r="AM355" s="29"/>
      <c r="AN355" s="29"/>
      <c r="AO355" s="29"/>
    </row>
    <row r="356" ht="15.75" customHeight="1">
      <c r="AE356" s="29"/>
      <c r="AF356" s="29"/>
      <c r="AG356" s="29"/>
      <c r="AH356" s="29"/>
      <c r="AI356" s="29"/>
      <c r="AJ356" s="29"/>
      <c r="AK356" s="29"/>
      <c r="AL356" s="29"/>
      <c r="AM356" s="29"/>
      <c r="AN356" s="29"/>
      <c r="AO356" s="29"/>
    </row>
    <row r="357" ht="15.75" customHeight="1">
      <c r="AE357" s="29"/>
      <c r="AF357" s="29"/>
      <c r="AG357" s="29"/>
      <c r="AH357" s="29"/>
      <c r="AI357" s="29"/>
      <c r="AJ357" s="29"/>
      <c r="AK357" s="29"/>
      <c r="AL357" s="29"/>
      <c r="AM357" s="29"/>
      <c r="AN357" s="29"/>
      <c r="AO357" s="29"/>
    </row>
    <row r="358" ht="15.75" customHeight="1">
      <c r="AE358" s="29"/>
      <c r="AF358" s="29"/>
      <c r="AG358" s="29"/>
      <c r="AH358" s="29"/>
      <c r="AI358" s="29"/>
      <c r="AJ358" s="29"/>
      <c r="AK358" s="29"/>
      <c r="AL358" s="29"/>
      <c r="AM358" s="29"/>
      <c r="AN358" s="29"/>
      <c r="AO358" s="29"/>
    </row>
    <row r="359" ht="15.75" customHeight="1">
      <c r="AE359" s="29"/>
      <c r="AF359" s="29"/>
      <c r="AG359" s="29"/>
      <c r="AH359" s="29"/>
      <c r="AI359" s="29"/>
      <c r="AJ359" s="29"/>
      <c r="AK359" s="29"/>
      <c r="AL359" s="29"/>
      <c r="AM359" s="29"/>
      <c r="AN359" s="29"/>
      <c r="AO359" s="29"/>
    </row>
    <row r="360" ht="15.75" customHeight="1">
      <c r="AE360" s="29"/>
      <c r="AF360" s="29"/>
      <c r="AG360" s="29"/>
      <c r="AH360" s="29"/>
      <c r="AI360" s="29"/>
      <c r="AJ360" s="29"/>
      <c r="AK360" s="29"/>
      <c r="AL360" s="29"/>
      <c r="AM360" s="29"/>
      <c r="AN360" s="29"/>
      <c r="AO360" s="29"/>
    </row>
    <row r="361" ht="15.75" customHeight="1">
      <c r="AE361" s="29"/>
      <c r="AF361" s="29"/>
      <c r="AG361" s="29"/>
      <c r="AH361" s="29"/>
      <c r="AI361" s="29"/>
      <c r="AJ361" s="29"/>
      <c r="AK361" s="29"/>
      <c r="AL361" s="29"/>
      <c r="AM361" s="29"/>
      <c r="AN361" s="29"/>
      <c r="AO361" s="29"/>
    </row>
    <row r="362" ht="15.75" customHeight="1">
      <c r="AE362" s="29"/>
      <c r="AF362" s="29"/>
      <c r="AG362" s="29"/>
      <c r="AH362" s="29"/>
      <c r="AI362" s="29"/>
      <c r="AJ362" s="29"/>
      <c r="AK362" s="29"/>
      <c r="AL362" s="29"/>
      <c r="AM362" s="29"/>
      <c r="AN362" s="29"/>
      <c r="AO362" s="29"/>
    </row>
    <row r="363" ht="15.75" customHeight="1">
      <c r="AE363" s="29"/>
      <c r="AF363" s="29"/>
      <c r="AG363" s="29"/>
      <c r="AH363" s="29"/>
      <c r="AI363" s="29"/>
      <c r="AJ363" s="29"/>
      <c r="AK363" s="29"/>
      <c r="AL363" s="29"/>
      <c r="AM363" s="29"/>
      <c r="AN363" s="29"/>
      <c r="AO363" s="29"/>
    </row>
    <row r="364" ht="15.75" customHeight="1">
      <c r="AE364" s="29"/>
      <c r="AF364" s="29"/>
      <c r="AG364" s="29"/>
      <c r="AH364" s="29"/>
      <c r="AI364" s="29"/>
      <c r="AJ364" s="29"/>
      <c r="AK364" s="29"/>
      <c r="AL364" s="29"/>
      <c r="AM364" s="29"/>
      <c r="AN364" s="29"/>
      <c r="AO364" s="29"/>
    </row>
    <row r="365" ht="15.75" customHeight="1">
      <c r="AE365" s="29"/>
      <c r="AF365" s="29"/>
      <c r="AG365" s="29"/>
      <c r="AH365" s="29"/>
      <c r="AI365" s="29"/>
      <c r="AJ365" s="29"/>
      <c r="AK365" s="29"/>
      <c r="AL365" s="29"/>
      <c r="AM365" s="29"/>
      <c r="AN365" s="29"/>
      <c r="AO365" s="29"/>
    </row>
    <row r="366" ht="15.75" customHeight="1">
      <c r="AE366" s="29"/>
      <c r="AF366" s="29"/>
      <c r="AG366" s="29"/>
      <c r="AH366" s="29"/>
      <c r="AI366" s="29"/>
      <c r="AJ366" s="29"/>
      <c r="AK366" s="29"/>
      <c r="AL366" s="29"/>
      <c r="AM366" s="29"/>
      <c r="AN366" s="29"/>
      <c r="AO366" s="29"/>
    </row>
    <row r="367" ht="15.75" customHeight="1">
      <c r="AE367" s="29"/>
      <c r="AF367" s="29"/>
      <c r="AG367" s="29"/>
      <c r="AH367" s="29"/>
      <c r="AI367" s="29"/>
      <c r="AJ367" s="29"/>
      <c r="AK367" s="29"/>
      <c r="AL367" s="29"/>
      <c r="AM367" s="29"/>
      <c r="AN367" s="29"/>
      <c r="AO367" s="29"/>
    </row>
    <row r="368" ht="15.75" customHeight="1">
      <c r="AE368" s="29"/>
      <c r="AF368" s="29"/>
      <c r="AG368" s="29"/>
      <c r="AH368" s="29"/>
      <c r="AI368" s="29"/>
      <c r="AJ368" s="29"/>
      <c r="AK368" s="29"/>
      <c r="AL368" s="29"/>
      <c r="AM368" s="29"/>
      <c r="AN368" s="29"/>
      <c r="AO368" s="29"/>
    </row>
    <row r="369" ht="15.75" customHeight="1">
      <c r="AE369" s="29"/>
      <c r="AF369" s="29"/>
      <c r="AG369" s="29"/>
      <c r="AH369" s="29"/>
      <c r="AI369" s="29"/>
      <c r="AJ369" s="29"/>
      <c r="AK369" s="29"/>
      <c r="AL369" s="29"/>
      <c r="AM369" s="29"/>
      <c r="AN369" s="29"/>
      <c r="AO369" s="29"/>
    </row>
    <row r="370" ht="15.75" customHeight="1">
      <c r="AE370" s="29"/>
      <c r="AF370" s="29"/>
      <c r="AG370" s="29"/>
      <c r="AH370" s="29"/>
      <c r="AI370" s="29"/>
      <c r="AJ370" s="29"/>
      <c r="AK370" s="29"/>
      <c r="AL370" s="29"/>
      <c r="AM370" s="29"/>
      <c r="AN370" s="29"/>
      <c r="AO370" s="29"/>
    </row>
    <row r="371" ht="15.75" customHeight="1">
      <c r="AE371" s="29"/>
      <c r="AF371" s="29"/>
      <c r="AG371" s="29"/>
      <c r="AH371" s="29"/>
      <c r="AI371" s="29"/>
      <c r="AJ371" s="29"/>
      <c r="AK371" s="29"/>
      <c r="AL371" s="29"/>
      <c r="AM371" s="29"/>
      <c r="AN371" s="29"/>
      <c r="AO371" s="29"/>
    </row>
    <row r="372" ht="15.75" customHeight="1">
      <c r="AE372" s="29"/>
      <c r="AF372" s="29"/>
      <c r="AG372" s="29"/>
      <c r="AH372" s="29"/>
      <c r="AI372" s="29"/>
      <c r="AJ372" s="29"/>
      <c r="AK372" s="29"/>
      <c r="AL372" s="29"/>
      <c r="AM372" s="29"/>
      <c r="AN372" s="29"/>
      <c r="AO372" s="29"/>
    </row>
    <row r="373" ht="15.75" customHeight="1">
      <c r="AE373" s="29"/>
      <c r="AF373" s="29"/>
      <c r="AG373" s="29"/>
      <c r="AH373" s="29"/>
      <c r="AI373" s="29"/>
      <c r="AJ373" s="29"/>
      <c r="AK373" s="29"/>
      <c r="AL373" s="29"/>
      <c r="AM373" s="29"/>
      <c r="AN373" s="29"/>
      <c r="AO373" s="29"/>
    </row>
    <row r="374" ht="15.75" customHeight="1">
      <c r="AE374" s="29"/>
      <c r="AF374" s="29"/>
      <c r="AG374" s="29"/>
      <c r="AH374" s="29"/>
      <c r="AI374" s="29"/>
      <c r="AJ374" s="29"/>
      <c r="AK374" s="29"/>
      <c r="AL374" s="29"/>
      <c r="AM374" s="29"/>
      <c r="AN374" s="29"/>
      <c r="AO374" s="29"/>
    </row>
    <row r="375" ht="15.75" customHeight="1">
      <c r="AE375" s="29"/>
      <c r="AF375" s="29"/>
      <c r="AG375" s="29"/>
      <c r="AH375" s="29"/>
      <c r="AI375" s="29"/>
      <c r="AJ375" s="29"/>
      <c r="AK375" s="29"/>
      <c r="AL375" s="29"/>
      <c r="AM375" s="29"/>
      <c r="AN375" s="29"/>
      <c r="AO375" s="29"/>
    </row>
    <row r="376" ht="15.75" customHeight="1">
      <c r="AE376" s="29"/>
      <c r="AF376" s="29"/>
      <c r="AG376" s="29"/>
      <c r="AH376" s="29"/>
      <c r="AI376" s="29"/>
      <c r="AJ376" s="29"/>
      <c r="AK376" s="29"/>
      <c r="AL376" s="29"/>
      <c r="AM376" s="29"/>
      <c r="AN376" s="29"/>
      <c r="AO376" s="29"/>
    </row>
    <row r="377" ht="15.75" customHeight="1">
      <c r="AE377" s="29"/>
      <c r="AF377" s="29"/>
      <c r="AG377" s="29"/>
      <c r="AH377" s="29"/>
      <c r="AI377" s="29"/>
      <c r="AJ377" s="29"/>
      <c r="AK377" s="29"/>
      <c r="AL377" s="29"/>
      <c r="AM377" s="29"/>
      <c r="AN377" s="29"/>
      <c r="AO377" s="29"/>
    </row>
    <row r="378" ht="15.75" customHeight="1">
      <c r="AE378" s="29"/>
      <c r="AF378" s="29"/>
      <c r="AG378" s="29"/>
      <c r="AH378" s="29"/>
      <c r="AI378" s="29"/>
      <c r="AJ378" s="29"/>
      <c r="AK378" s="29"/>
      <c r="AL378" s="29"/>
      <c r="AM378" s="29"/>
      <c r="AN378" s="29"/>
      <c r="AO378" s="29"/>
    </row>
    <row r="379" ht="15.75" customHeight="1">
      <c r="AE379" s="29"/>
      <c r="AF379" s="29"/>
      <c r="AG379" s="29"/>
      <c r="AH379" s="29"/>
      <c r="AI379" s="29"/>
      <c r="AJ379" s="29"/>
      <c r="AK379" s="29"/>
      <c r="AL379" s="29"/>
      <c r="AM379" s="29"/>
      <c r="AN379" s="29"/>
      <c r="AO379" s="29"/>
    </row>
    <row r="380" ht="15.75" customHeight="1">
      <c r="AE380" s="29"/>
      <c r="AF380" s="29"/>
      <c r="AG380" s="29"/>
      <c r="AH380" s="29"/>
      <c r="AI380" s="29"/>
      <c r="AJ380" s="29"/>
      <c r="AK380" s="29"/>
      <c r="AL380" s="29"/>
      <c r="AM380" s="29"/>
      <c r="AN380" s="29"/>
      <c r="AO380" s="29"/>
    </row>
    <row r="381" ht="15.75" customHeight="1">
      <c r="AE381" s="29"/>
      <c r="AF381" s="29"/>
      <c r="AG381" s="29"/>
      <c r="AH381" s="29"/>
      <c r="AI381" s="29"/>
      <c r="AJ381" s="29"/>
      <c r="AK381" s="29"/>
      <c r="AL381" s="29"/>
      <c r="AM381" s="29"/>
      <c r="AN381" s="29"/>
      <c r="AO381" s="29"/>
    </row>
    <row r="382" ht="15.75" customHeight="1">
      <c r="AE382" s="29"/>
      <c r="AF382" s="29"/>
      <c r="AG382" s="29"/>
      <c r="AH382" s="29"/>
      <c r="AI382" s="29"/>
      <c r="AJ382" s="29"/>
      <c r="AK382" s="29"/>
      <c r="AL382" s="29"/>
      <c r="AM382" s="29"/>
      <c r="AN382" s="29"/>
      <c r="AO382" s="29"/>
    </row>
    <row r="383" ht="15.75" customHeight="1">
      <c r="AE383" s="29"/>
      <c r="AF383" s="29"/>
      <c r="AG383" s="29"/>
      <c r="AH383" s="29"/>
      <c r="AI383" s="29"/>
      <c r="AJ383" s="29"/>
      <c r="AK383" s="29"/>
      <c r="AL383" s="29"/>
      <c r="AM383" s="29"/>
      <c r="AN383" s="29"/>
      <c r="AO383" s="29"/>
    </row>
    <row r="384" ht="15.75" customHeight="1">
      <c r="AE384" s="29"/>
      <c r="AF384" s="29"/>
      <c r="AG384" s="29"/>
      <c r="AH384" s="29"/>
      <c r="AI384" s="29"/>
      <c r="AJ384" s="29"/>
      <c r="AK384" s="29"/>
      <c r="AL384" s="29"/>
      <c r="AM384" s="29"/>
      <c r="AN384" s="29"/>
      <c r="AO384" s="29"/>
    </row>
    <row r="385" ht="15.75" customHeight="1">
      <c r="AE385" s="29"/>
      <c r="AF385" s="29"/>
      <c r="AG385" s="29"/>
      <c r="AH385" s="29"/>
      <c r="AI385" s="29"/>
      <c r="AJ385" s="29"/>
      <c r="AK385" s="29"/>
      <c r="AL385" s="29"/>
      <c r="AM385" s="29"/>
      <c r="AN385" s="29"/>
      <c r="AO385" s="29"/>
    </row>
    <row r="386" ht="15.75" customHeight="1">
      <c r="AE386" s="29"/>
      <c r="AF386" s="29"/>
      <c r="AG386" s="29"/>
      <c r="AH386" s="29"/>
      <c r="AI386" s="29"/>
      <c r="AJ386" s="29"/>
      <c r="AK386" s="29"/>
      <c r="AL386" s="29"/>
      <c r="AM386" s="29"/>
      <c r="AN386" s="29"/>
      <c r="AO386" s="29"/>
    </row>
    <row r="387" ht="15.75" customHeight="1">
      <c r="AE387" s="29"/>
      <c r="AF387" s="29"/>
      <c r="AG387" s="29"/>
      <c r="AH387" s="29"/>
      <c r="AI387" s="29"/>
      <c r="AJ387" s="29"/>
      <c r="AK387" s="29"/>
      <c r="AL387" s="29"/>
      <c r="AM387" s="29"/>
      <c r="AN387" s="29"/>
      <c r="AO387" s="29"/>
    </row>
    <row r="388" ht="15.75" customHeight="1">
      <c r="AE388" s="29"/>
      <c r="AF388" s="29"/>
      <c r="AG388" s="29"/>
      <c r="AH388" s="29"/>
      <c r="AI388" s="29"/>
      <c r="AJ388" s="29"/>
      <c r="AK388" s="29"/>
      <c r="AL388" s="29"/>
      <c r="AM388" s="29"/>
      <c r="AN388" s="29"/>
      <c r="AO388" s="29"/>
    </row>
    <row r="389" ht="15.75" customHeight="1">
      <c r="AE389" s="29"/>
      <c r="AF389" s="29"/>
      <c r="AG389" s="29"/>
      <c r="AH389" s="29"/>
      <c r="AI389" s="29"/>
      <c r="AJ389" s="29"/>
      <c r="AK389" s="29"/>
      <c r="AL389" s="29"/>
      <c r="AM389" s="29"/>
      <c r="AN389" s="29"/>
      <c r="AO389" s="29"/>
    </row>
    <row r="390" ht="15.75" customHeight="1">
      <c r="AE390" s="29"/>
      <c r="AF390" s="29"/>
      <c r="AG390" s="29"/>
      <c r="AH390" s="29"/>
      <c r="AI390" s="29"/>
      <c r="AJ390" s="29"/>
      <c r="AK390" s="29"/>
      <c r="AL390" s="29"/>
      <c r="AM390" s="29"/>
      <c r="AN390" s="29"/>
      <c r="AO390" s="29"/>
    </row>
    <row r="391" ht="15.75" customHeight="1">
      <c r="AE391" s="29"/>
      <c r="AF391" s="29"/>
      <c r="AG391" s="29"/>
      <c r="AH391" s="29"/>
      <c r="AI391" s="29"/>
      <c r="AJ391" s="29"/>
      <c r="AK391" s="29"/>
      <c r="AL391" s="29"/>
      <c r="AM391" s="29"/>
      <c r="AN391" s="29"/>
      <c r="AO391" s="29"/>
    </row>
    <row r="392" ht="15.75" customHeight="1">
      <c r="AE392" s="29"/>
      <c r="AF392" s="29"/>
      <c r="AG392" s="29"/>
      <c r="AH392" s="29"/>
      <c r="AI392" s="29"/>
      <c r="AJ392" s="29"/>
      <c r="AK392" s="29"/>
      <c r="AL392" s="29"/>
      <c r="AM392" s="29"/>
      <c r="AN392" s="29"/>
      <c r="AO392" s="29"/>
    </row>
    <row r="393" ht="15.75" customHeight="1">
      <c r="AE393" s="29"/>
      <c r="AF393" s="29"/>
      <c r="AG393" s="29"/>
      <c r="AH393" s="29"/>
      <c r="AI393" s="29"/>
      <c r="AJ393" s="29"/>
      <c r="AK393" s="29"/>
      <c r="AL393" s="29"/>
      <c r="AM393" s="29"/>
      <c r="AN393" s="29"/>
      <c r="AO393" s="29"/>
    </row>
    <row r="394" ht="15.75" customHeight="1">
      <c r="AE394" s="29"/>
      <c r="AF394" s="29"/>
      <c r="AG394" s="29"/>
      <c r="AH394" s="29"/>
      <c r="AI394" s="29"/>
      <c r="AJ394" s="29"/>
      <c r="AK394" s="29"/>
      <c r="AL394" s="29"/>
      <c r="AM394" s="29"/>
      <c r="AN394" s="29"/>
      <c r="AO394" s="29"/>
    </row>
    <row r="395" ht="15.75" customHeight="1">
      <c r="AE395" s="29"/>
      <c r="AF395" s="29"/>
      <c r="AG395" s="29"/>
      <c r="AH395" s="29"/>
      <c r="AI395" s="29"/>
      <c r="AJ395" s="29"/>
      <c r="AK395" s="29"/>
      <c r="AL395" s="29"/>
      <c r="AM395" s="29"/>
      <c r="AN395" s="29"/>
      <c r="AO395" s="29"/>
    </row>
    <row r="396" ht="15.75" customHeight="1">
      <c r="AE396" s="29"/>
      <c r="AF396" s="29"/>
      <c r="AG396" s="29"/>
      <c r="AH396" s="29"/>
      <c r="AI396" s="29"/>
      <c r="AJ396" s="29"/>
      <c r="AK396" s="29"/>
      <c r="AL396" s="29"/>
      <c r="AM396" s="29"/>
      <c r="AN396" s="29"/>
      <c r="AO396" s="29"/>
    </row>
    <row r="397" ht="15.75" customHeight="1">
      <c r="AE397" s="29"/>
      <c r="AF397" s="29"/>
      <c r="AG397" s="29"/>
      <c r="AH397" s="29"/>
      <c r="AI397" s="29"/>
      <c r="AJ397" s="29"/>
      <c r="AK397" s="29"/>
      <c r="AL397" s="29"/>
      <c r="AM397" s="29"/>
      <c r="AN397" s="29"/>
      <c r="AO397" s="29"/>
    </row>
    <row r="398" ht="15.75" customHeight="1">
      <c r="AE398" s="29"/>
      <c r="AF398" s="29"/>
      <c r="AG398" s="29"/>
      <c r="AH398" s="29"/>
      <c r="AI398" s="29"/>
      <c r="AJ398" s="29"/>
      <c r="AK398" s="29"/>
      <c r="AL398" s="29"/>
      <c r="AM398" s="29"/>
      <c r="AN398" s="29"/>
      <c r="AO398" s="29"/>
    </row>
    <row r="399" ht="15.75" customHeight="1">
      <c r="AE399" s="29"/>
      <c r="AF399" s="29"/>
      <c r="AG399" s="29"/>
      <c r="AH399" s="29"/>
      <c r="AI399" s="29"/>
      <c r="AJ399" s="29"/>
      <c r="AK399" s="29"/>
      <c r="AL399" s="29"/>
      <c r="AM399" s="29"/>
      <c r="AN399" s="29"/>
      <c r="AO399" s="29"/>
    </row>
    <row r="400" ht="15.75" customHeight="1">
      <c r="AE400" s="29"/>
      <c r="AF400" s="29"/>
      <c r="AG400" s="29"/>
      <c r="AH400" s="29"/>
      <c r="AI400" s="29"/>
      <c r="AJ400" s="29"/>
      <c r="AK400" s="29"/>
      <c r="AL400" s="29"/>
      <c r="AM400" s="29"/>
      <c r="AN400" s="29"/>
      <c r="AO400" s="29"/>
    </row>
    <row r="401" ht="15.75" customHeight="1">
      <c r="AE401" s="29"/>
      <c r="AF401" s="29"/>
      <c r="AG401" s="29"/>
      <c r="AH401" s="29"/>
      <c r="AI401" s="29"/>
      <c r="AJ401" s="29"/>
      <c r="AK401" s="29"/>
      <c r="AL401" s="29"/>
      <c r="AM401" s="29"/>
      <c r="AN401" s="29"/>
      <c r="AO401" s="29"/>
    </row>
    <row r="402" ht="15.75" customHeight="1">
      <c r="AE402" s="29"/>
      <c r="AF402" s="29"/>
      <c r="AG402" s="29"/>
      <c r="AH402" s="29"/>
      <c r="AI402" s="29"/>
      <c r="AJ402" s="29"/>
      <c r="AK402" s="29"/>
      <c r="AL402" s="29"/>
      <c r="AM402" s="29"/>
      <c r="AN402" s="29"/>
      <c r="AO402" s="29"/>
    </row>
    <row r="403" ht="15.75" customHeight="1">
      <c r="AE403" s="29"/>
      <c r="AF403" s="29"/>
      <c r="AG403" s="29"/>
      <c r="AH403" s="29"/>
      <c r="AI403" s="29"/>
      <c r="AJ403" s="29"/>
      <c r="AK403" s="29"/>
      <c r="AL403" s="29"/>
      <c r="AM403" s="29"/>
      <c r="AN403" s="29"/>
      <c r="AO403" s="29"/>
    </row>
    <row r="404" ht="15.75" customHeight="1">
      <c r="AE404" s="29"/>
      <c r="AF404" s="29"/>
      <c r="AG404" s="29"/>
      <c r="AH404" s="29"/>
      <c r="AI404" s="29"/>
      <c r="AJ404" s="29"/>
      <c r="AK404" s="29"/>
      <c r="AL404" s="29"/>
      <c r="AM404" s="29"/>
      <c r="AN404" s="29"/>
      <c r="AO404" s="29"/>
    </row>
    <row r="405" ht="15.75" customHeight="1">
      <c r="AE405" s="29"/>
      <c r="AF405" s="29"/>
      <c r="AG405" s="29"/>
      <c r="AH405" s="29"/>
      <c r="AI405" s="29"/>
      <c r="AJ405" s="29"/>
      <c r="AK405" s="29"/>
      <c r="AL405" s="29"/>
      <c r="AM405" s="29"/>
      <c r="AN405" s="29"/>
      <c r="AO405" s="29"/>
    </row>
    <row r="406" ht="15.75" customHeight="1">
      <c r="AE406" s="29"/>
      <c r="AF406" s="29"/>
      <c r="AG406" s="29"/>
      <c r="AH406" s="29"/>
      <c r="AI406" s="29"/>
      <c r="AJ406" s="29"/>
      <c r="AK406" s="29"/>
      <c r="AL406" s="29"/>
      <c r="AM406" s="29"/>
      <c r="AN406" s="29"/>
      <c r="AO406" s="29"/>
    </row>
    <row r="407" ht="15.75" customHeight="1">
      <c r="AE407" s="29"/>
      <c r="AF407" s="29"/>
      <c r="AG407" s="29"/>
      <c r="AH407" s="29"/>
      <c r="AI407" s="29"/>
      <c r="AJ407" s="29"/>
      <c r="AK407" s="29"/>
      <c r="AL407" s="29"/>
      <c r="AM407" s="29"/>
      <c r="AN407" s="29"/>
      <c r="AO407" s="29"/>
    </row>
    <row r="408" ht="15.75" customHeight="1">
      <c r="AE408" s="29"/>
      <c r="AF408" s="29"/>
      <c r="AG408" s="29"/>
      <c r="AH408" s="29"/>
      <c r="AI408" s="29"/>
      <c r="AJ408" s="29"/>
      <c r="AK408" s="29"/>
      <c r="AL408" s="29"/>
      <c r="AM408" s="29"/>
      <c r="AN408" s="29"/>
      <c r="AO408" s="29"/>
    </row>
    <row r="409" ht="15.75" customHeight="1">
      <c r="AE409" s="29"/>
      <c r="AF409" s="29"/>
      <c r="AG409" s="29"/>
      <c r="AH409" s="29"/>
      <c r="AI409" s="29"/>
      <c r="AJ409" s="29"/>
      <c r="AK409" s="29"/>
      <c r="AL409" s="29"/>
      <c r="AM409" s="29"/>
      <c r="AN409" s="29"/>
      <c r="AO409" s="29"/>
    </row>
    <row r="410" ht="15.75" customHeight="1">
      <c r="AE410" s="29"/>
      <c r="AF410" s="29"/>
      <c r="AG410" s="29"/>
      <c r="AH410" s="29"/>
      <c r="AI410" s="29"/>
      <c r="AJ410" s="29"/>
      <c r="AK410" s="29"/>
      <c r="AL410" s="29"/>
      <c r="AM410" s="29"/>
      <c r="AN410" s="29"/>
      <c r="AO410" s="29"/>
    </row>
    <row r="411" ht="15.75" customHeight="1">
      <c r="AE411" s="29"/>
      <c r="AF411" s="29"/>
      <c r="AG411" s="29"/>
      <c r="AH411" s="29"/>
      <c r="AI411" s="29"/>
      <c r="AJ411" s="29"/>
      <c r="AK411" s="29"/>
      <c r="AL411" s="29"/>
      <c r="AM411" s="29"/>
      <c r="AN411" s="29"/>
      <c r="AO411" s="29"/>
    </row>
    <row r="412" ht="15.75" customHeight="1">
      <c r="AE412" s="29"/>
      <c r="AF412" s="29"/>
      <c r="AG412" s="29"/>
      <c r="AH412" s="29"/>
      <c r="AI412" s="29"/>
      <c r="AJ412" s="29"/>
      <c r="AK412" s="29"/>
      <c r="AL412" s="29"/>
      <c r="AM412" s="29"/>
      <c r="AN412" s="29"/>
      <c r="AO412" s="29"/>
    </row>
    <row r="413" ht="15.75" customHeight="1">
      <c r="AE413" s="29"/>
      <c r="AF413" s="29"/>
      <c r="AG413" s="29"/>
      <c r="AH413" s="29"/>
      <c r="AI413" s="29"/>
      <c r="AJ413" s="29"/>
      <c r="AK413" s="29"/>
      <c r="AL413" s="29"/>
      <c r="AM413" s="29"/>
      <c r="AN413" s="29"/>
      <c r="AO413" s="29"/>
    </row>
    <row r="414" ht="15.75" customHeight="1">
      <c r="AE414" s="29"/>
      <c r="AF414" s="29"/>
      <c r="AG414" s="29"/>
      <c r="AH414" s="29"/>
      <c r="AI414" s="29"/>
      <c r="AJ414" s="29"/>
      <c r="AK414" s="29"/>
      <c r="AL414" s="29"/>
      <c r="AM414" s="29"/>
      <c r="AN414" s="29"/>
      <c r="AO414" s="29"/>
    </row>
    <row r="415" ht="15.75" customHeight="1">
      <c r="AE415" s="29"/>
      <c r="AF415" s="29"/>
      <c r="AG415" s="29"/>
      <c r="AH415" s="29"/>
      <c r="AI415" s="29"/>
      <c r="AJ415" s="29"/>
      <c r="AK415" s="29"/>
      <c r="AL415" s="29"/>
      <c r="AM415" s="29"/>
      <c r="AN415" s="29"/>
      <c r="AO415" s="29"/>
    </row>
    <row r="416" ht="15.75" customHeight="1">
      <c r="AE416" s="29"/>
      <c r="AF416" s="29"/>
      <c r="AG416" s="29"/>
      <c r="AH416" s="29"/>
      <c r="AI416" s="29"/>
      <c r="AJ416" s="29"/>
      <c r="AK416" s="29"/>
      <c r="AL416" s="29"/>
      <c r="AM416" s="29"/>
      <c r="AN416" s="29"/>
      <c r="AO416" s="29"/>
    </row>
    <row r="417" ht="15.75" customHeight="1">
      <c r="AE417" s="29"/>
      <c r="AF417" s="29"/>
      <c r="AG417" s="29"/>
      <c r="AH417" s="29"/>
      <c r="AI417" s="29"/>
      <c r="AJ417" s="29"/>
      <c r="AK417" s="29"/>
      <c r="AL417" s="29"/>
      <c r="AM417" s="29"/>
      <c r="AN417" s="29"/>
      <c r="AO417" s="29"/>
    </row>
    <row r="418" ht="15.75" customHeight="1">
      <c r="AE418" s="29"/>
      <c r="AF418" s="29"/>
      <c r="AG418" s="29"/>
      <c r="AH418" s="29"/>
      <c r="AI418" s="29"/>
      <c r="AJ418" s="29"/>
      <c r="AK418" s="29"/>
      <c r="AL418" s="29"/>
      <c r="AM418" s="29"/>
      <c r="AN418" s="29"/>
      <c r="AO418" s="29"/>
    </row>
    <row r="419" ht="15.75" customHeight="1">
      <c r="AE419" s="29"/>
      <c r="AF419" s="29"/>
      <c r="AG419" s="29"/>
      <c r="AH419" s="29"/>
      <c r="AI419" s="29"/>
      <c r="AJ419" s="29"/>
      <c r="AK419" s="29"/>
      <c r="AL419" s="29"/>
      <c r="AM419" s="29"/>
      <c r="AN419" s="29"/>
      <c r="AO419" s="29"/>
    </row>
    <row r="420" ht="15.75" customHeight="1">
      <c r="AE420" s="29"/>
      <c r="AF420" s="29"/>
      <c r="AG420" s="29"/>
      <c r="AH420" s="29"/>
      <c r="AI420" s="29"/>
      <c r="AJ420" s="29"/>
      <c r="AK420" s="29"/>
      <c r="AL420" s="29"/>
      <c r="AM420" s="29"/>
      <c r="AN420" s="29"/>
      <c r="AO420" s="29"/>
    </row>
    <row r="421" ht="15.75" customHeight="1">
      <c r="AE421" s="29"/>
      <c r="AF421" s="29"/>
      <c r="AG421" s="29"/>
      <c r="AH421" s="29"/>
      <c r="AI421" s="29"/>
      <c r="AJ421" s="29"/>
      <c r="AK421" s="29"/>
      <c r="AL421" s="29"/>
      <c r="AM421" s="29"/>
      <c r="AN421" s="29"/>
      <c r="AO421" s="29"/>
    </row>
    <row r="422" ht="15.75" customHeight="1">
      <c r="AE422" s="29"/>
      <c r="AF422" s="29"/>
      <c r="AG422" s="29"/>
      <c r="AH422" s="29"/>
      <c r="AI422" s="29"/>
      <c r="AJ422" s="29"/>
      <c r="AK422" s="29"/>
      <c r="AL422" s="29"/>
      <c r="AM422" s="29"/>
      <c r="AN422" s="29"/>
      <c r="AO422" s="29"/>
    </row>
    <row r="423" ht="15.75" customHeight="1">
      <c r="AE423" s="29"/>
      <c r="AF423" s="29"/>
      <c r="AG423" s="29"/>
      <c r="AH423" s="29"/>
      <c r="AI423" s="29"/>
      <c r="AJ423" s="29"/>
      <c r="AK423" s="29"/>
      <c r="AL423" s="29"/>
      <c r="AM423" s="29"/>
      <c r="AN423" s="29"/>
      <c r="AO423" s="29"/>
    </row>
    <row r="424" ht="15.75" customHeight="1">
      <c r="AE424" s="29"/>
      <c r="AF424" s="29"/>
      <c r="AG424" s="29"/>
      <c r="AH424" s="29"/>
      <c r="AI424" s="29"/>
      <c r="AJ424" s="29"/>
      <c r="AK424" s="29"/>
      <c r="AL424" s="29"/>
      <c r="AM424" s="29"/>
      <c r="AN424" s="29"/>
      <c r="AO424" s="29"/>
    </row>
    <row r="425" ht="15.75" customHeight="1">
      <c r="AE425" s="29"/>
      <c r="AF425" s="29"/>
      <c r="AG425" s="29"/>
      <c r="AH425" s="29"/>
      <c r="AI425" s="29"/>
      <c r="AJ425" s="29"/>
      <c r="AK425" s="29"/>
      <c r="AL425" s="29"/>
      <c r="AM425" s="29"/>
      <c r="AN425" s="29"/>
      <c r="AO425" s="29"/>
    </row>
    <row r="426" ht="15.75" customHeight="1">
      <c r="AE426" s="29"/>
      <c r="AF426" s="29"/>
      <c r="AG426" s="29"/>
      <c r="AH426" s="29"/>
      <c r="AI426" s="29"/>
      <c r="AJ426" s="29"/>
      <c r="AK426" s="29"/>
      <c r="AL426" s="29"/>
      <c r="AM426" s="29"/>
      <c r="AN426" s="29"/>
      <c r="AO426" s="29"/>
    </row>
    <row r="427" ht="15.75" customHeight="1">
      <c r="AE427" s="29"/>
      <c r="AF427" s="29"/>
      <c r="AG427" s="29"/>
      <c r="AH427" s="29"/>
      <c r="AI427" s="29"/>
      <c r="AJ427" s="29"/>
      <c r="AK427" s="29"/>
      <c r="AL427" s="29"/>
      <c r="AM427" s="29"/>
      <c r="AN427" s="29"/>
      <c r="AO427" s="29"/>
    </row>
    <row r="428" ht="15.75" customHeight="1">
      <c r="AE428" s="29"/>
      <c r="AF428" s="29"/>
      <c r="AG428" s="29"/>
      <c r="AH428" s="29"/>
      <c r="AI428" s="29"/>
      <c r="AJ428" s="29"/>
      <c r="AK428" s="29"/>
      <c r="AL428" s="29"/>
      <c r="AM428" s="29"/>
      <c r="AN428" s="29"/>
      <c r="AO428" s="29"/>
    </row>
    <row r="429" ht="15.75" customHeight="1">
      <c r="AE429" s="29"/>
      <c r="AF429" s="29"/>
      <c r="AG429" s="29"/>
      <c r="AH429" s="29"/>
      <c r="AI429" s="29"/>
      <c r="AJ429" s="29"/>
      <c r="AK429" s="29"/>
      <c r="AL429" s="29"/>
      <c r="AM429" s="29"/>
      <c r="AN429" s="29"/>
      <c r="AO429" s="29"/>
    </row>
    <row r="430" ht="15.75" customHeight="1">
      <c r="AE430" s="29"/>
      <c r="AF430" s="29"/>
      <c r="AG430" s="29"/>
      <c r="AH430" s="29"/>
      <c r="AI430" s="29"/>
      <c r="AJ430" s="29"/>
      <c r="AK430" s="29"/>
      <c r="AL430" s="29"/>
      <c r="AM430" s="29"/>
      <c r="AN430" s="29"/>
      <c r="AO430" s="29"/>
    </row>
    <row r="431" ht="15.75" customHeight="1">
      <c r="AE431" s="29"/>
      <c r="AF431" s="29"/>
      <c r="AG431" s="29"/>
      <c r="AH431" s="29"/>
      <c r="AI431" s="29"/>
      <c r="AJ431" s="29"/>
      <c r="AK431" s="29"/>
      <c r="AL431" s="29"/>
      <c r="AM431" s="29"/>
      <c r="AN431" s="29"/>
      <c r="AO431" s="29"/>
    </row>
    <row r="432" ht="15.75" customHeight="1">
      <c r="AE432" s="29"/>
      <c r="AF432" s="29"/>
      <c r="AG432" s="29"/>
      <c r="AH432" s="29"/>
      <c r="AI432" s="29"/>
      <c r="AJ432" s="29"/>
      <c r="AK432" s="29"/>
      <c r="AL432" s="29"/>
      <c r="AM432" s="29"/>
      <c r="AN432" s="29"/>
      <c r="AO432" s="29"/>
    </row>
    <row r="433" ht="15.75" customHeight="1">
      <c r="AE433" s="29"/>
      <c r="AF433" s="29"/>
      <c r="AG433" s="29"/>
      <c r="AH433" s="29"/>
      <c r="AI433" s="29"/>
      <c r="AJ433" s="29"/>
      <c r="AK433" s="29"/>
      <c r="AL433" s="29"/>
      <c r="AM433" s="29"/>
      <c r="AN433" s="29"/>
      <c r="AO433" s="29"/>
    </row>
    <row r="434" ht="15.75" customHeight="1">
      <c r="AE434" s="29"/>
      <c r="AF434" s="29"/>
      <c r="AG434" s="29"/>
      <c r="AH434" s="29"/>
      <c r="AI434" s="29"/>
      <c r="AJ434" s="29"/>
      <c r="AK434" s="29"/>
      <c r="AL434" s="29"/>
      <c r="AM434" s="29"/>
      <c r="AN434" s="29"/>
      <c r="AO434" s="29"/>
    </row>
    <row r="435" ht="15.75" customHeight="1">
      <c r="AE435" s="29"/>
      <c r="AF435" s="29"/>
      <c r="AG435" s="29"/>
      <c r="AH435" s="29"/>
      <c r="AI435" s="29"/>
      <c r="AJ435" s="29"/>
      <c r="AK435" s="29"/>
      <c r="AL435" s="29"/>
      <c r="AM435" s="29"/>
      <c r="AN435" s="29"/>
      <c r="AO435" s="29"/>
    </row>
    <row r="436" ht="15.75" customHeight="1">
      <c r="AE436" s="29"/>
      <c r="AF436" s="29"/>
      <c r="AG436" s="29"/>
      <c r="AH436" s="29"/>
      <c r="AI436" s="29"/>
      <c r="AJ436" s="29"/>
      <c r="AK436" s="29"/>
      <c r="AL436" s="29"/>
      <c r="AM436" s="29"/>
      <c r="AN436" s="29"/>
      <c r="AO436" s="29"/>
    </row>
    <row r="437" ht="15.75" customHeight="1">
      <c r="AE437" s="29"/>
      <c r="AF437" s="29"/>
      <c r="AG437" s="29"/>
      <c r="AH437" s="29"/>
      <c r="AI437" s="29"/>
      <c r="AJ437" s="29"/>
      <c r="AK437" s="29"/>
      <c r="AL437" s="29"/>
      <c r="AM437" s="29"/>
      <c r="AN437" s="29"/>
      <c r="AO437" s="29"/>
    </row>
    <row r="438" ht="15.75" customHeight="1">
      <c r="AE438" s="29"/>
      <c r="AF438" s="29"/>
      <c r="AG438" s="29"/>
      <c r="AH438" s="29"/>
      <c r="AI438" s="29"/>
      <c r="AJ438" s="29"/>
      <c r="AK438" s="29"/>
      <c r="AL438" s="29"/>
      <c r="AM438" s="29"/>
      <c r="AN438" s="29"/>
      <c r="AO438" s="29"/>
    </row>
    <row r="439" ht="15.75" customHeight="1">
      <c r="AE439" s="29"/>
      <c r="AF439" s="29"/>
      <c r="AG439" s="29"/>
      <c r="AH439" s="29"/>
      <c r="AI439" s="29"/>
      <c r="AJ439" s="29"/>
      <c r="AK439" s="29"/>
      <c r="AL439" s="29"/>
      <c r="AM439" s="29"/>
      <c r="AN439" s="29"/>
      <c r="AO439" s="29"/>
    </row>
    <row r="440" ht="15.75" customHeight="1">
      <c r="AE440" s="29"/>
      <c r="AF440" s="29"/>
      <c r="AG440" s="29"/>
      <c r="AH440" s="29"/>
      <c r="AI440" s="29"/>
      <c r="AJ440" s="29"/>
      <c r="AK440" s="29"/>
      <c r="AL440" s="29"/>
      <c r="AM440" s="29"/>
      <c r="AN440" s="29"/>
      <c r="AO440" s="29"/>
    </row>
    <row r="441" ht="15.75" customHeight="1">
      <c r="AE441" s="29"/>
      <c r="AF441" s="29"/>
      <c r="AG441" s="29"/>
      <c r="AH441" s="29"/>
      <c r="AI441" s="29"/>
      <c r="AJ441" s="29"/>
      <c r="AK441" s="29"/>
      <c r="AL441" s="29"/>
      <c r="AM441" s="29"/>
      <c r="AN441" s="29"/>
      <c r="AO441" s="29"/>
    </row>
    <row r="442" ht="15.75" customHeight="1">
      <c r="AE442" s="29"/>
      <c r="AF442" s="29"/>
      <c r="AG442" s="29"/>
      <c r="AH442" s="29"/>
      <c r="AI442" s="29"/>
      <c r="AJ442" s="29"/>
      <c r="AK442" s="29"/>
      <c r="AL442" s="29"/>
      <c r="AM442" s="29"/>
      <c r="AN442" s="29"/>
      <c r="AO442" s="29"/>
    </row>
    <row r="443" ht="15.75" customHeight="1">
      <c r="AE443" s="29"/>
      <c r="AF443" s="29"/>
      <c r="AG443" s="29"/>
      <c r="AH443" s="29"/>
      <c r="AI443" s="29"/>
      <c r="AJ443" s="29"/>
      <c r="AK443" s="29"/>
      <c r="AL443" s="29"/>
      <c r="AM443" s="29"/>
      <c r="AN443" s="29"/>
      <c r="AO443" s="29"/>
    </row>
    <row r="444" ht="15.75" customHeight="1">
      <c r="AE444" s="29"/>
      <c r="AF444" s="29"/>
      <c r="AG444" s="29"/>
      <c r="AH444" s="29"/>
      <c r="AI444" s="29"/>
      <c r="AJ444" s="29"/>
      <c r="AK444" s="29"/>
      <c r="AL444" s="29"/>
      <c r="AM444" s="29"/>
      <c r="AN444" s="29"/>
      <c r="AO444" s="29"/>
    </row>
    <row r="445" ht="15.75" customHeight="1">
      <c r="AE445" s="29"/>
      <c r="AF445" s="29"/>
      <c r="AG445" s="29"/>
      <c r="AH445" s="29"/>
      <c r="AI445" s="29"/>
      <c r="AJ445" s="29"/>
      <c r="AK445" s="29"/>
      <c r="AL445" s="29"/>
      <c r="AM445" s="29"/>
      <c r="AN445" s="29"/>
      <c r="AO445" s="29"/>
    </row>
    <row r="446" ht="15.75" customHeight="1">
      <c r="AE446" s="29"/>
      <c r="AF446" s="29"/>
      <c r="AG446" s="29"/>
      <c r="AH446" s="29"/>
      <c r="AI446" s="29"/>
      <c r="AJ446" s="29"/>
      <c r="AK446" s="29"/>
      <c r="AL446" s="29"/>
      <c r="AM446" s="29"/>
      <c r="AN446" s="29"/>
      <c r="AO446" s="29"/>
    </row>
    <row r="447" ht="15.75" customHeight="1">
      <c r="AE447" s="29"/>
      <c r="AF447" s="29"/>
      <c r="AG447" s="29"/>
      <c r="AH447" s="29"/>
      <c r="AI447" s="29"/>
      <c r="AJ447" s="29"/>
      <c r="AK447" s="29"/>
      <c r="AL447" s="29"/>
      <c r="AM447" s="29"/>
      <c r="AN447" s="29"/>
      <c r="AO447" s="29"/>
    </row>
    <row r="448" ht="15.75" customHeight="1">
      <c r="AE448" s="29"/>
      <c r="AF448" s="29"/>
      <c r="AG448" s="29"/>
      <c r="AH448" s="29"/>
      <c r="AI448" s="29"/>
      <c r="AJ448" s="29"/>
      <c r="AK448" s="29"/>
      <c r="AL448" s="29"/>
      <c r="AM448" s="29"/>
      <c r="AN448" s="29"/>
      <c r="AO448" s="29"/>
    </row>
    <row r="449" ht="15.75" customHeight="1">
      <c r="AE449" s="29"/>
      <c r="AF449" s="29"/>
      <c r="AG449" s="29"/>
      <c r="AH449" s="29"/>
      <c r="AI449" s="29"/>
      <c r="AJ449" s="29"/>
      <c r="AK449" s="29"/>
      <c r="AL449" s="29"/>
      <c r="AM449" s="29"/>
      <c r="AN449" s="29"/>
      <c r="AO449" s="29"/>
    </row>
    <row r="450" ht="15.75" customHeight="1">
      <c r="AE450" s="29"/>
      <c r="AF450" s="29"/>
      <c r="AG450" s="29"/>
      <c r="AH450" s="29"/>
      <c r="AI450" s="29"/>
      <c r="AJ450" s="29"/>
      <c r="AK450" s="29"/>
      <c r="AL450" s="29"/>
      <c r="AM450" s="29"/>
      <c r="AN450" s="29"/>
      <c r="AO450" s="29"/>
    </row>
    <row r="451" ht="15.75" customHeight="1">
      <c r="AE451" s="29"/>
      <c r="AF451" s="29"/>
      <c r="AG451" s="29"/>
      <c r="AH451" s="29"/>
      <c r="AI451" s="29"/>
      <c r="AJ451" s="29"/>
      <c r="AK451" s="29"/>
      <c r="AL451" s="29"/>
      <c r="AM451" s="29"/>
      <c r="AN451" s="29"/>
      <c r="AO451" s="29"/>
    </row>
    <row r="452" ht="15.75" customHeight="1">
      <c r="AE452" s="29"/>
      <c r="AF452" s="29"/>
      <c r="AG452" s="29"/>
      <c r="AH452" s="29"/>
      <c r="AI452" s="29"/>
      <c r="AJ452" s="29"/>
      <c r="AK452" s="29"/>
      <c r="AL452" s="29"/>
      <c r="AM452" s="29"/>
      <c r="AN452" s="29"/>
      <c r="AO452" s="29"/>
    </row>
    <row r="453" ht="15.75" customHeight="1">
      <c r="AE453" s="29"/>
      <c r="AF453" s="29"/>
      <c r="AG453" s="29"/>
      <c r="AH453" s="29"/>
      <c r="AI453" s="29"/>
      <c r="AJ453" s="29"/>
      <c r="AK453" s="29"/>
      <c r="AL453" s="29"/>
      <c r="AM453" s="29"/>
      <c r="AN453" s="29"/>
      <c r="AO453" s="29"/>
    </row>
    <row r="454" ht="15.75" customHeight="1">
      <c r="AE454" s="29"/>
      <c r="AF454" s="29"/>
      <c r="AG454" s="29"/>
      <c r="AH454" s="29"/>
      <c r="AI454" s="29"/>
      <c r="AJ454" s="29"/>
      <c r="AK454" s="29"/>
      <c r="AL454" s="29"/>
      <c r="AM454" s="29"/>
      <c r="AN454" s="29"/>
      <c r="AO454" s="29"/>
    </row>
    <row r="455" ht="15.75" customHeight="1">
      <c r="AE455" s="29"/>
      <c r="AF455" s="29"/>
      <c r="AG455" s="29"/>
      <c r="AH455" s="29"/>
      <c r="AI455" s="29"/>
      <c r="AJ455" s="29"/>
      <c r="AK455" s="29"/>
      <c r="AL455" s="29"/>
      <c r="AM455" s="29"/>
      <c r="AN455" s="29"/>
      <c r="AO455" s="29"/>
    </row>
    <row r="456" ht="15.75" customHeight="1">
      <c r="AE456" s="29"/>
      <c r="AF456" s="29"/>
      <c r="AG456" s="29"/>
      <c r="AH456" s="29"/>
      <c r="AI456" s="29"/>
      <c r="AJ456" s="29"/>
      <c r="AK456" s="29"/>
      <c r="AL456" s="29"/>
      <c r="AM456" s="29"/>
      <c r="AN456" s="29"/>
      <c r="AO456" s="29"/>
    </row>
    <row r="457" ht="15.75" customHeight="1">
      <c r="AE457" s="29"/>
      <c r="AF457" s="29"/>
      <c r="AG457" s="29"/>
      <c r="AH457" s="29"/>
      <c r="AI457" s="29"/>
      <c r="AJ457" s="29"/>
      <c r="AK457" s="29"/>
      <c r="AL457" s="29"/>
      <c r="AM457" s="29"/>
      <c r="AN457" s="29"/>
      <c r="AO457" s="29"/>
    </row>
    <row r="458" ht="15.75" customHeight="1">
      <c r="AE458" s="29"/>
      <c r="AF458" s="29"/>
      <c r="AG458" s="29"/>
      <c r="AH458" s="29"/>
      <c r="AI458" s="29"/>
      <c r="AJ458" s="29"/>
      <c r="AK458" s="29"/>
      <c r="AL458" s="29"/>
      <c r="AM458" s="29"/>
      <c r="AN458" s="29"/>
      <c r="AO458" s="29"/>
    </row>
    <row r="459" ht="15.75" customHeight="1">
      <c r="AE459" s="29"/>
      <c r="AF459" s="29"/>
      <c r="AG459" s="29"/>
      <c r="AH459" s="29"/>
      <c r="AI459" s="29"/>
      <c r="AJ459" s="29"/>
      <c r="AK459" s="29"/>
      <c r="AL459" s="29"/>
      <c r="AM459" s="29"/>
      <c r="AN459" s="29"/>
      <c r="AO459" s="29"/>
    </row>
    <row r="460" ht="15.75" customHeight="1">
      <c r="AE460" s="29"/>
      <c r="AF460" s="29"/>
      <c r="AG460" s="29"/>
      <c r="AH460" s="29"/>
      <c r="AI460" s="29"/>
      <c r="AJ460" s="29"/>
      <c r="AK460" s="29"/>
      <c r="AL460" s="29"/>
      <c r="AM460" s="29"/>
      <c r="AN460" s="29"/>
      <c r="AO460" s="29"/>
    </row>
    <row r="461" ht="15.75" customHeight="1">
      <c r="AE461" s="29"/>
      <c r="AF461" s="29"/>
      <c r="AG461" s="29"/>
      <c r="AH461" s="29"/>
      <c r="AI461" s="29"/>
      <c r="AJ461" s="29"/>
      <c r="AK461" s="29"/>
      <c r="AL461" s="29"/>
      <c r="AM461" s="29"/>
      <c r="AN461" s="29"/>
      <c r="AO461" s="29"/>
    </row>
    <row r="462" ht="15.75" customHeight="1">
      <c r="AE462" s="29"/>
      <c r="AF462" s="29"/>
      <c r="AG462" s="29"/>
      <c r="AH462" s="29"/>
      <c r="AI462" s="29"/>
      <c r="AJ462" s="29"/>
      <c r="AK462" s="29"/>
      <c r="AL462" s="29"/>
      <c r="AM462" s="29"/>
      <c r="AN462" s="29"/>
      <c r="AO462" s="29"/>
    </row>
    <row r="463" ht="15.75" customHeight="1">
      <c r="AE463" s="29"/>
      <c r="AF463" s="29"/>
      <c r="AG463" s="29"/>
      <c r="AH463" s="29"/>
      <c r="AI463" s="29"/>
      <c r="AJ463" s="29"/>
      <c r="AK463" s="29"/>
      <c r="AL463" s="29"/>
      <c r="AM463" s="29"/>
      <c r="AN463" s="29"/>
      <c r="AO463" s="29"/>
    </row>
    <row r="464" ht="15.75" customHeight="1">
      <c r="AE464" s="29"/>
      <c r="AF464" s="29"/>
      <c r="AG464" s="29"/>
      <c r="AH464" s="29"/>
      <c r="AI464" s="29"/>
      <c r="AJ464" s="29"/>
      <c r="AK464" s="29"/>
      <c r="AL464" s="29"/>
      <c r="AM464" s="29"/>
      <c r="AN464" s="29"/>
      <c r="AO464" s="29"/>
    </row>
    <row r="465" ht="15.75" customHeight="1">
      <c r="AE465" s="29"/>
      <c r="AF465" s="29"/>
      <c r="AG465" s="29"/>
      <c r="AH465" s="29"/>
      <c r="AI465" s="29"/>
      <c r="AJ465" s="29"/>
      <c r="AK465" s="29"/>
      <c r="AL465" s="29"/>
      <c r="AM465" s="29"/>
      <c r="AN465" s="29"/>
      <c r="AO465" s="29"/>
    </row>
    <row r="466" ht="15.75" customHeight="1">
      <c r="AE466" s="29"/>
      <c r="AF466" s="29"/>
      <c r="AG466" s="29"/>
      <c r="AH466" s="29"/>
      <c r="AI466" s="29"/>
      <c r="AJ466" s="29"/>
      <c r="AK466" s="29"/>
      <c r="AL466" s="29"/>
      <c r="AM466" s="29"/>
      <c r="AN466" s="29"/>
      <c r="AO466" s="29"/>
    </row>
    <row r="467" ht="15.75" customHeight="1">
      <c r="AE467" s="29"/>
      <c r="AF467" s="29"/>
      <c r="AG467" s="29"/>
      <c r="AH467" s="29"/>
      <c r="AI467" s="29"/>
      <c r="AJ467" s="29"/>
      <c r="AK467" s="29"/>
      <c r="AL467" s="29"/>
      <c r="AM467" s="29"/>
      <c r="AN467" s="29"/>
      <c r="AO467" s="29"/>
    </row>
    <row r="468" ht="15.75" customHeight="1">
      <c r="AE468" s="29"/>
      <c r="AF468" s="29"/>
      <c r="AG468" s="29"/>
      <c r="AH468" s="29"/>
      <c r="AI468" s="29"/>
      <c r="AJ468" s="29"/>
      <c r="AK468" s="29"/>
      <c r="AL468" s="29"/>
      <c r="AM468" s="29"/>
      <c r="AN468" s="29"/>
      <c r="AO468" s="29"/>
    </row>
    <row r="469" ht="15.75" customHeight="1">
      <c r="AE469" s="29"/>
      <c r="AF469" s="29"/>
      <c r="AG469" s="29"/>
      <c r="AH469" s="29"/>
      <c r="AI469" s="29"/>
      <c r="AJ469" s="29"/>
      <c r="AK469" s="29"/>
      <c r="AL469" s="29"/>
      <c r="AM469" s="29"/>
      <c r="AN469" s="29"/>
      <c r="AO469" s="29"/>
    </row>
    <row r="470" ht="15.75" customHeight="1">
      <c r="AE470" s="29"/>
      <c r="AF470" s="29"/>
      <c r="AG470" s="29"/>
      <c r="AH470" s="29"/>
      <c r="AI470" s="29"/>
      <c r="AJ470" s="29"/>
      <c r="AK470" s="29"/>
      <c r="AL470" s="29"/>
      <c r="AM470" s="29"/>
      <c r="AN470" s="29"/>
      <c r="AO470" s="29"/>
    </row>
    <row r="471" ht="15.75" customHeight="1">
      <c r="AE471" s="29"/>
      <c r="AF471" s="29"/>
      <c r="AG471" s="29"/>
      <c r="AH471" s="29"/>
      <c r="AI471" s="29"/>
      <c r="AJ471" s="29"/>
      <c r="AK471" s="29"/>
      <c r="AL471" s="29"/>
      <c r="AM471" s="29"/>
      <c r="AN471" s="29"/>
      <c r="AO471" s="29"/>
    </row>
    <row r="472" ht="15.75" customHeight="1">
      <c r="AE472" s="29"/>
      <c r="AF472" s="29"/>
      <c r="AG472" s="29"/>
      <c r="AH472" s="29"/>
      <c r="AI472" s="29"/>
      <c r="AJ472" s="29"/>
      <c r="AK472" s="29"/>
      <c r="AL472" s="29"/>
      <c r="AM472" s="29"/>
      <c r="AN472" s="29"/>
      <c r="AO472" s="29"/>
    </row>
    <row r="473" ht="15.75" customHeight="1">
      <c r="AE473" s="29"/>
      <c r="AF473" s="29"/>
      <c r="AG473" s="29"/>
      <c r="AH473" s="29"/>
      <c r="AI473" s="29"/>
      <c r="AJ473" s="29"/>
      <c r="AK473" s="29"/>
      <c r="AL473" s="29"/>
      <c r="AM473" s="29"/>
      <c r="AN473" s="29"/>
      <c r="AO473" s="29"/>
    </row>
    <row r="474" ht="15.75" customHeight="1">
      <c r="AE474" s="29"/>
      <c r="AF474" s="29"/>
      <c r="AG474" s="29"/>
      <c r="AH474" s="29"/>
      <c r="AI474" s="29"/>
      <c r="AJ474" s="29"/>
      <c r="AK474" s="29"/>
      <c r="AL474" s="29"/>
      <c r="AM474" s="29"/>
      <c r="AN474" s="29"/>
      <c r="AO474" s="29"/>
    </row>
    <row r="475" ht="15.75" customHeight="1">
      <c r="AE475" s="29"/>
      <c r="AF475" s="29"/>
      <c r="AG475" s="29"/>
      <c r="AH475" s="29"/>
      <c r="AI475" s="29"/>
      <c r="AJ475" s="29"/>
      <c r="AK475" s="29"/>
      <c r="AL475" s="29"/>
      <c r="AM475" s="29"/>
      <c r="AN475" s="29"/>
      <c r="AO475" s="29"/>
    </row>
    <row r="476" ht="15.75" customHeight="1">
      <c r="AE476" s="29"/>
      <c r="AF476" s="29"/>
      <c r="AG476" s="29"/>
      <c r="AH476" s="29"/>
      <c r="AI476" s="29"/>
      <c r="AJ476" s="29"/>
      <c r="AK476" s="29"/>
      <c r="AL476" s="29"/>
      <c r="AM476" s="29"/>
      <c r="AN476" s="29"/>
      <c r="AO476" s="29"/>
    </row>
    <row r="477" ht="15.75" customHeight="1">
      <c r="AE477" s="29"/>
      <c r="AF477" s="29"/>
      <c r="AG477" s="29"/>
      <c r="AH477" s="29"/>
      <c r="AI477" s="29"/>
      <c r="AJ477" s="29"/>
      <c r="AK477" s="29"/>
      <c r="AL477" s="29"/>
      <c r="AM477" s="29"/>
      <c r="AN477" s="29"/>
      <c r="AO477" s="29"/>
    </row>
    <row r="478" ht="15.75" customHeight="1">
      <c r="AE478" s="29"/>
      <c r="AF478" s="29"/>
      <c r="AG478" s="29"/>
      <c r="AH478" s="29"/>
      <c r="AI478" s="29"/>
      <c r="AJ478" s="29"/>
      <c r="AK478" s="29"/>
      <c r="AL478" s="29"/>
      <c r="AM478" s="29"/>
      <c r="AN478" s="29"/>
      <c r="AO478" s="29"/>
    </row>
    <row r="479" ht="15.75" customHeight="1">
      <c r="AE479" s="29"/>
      <c r="AF479" s="29"/>
      <c r="AG479" s="29"/>
      <c r="AH479" s="29"/>
      <c r="AI479" s="29"/>
      <c r="AJ479" s="29"/>
      <c r="AK479" s="29"/>
      <c r="AL479" s="29"/>
      <c r="AM479" s="29"/>
      <c r="AN479" s="29"/>
      <c r="AO479" s="29"/>
    </row>
    <row r="480" ht="15.75" customHeight="1">
      <c r="AE480" s="29"/>
      <c r="AF480" s="29"/>
      <c r="AG480" s="29"/>
      <c r="AH480" s="29"/>
      <c r="AI480" s="29"/>
      <c r="AJ480" s="29"/>
      <c r="AK480" s="29"/>
      <c r="AL480" s="29"/>
      <c r="AM480" s="29"/>
      <c r="AN480" s="29"/>
      <c r="AO480" s="29"/>
    </row>
    <row r="481" ht="15.75" customHeight="1">
      <c r="AE481" s="29"/>
      <c r="AF481" s="29"/>
      <c r="AG481" s="29"/>
      <c r="AH481" s="29"/>
      <c r="AI481" s="29"/>
      <c r="AJ481" s="29"/>
      <c r="AK481" s="29"/>
      <c r="AL481" s="29"/>
      <c r="AM481" s="29"/>
      <c r="AN481" s="29"/>
      <c r="AO481" s="29"/>
    </row>
    <row r="482" ht="15.75" customHeight="1">
      <c r="AE482" s="29"/>
      <c r="AF482" s="29"/>
      <c r="AG482" s="29"/>
      <c r="AH482" s="29"/>
      <c r="AI482" s="29"/>
      <c r="AJ482" s="29"/>
      <c r="AK482" s="29"/>
      <c r="AL482" s="29"/>
      <c r="AM482" s="29"/>
      <c r="AN482" s="29"/>
      <c r="AO482" s="29"/>
    </row>
    <row r="483" ht="15.75" customHeight="1">
      <c r="AE483" s="29"/>
      <c r="AF483" s="29"/>
      <c r="AG483" s="29"/>
      <c r="AH483" s="29"/>
      <c r="AI483" s="29"/>
      <c r="AJ483" s="29"/>
      <c r="AK483" s="29"/>
      <c r="AL483" s="29"/>
      <c r="AM483" s="29"/>
      <c r="AN483" s="29"/>
      <c r="AO483" s="29"/>
    </row>
    <row r="484" ht="15.75" customHeight="1">
      <c r="AE484" s="29"/>
      <c r="AF484" s="29"/>
      <c r="AG484" s="29"/>
      <c r="AH484" s="29"/>
      <c r="AI484" s="29"/>
      <c r="AJ484" s="29"/>
      <c r="AK484" s="29"/>
      <c r="AL484" s="29"/>
      <c r="AM484" s="29"/>
      <c r="AN484" s="29"/>
      <c r="AO484" s="29"/>
    </row>
    <row r="485" ht="15.75" customHeight="1">
      <c r="AE485" s="29"/>
      <c r="AF485" s="29"/>
      <c r="AG485" s="29"/>
      <c r="AH485" s="29"/>
      <c r="AI485" s="29"/>
      <c r="AJ485" s="29"/>
      <c r="AK485" s="29"/>
      <c r="AL485" s="29"/>
      <c r="AM485" s="29"/>
      <c r="AN485" s="29"/>
      <c r="AO485" s="29"/>
    </row>
    <row r="486" ht="15.75" customHeight="1">
      <c r="AE486" s="29"/>
      <c r="AF486" s="29"/>
      <c r="AG486" s="29"/>
      <c r="AH486" s="29"/>
      <c r="AI486" s="29"/>
      <c r="AJ486" s="29"/>
      <c r="AK486" s="29"/>
      <c r="AL486" s="29"/>
      <c r="AM486" s="29"/>
      <c r="AN486" s="29"/>
      <c r="AO486" s="29"/>
    </row>
    <row r="487" ht="15.75" customHeight="1">
      <c r="AE487" s="29"/>
      <c r="AF487" s="29"/>
      <c r="AG487" s="29"/>
      <c r="AH487" s="29"/>
      <c r="AI487" s="29"/>
      <c r="AJ487" s="29"/>
      <c r="AK487" s="29"/>
      <c r="AL487" s="29"/>
      <c r="AM487" s="29"/>
      <c r="AN487" s="29"/>
      <c r="AO487" s="29"/>
    </row>
    <row r="488" ht="15.75" customHeight="1">
      <c r="AE488" s="29"/>
      <c r="AF488" s="29"/>
      <c r="AG488" s="29"/>
      <c r="AH488" s="29"/>
      <c r="AI488" s="29"/>
      <c r="AJ488" s="29"/>
      <c r="AK488" s="29"/>
      <c r="AL488" s="29"/>
      <c r="AM488" s="29"/>
      <c r="AN488" s="29"/>
      <c r="AO488" s="29"/>
    </row>
    <row r="489" ht="15.75" customHeight="1">
      <c r="AE489" s="29"/>
      <c r="AF489" s="29"/>
      <c r="AG489" s="29"/>
      <c r="AH489" s="29"/>
      <c r="AI489" s="29"/>
      <c r="AJ489" s="29"/>
      <c r="AK489" s="29"/>
      <c r="AL489" s="29"/>
      <c r="AM489" s="29"/>
      <c r="AN489" s="29"/>
      <c r="AO489" s="29"/>
    </row>
    <row r="490" ht="15.75" customHeight="1">
      <c r="AE490" s="29"/>
      <c r="AF490" s="29"/>
      <c r="AG490" s="29"/>
      <c r="AH490" s="29"/>
      <c r="AI490" s="29"/>
      <c r="AJ490" s="29"/>
      <c r="AK490" s="29"/>
      <c r="AL490" s="29"/>
      <c r="AM490" s="29"/>
      <c r="AN490" s="29"/>
      <c r="AO490" s="29"/>
    </row>
    <row r="491" ht="15.75" customHeight="1">
      <c r="AE491" s="29"/>
      <c r="AF491" s="29"/>
      <c r="AG491" s="29"/>
      <c r="AH491" s="29"/>
      <c r="AI491" s="29"/>
      <c r="AJ491" s="29"/>
      <c r="AK491" s="29"/>
      <c r="AL491" s="29"/>
      <c r="AM491" s="29"/>
      <c r="AN491" s="29"/>
      <c r="AO491" s="29"/>
    </row>
    <row r="492" ht="15.75" customHeight="1">
      <c r="AE492" s="29"/>
      <c r="AF492" s="29"/>
      <c r="AG492" s="29"/>
      <c r="AH492" s="29"/>
      <c r="AI492" s="29"/>
      <c r="AJ492" s="29"/>
      <c r="AK492" s="29"/>
      <c r="AL492" s="29"/>
      <c r="AM492" s="29"/>
      <c r="AN492" s="29"/>
      <c r="AO492" s="29"/>
    </row>
    <row r="493" ht="15.75" customHeight="1">
      <c r="AE493" s="29"/>
      <c r="AF493" s="29"/>
      <c r="AG493" s="29"/>
      <c r="AH493" s="29"/>
      <c r="AI493" s="29"/>
      <c r="AJ493" s="29"/>
      <c r="AK493" s="29"/>
      <c r="AL493" s="29"/>
      <c r="AM493" s="29"/>
      <c r="AN493" s="29"/>
      <c r="AO493" s="29"/>
    </row>
    <row r="494" ht="15.75" customHeight="1">
      <c r="AE494" s="29"/>
      <c r="AF494" s="29"/>
      <c r="AG494" s="29"/>
      <c r="AH494" s="29"/>
      <c r="AI494" s="29"/>
      <c r="AJ494" s="29"/>
      <c r="AK494" s="29"/>
      <c r="AL494" s="29"/>
      <c r="AM494" s="29"/>
      <c r="AN494" s="29"/>
      <c r="AO494" s="29"/>
    </row>
    <row r="495" ht="15.75" customHeight="1">
      <c r="AE495" s="29"/>
      <c r="AF495" s="29"/>
      <c r="AG495" s="29"/>
      <c r="AH495" s="29"/>
      <c r="AI495" s="29"/>
      <c r="AJ495" s="29"/>
      <c r="AK495" s="29"/>
      <c r="AL495" s="29"/>
      <c r="AM495" s="29"/>
      <c r="AN495" s="29"/>
      <c r="AO495" s="29"/>
    </row>
    <row r="496" ht="15.75" customHeight="1">
      <c r="AE496" s="29"/>
      <c r="AF496" s="29"/>
      <c r="AG496" s="29"/>
      <c r="AH496" s="29"/>
      <c r="AI496" s="29"/>
      <c r="AJ496" s="29"/>
      <c r="AK496" s="29"/>
      <c r="AL496" s="29"/>
      <c r="AM496" s="29"/>
      <c r="AN496" s="29"/>
      <c r="AO496" s="29"/>
    </row>
    <row r="497" ht="15.75" customHeight="1">
      <c r="AE497" s="29"/>
      <c r="AF497" s="29"/>
      <c r="AG497" s="29"/>
      <c r="AH497" s="29"/>
      <c r="AI497" s="29"/>
      <c r="AJ497" s="29"/>
      <c r="AK497" s="29"/>
      <c r="AL497" s="29"/>
      <c r="AM497" s="29"/>
      <c r="AN497" s="29"/>
      <c r="AO497" s="29"/>
    </row>
    <row r="498" ht="15.75" customHeight="1">
      <c r="AE498" s="29"/>
      <c r="AF498" s="29"/>
      <c r="AG498" s="29"/>
      <c r="AH498" s="29"/>
      <c r="AI498" s="29"/>
      <c r="AJ498" s="29"/>
      <c r="AK498" s="29"/>
      <c r="AL498" s="29"/>
      <c r="AM498" s="29"/>
      <c r="AN498" s="29"/>
      <c r="AO498" s="29"/>
    </row>
    <row r="499" ht="15.75" customHeight="1">
      <c r="AE499" s="29"/>
      <c r="AF499" s="29"/>
      <c r="AG499" s="29"/>
      <c r="AH499" s="29"/>
      <c r="AI499" s="29"/>
      <c r="AJ499" s="29"/>
      <c r="AK499" s="29"/>
      <c r="AL499" s="29"/>
      <c r="AM499" s="29"/>
      <c r="AN499" s="29"/>
      <c r="AO499" s="29"/>
    </row>
    <row r="500" ht="15.75" customHeight="1">
      <c r="AE500" s="29"/>
      <c r="AF500" s="29"/>
      <c r="AG500" s="29"/>
      <c r="AH500" s="29"/>
      <c r="AI500" s="29"/>
      <c r="AJ500" s="29"/>
      <c r="AK500" s="29"/>
      <c r="AL500" s="29"/>
      <c r="AM500" s="29"/>
      <c r="AN500" s="29"/>
      <c r="AO500" s="29"/>
    </row>
    <row r="501" ht="15.75" customHeight="1">
      <c r="AE501" s="29"/>
      <c r="AF501" s="29"/>
      <c r="AG501" s="29"/>
      <c r="AH501" s="29"/>
      <c r="AI501" s="29"/>
      <c r="AJ501" s="29"/>
      <c r="AK501" s="29"/>
      <c r="AL501" s="29"/>
      <c r="AM501" s="29"/>
      <c r="AN501" s="29"/>
      <c r="AO501" s="29"/>
    </row>
    <row r="502" ht="15.75" customHeight="1">
      <c r="AE502" s="29"/>
      <c r="AF502" s="29"/>
      <c r="AG502" s="29"/>
      <c r="AH502" s="29"/>
      <c r="AI502" s="29"/>
      <c r="AJ502" s="29"/>
      <c r="AK502" s="29"/>
      <c r="AL502" s="29"/>
      <c r="AM502" s="29"/>
      <c r="AN502" s="29"/>
      <c r="AO502" s="29"/>
    </row>
    <row r="503" ht="15.75" customHeight="1">
      <c r="AE503" s="29"/>
      <c r="AF503" s="29"/>
      <c r="AG503" s="29"/>
      <c r="AH503" s="29"/>
      <c r="AI503" s="29"/>
      <c r="AJ503" s="29"/>
      <c r="AK503" s="29"/>
      <c r="AL503" s="29"/>
      <c r="AM503" s="29"/>
      <c r="AN503" s="29"/>
      <c r="AO503" s="29"/>
    </row>
    <row r="504" ht="15.75" customHeight="1">
      <c r="AE504" s="29"/>
      <c r="AF504" s="29"/>
      <c r="AG504" s="29"/>
      <c r="AH504" s="29"/>
      <c r="AI504" s="29"/>
      <c r="AJ504" s="29"/>
      <c r="AK504" s="29"/>
      <c r="AL504" s="29"/>
      <c r="AM504" s="29"/>
      <c r="AN504" s="29"/>
      <c r="AO504" s="29"/>
    </row>
    <row r="505" ht="15.75" customHeight="1">
      <c r="AE505" s="29"/>
      <c r="AF505" s="29"/>
      <c r="AG505" s="29"/>
      <c r="AH505" s="29"/>
      <c r="AI505" s="29"/>
      <c r="AJ505" s="29"/>
      <c r="AK505" s="29"/>
      <c r="AL505" s="29"/>
      <c r="AM505" s="29"/>
      <c r="AN505" s="29"/>
      <c r="AO505" s="29"/>
    </row>
    <row r="506" ht="15.75" customHeight="1">
      <c r="AE506" s="29"/>
      <c r="AF506" s="29"/>
      <c r="AG506" s="29"/>
      <c r="AH506" s="29"/>
      <c r="AI506" s="29"/>
      <c r="AJ506" s="29"/>
      <c r="AK506" s="29"/>
      <c r="AL506" s="29"/>
      <c r="AM506" s="29"/>
      <c r="AN506" s="29"/>
      <c r="AO506" s="29"/>
    </row>
    <row r="507" ht="15.75" customHeight="1">
      <c r="AE507" s="29"/>
      <c r="AF507" s="29"/>
      <c r="AG507" s="29"/>
      <c r="AH507" s="29"/>
      <c r="AI507" s="29"/>
      <c r="AJ507" s="29"/>
      <c r="AK507" s="29"/>
      <c r="AL507" s="29"/>
      <c r="AM507" s="29"/>
      <c r="AN507" s="29"/>
      <c r="AO507" s="29"/>
    </row>
    <row r="508" ht="15.75" customHeight="1">
      <c r="AE508" s="29"/>
      <c r="AF508" s="29"/>
      <c r="AG508" s="29"/>
      <c r="AH508" s="29"/>
      <c r="AI508" s="29"/>
      <c r="AJ508" s="29"/>
      <c r="AK508" s="29"/>
      <c r="AL508" s="29"/>
      <c r="AM508" s="29"/>
      <c r="AN508" s="29"/>
      <c r="AO508" s="29"/>
    </row>
    <row r="509" ht="15.75" customHeight="1">
      <c r="AE509" s="29"/>
      <c r="AF509" s="29"/>
      <c r="AG509" s="29"/>
      <c r="AH509" s="29"/>
      <c r="AI509" s="29"/>
      <c r="AJ509" s="29"/>
      <c r="AK509" s="29"/>
      <c r="AL509" s="29"/>
      <c r="AM509" s="29"/>
      <c r="AN509" s="29"/>
      <c r="AO509" s="29"/>
    </row>
    <row r="510" ht="15.75" customHeight="1">
      <c r="AE510" s="29"/>
      <c r="AF510" s="29"/>
      <c r="AG510" s="29"/>
      <c r="AH510" s="29"/>
      <c r="AI510" s="29"/>
      <c r="AJ510" s="29"/>
      <c r="AK510" s="29"/>
      <c r="AL510" s="29"/>
      <c r="AM510" s="29"/>
      <c r="AN510" s="29"/>
      <c r="AO510" s="29"/>
    </row>
    <row r="511" ht="15.75" customHeight="1">
      <c r="AE511" s="29"/>
      <c r="AF511" s="29"/>
      <c r="AG511" s="29"/>
      <c r="AH511" s="29"/>
      <c r="AI511" s="29"/>
      <c r="AJ511" s="29"/>
      <c r="AK511" s="29"/>
      <c r="AL511" s="29"/>
      <c r="AM511" s="29"/>
      <c r="AN511" s="29"/>
      <c r="AO511" s="29"/>
    </row>
    <row r="512" ht="15.75" customHeight="1">
      <c r="AE512" s="29"/>
      <c r="AF512" s="29"/>
      <c r="AG512" s="29"/>
      <c r="AH512" s="29"/>
      <c r="AI512" s="29"/>
      <c r="AJ512" s="29"/>
      <c r="AK512" s="29"/>
      <c r="AL512" s="29"/>
      <c r="AM512" s="29"/>
      <c r="AN512" s="29"/>
      <c r="AO512" s="29"/>
    </row>
    <row r="513" ht="15.75" customHeight="1">
      <c r="AE513" s="29"/>
      <c r="AF513" s="29"/>
      <c r="AG513" s="29"/>
      <c r="AH513" s="29"/>
      <c r="AI513" s="29"/>
      <c r="AJ513" s="29"/>
      <c r="AK513" s="29"/>
      <c r="AL513" s="29"/>
      <c r="AM513" s="29"/>
      <c r="AN513" s="29"/>
      <c r="AO513" s="29"/>
    </row>
    <row r="514" ht="15.75" customHeight="1">
      <c r="AE514" s="29"/>
      <c r="AF514" s="29"/>
      <c r="AG514" s="29"/>
      <c r="AH514" s="29"/>
      <c r="AI514" s="29"/>
      <c r="AJ514" s="29"/>
      <c r="AK514" s="29"/>
      <c r="AL514" s="29"/>
      <c r="AM514" s="29"/>
      <c r="AN514" s="29"/>
      <c r="AO514" s="29"/>
    </row>
    <row r="515" ht="15.75" customHeight="1">
      <c r="AE515" s="29"/>
      <c r="AF515" s="29"/>
      <c r="AG515" s="29"/>
      <c r="AH515" s="29"/>
      <c r="AI515" s="29"/>
      <c r="AJ515" s="29"/>
      <c r="AK515" s="29"/>
      <c r="AL515" s="29"/>
      <c r="AM515" s="29"/>
      <c r="AN515" s="29"/>
      <c r="AO515" s="29"/>
    </row>
    <row r="516" ht="15.75" customHeight="1">
      <c r="AE516" s="29"/>
      <c r="AF516" s="29"/>
      <c r="AG516" s="29"/>
      <c r="AH516" s="29"/>
      <c r="AI516" s="29"/>
      <c r="AJ516" s="29"/>
      <c r="AK516" s="29"/>
      <c r="AL516" s="29"/>
      <c r="AM516" s="29"/>
      <c r="AN516" s="29"/>
      <c r="AO516" s="29"/>
    </row>
    <row r="517" ht="15.75" customHeight="1">
      <c r="AE517" s="29"/>
      <c r="AF517" s="29"/>
      <c r="AG517" s="29"/>
      <c r="AH517" s="29"/>
      <c r="AI517" s="29"/>
      <c r="AJ517" s="29"/>
      <c r="AK517" s="29"/>
      <c r="AL517" s="29"/>
      <c r="AM517" s="29"/>
      <c r="AN517" s="29"/>
      <c r="AO517" s="29"/>
    </row>
    <row r="518" ht="15.75" customHeight="1">
      <c r="AE518" s="29"/>
      <c r="AF518" s="29"/>
      <c r="AG518" s="29"/>
      <c r="AH518" s="29"/>
      <c r="AI518" s="29"/>
      <c r="AJ518" s="29"/>
      <c r="AK518" s="29"/>
      <c r="AL518" s="29"/>
      <c r="AM518" s="29"/>
      <c r="AN518" s="29"/>
      <c r="AO518" s="29"/>
    </row>
    <row r="519" ht="15.75" customHeight="1">
      <c r="AE519" s="29"/>
      <c r="AF519" s="29"/>
      <c r="AG519" s="29"/>
      <c r="AH519" s="29"/>
      <c r="AI519" s="29"/>
      <c r="AJ519" s="29"/>
      <c r="AK519" s="29"/>
      <c r="AL519" s="29"/>
      <c r="AM519" s="29"/>
      <c r="AN519" s="29"/>
      <c r="AO519" s="29"/>
    </row>
    <row r="520" ht="15.75" customHeight="1">
      <c r="AE520" s="29"/>
      <c r="AF520" s="29"/>
      <c r="AG520" s="29"/>
      <c r="AH520" s="29"/>
      <c r="AI520" s="29"/>
      <c r="AJ520" s="29"/>
      <c r="AK520" s="29"/>
      <c r="AL520" s="29"/>
      <c r="AM520" s="29"/>
      <c r="AN520" s="29"/>
      <c r="AO520" s="29"/>
    </row>
    <row r="521" ht="15.75" customHeight="1">
      <c r="AE521" s="29"/>
      <c r="AF521" s="29"/>
      <c r="AG521" s="29"/>
      <c r="AH521" s="29"/>
      <c r="AI521" s="29"/>
      <c r="AJ521" s="29"/>
      <c r="AK521" s="29"/>
      <c r="AL521" s="29"/>
      <c r="AM521" s="29"/>
      <c r="AN521" s="29"/>
      <c r="AO521" s="29"/>
    </row>
    <row r="522" ht="15.75" customHeight="1">
      <c r="AE522" s="29"/>
      <c r="AF522" s="29"/>
      <c r="AG522" s="29"/>
      <c r="AH522" s="29"/>
      <c r="AI522" s="29"/>
      <c r="AJ522" s="29"/>
      <c r="AK522" s="29"/>
      <c r="AL522" s="29"/>
      <c r="AM522" s="29"/>
      <c r="AN522" s="29"/>
      <c r="AO522" s="29"/>
    </row>
    <row r="523" ht="15.75" customHeight="1">
      <c r="AE523" s="29"/>
      <c r="AF523" s="29"/>
      <c r="AG523" s="29"/>
      <c r="AH523" s="29"/>
      <c r="AI523" s="29"/>
      <c r="AJ523" s="29"/>
      <c r="AK523" s="29"/>
      <c r="AL523" s="29"/>
      <c r="AM523" s="29"/>
      <c r="AN523" s="29"/>
      <c r="AO523" s="29"/>
    </row>
    <row r="524" ht="15.75" customHeight="1">
      <c r="AE524" s="29"/>
      <c r="AF524" s="29"/>
      <c r="AG524" s="29"/>
      <c r="AH524" s="29"/>
      <c r="AI524" s="29"/>
      <c r="AJ524" s="29"/>
      <c r="AK524" s="29"/>
      <c r="AL524" s="29"/>
      <c r="AM524" s="29"/>
      <c r="AN524" s="29"/>
      <c r="AO524" s="29"/>
    </row>
    <row r="525" ht="15.75" customHeight="1">
      <c r="AE525" s="29"/>
      <c r="AF525" s="29"/>
      <c r="AG525" s="29"/>
      <c r="AH525" s="29"/>
      <c r="AI525" s="29"/>
      <c r="AJ525" s="29"/>
      <c r="AK525" s="29"/>
      <c r="AL525" s="29"/>
      <c r="AM525" s="29"/>
      <c r="AN525" s="29"/>
      <c r="AO525" s="29"/>
    </row>
    <row r="526" ht="15.75" customHeight="1">
      <c r="AE526" s="29"/>
      <c r="AF526" s="29"/>
      <c r="AG526" s="29"/>
      <c r="AH526" s="29"/>
      <c r="AI526" s="29"/>
      <c r="AJ526" s="29"/>
      <c r="AK526" s="29"/>
      <c r="AL526" s="29"/>
      <c r="AM526" s="29"/>
      <c r="AN526" s="29"/>
      <c r="AO526" s="29"/>
    </row>
    <row r="527" ht="15.75" customHeight="1">
      <c r="AE527" s="29"/>
      <c r="AF527" s="29"/>
      <c r="AG527" s="29"/>
      <c r="AH527" s="29"/>
      <c r="AI527" s="29"/>
      <c r="AJ527" s="29"/>
      <c r="AK527" s="29"/>
      <c r="AL527" s="29"/>
      <c r="AM527" s="29"/>
      <c r="AN527" s="29"/>
      <c r="AO527" s="29"/>
    </row>
    <row r="528" ht="15.75" customHeight="1">
      <c r="AE528" s="29"/>
      <c r="AF528" s="29"/>
      <c r="AG528" s="29"/>
      <c r="AH528" s="29"/>
      <c r="AI528" s="29"/>
      <c r="AJ528" s="29"/>
      <c r="AK528" s="29"/>
      <c r="AL528" s="29"/>
      <c r="AM528" s="29"/>
      <c r="AN528" s="29"/>
      <c r="AO528" s="29"/>
    </row>
    <row r="529" ht="15.75" customHeight="1">
      <c r="AE529" s="29"/>
      <c r="AF529" s="29"/>
      <c r="AG529" s="29"/>
      <c r="AH529" s="29"/>
      <c r="AI529" s="29"/>
      <c r="AJ529" s="29"/>
      <c r="AK529" s="29"/>
      <c r="AL529" s="29"/>
      <c r="AM529" s="29"/>
      <c r="AN529" s="29"/>
      <c r="AO529" s="29"/>
    </row>
    <row r="530" ht="15.75" customHeight="1">
      <c r="AE530" s="29"/>
      <c r="AF530" s="29"/>
      <c r="AG530" s="29"/>
      <c r="AH530" s="29"/>
      <c r="AI530" s="29"/>
      <c r="AJ530" s="29"/>
      <c r="AK530" s="29"/>
      <c r="AL530" s="29"/>
      <c r="AM530" s="29"/>
      <c r="AN530" s="29"/>
      <c r="AO530" s="29"/>
    </row>
    <row r="531" ht="15.75" customHeight="1">
      <c r="AE531" s="29"/>
      <c r="AF531" s="29"/>
      <c r="AG531" s="29"/>
      <c r="AH531" s="29"/>
      <c r="AI531" s="29"/>
      <c r="AJ531" s="29"/>
      <c r="AK531" s="29"/>
      <c r="AL531" s="29"/>
      <c r="AM531" s="29"/>
      <c r="AN531" s="29"/>
      <c r="AO531" s="29"/>
    </row>
    <row r="532" ht="15.75" customHeight="1">
      <c r="AE532" s="29"/>
      <c r="AF532" s="29"/>
      <c r="AG532" s="29"/>
      <c r="AH532" s="29"/>
      <c r="AI532" s="29"/>
      <c r="AJ532" s="29"/>
      <c r="AK532" s="29"/>
      <c r="AL532" s="29"/>
      <c r="AM532" s="29"/>
      <c r="AN532" s="29"/>
      <c r="AO532" s="29"/>
    </row>
    <row r="533" ht="15.75" customHeight="1">
      <c r="AE533" s="29"/>
      <c r="AF533" s="29"/>
      <c r="AG533" s="29"/>
      <c r="AH533" s="29"/>
      <c r="AI533" s="29"/>
      <c r="AJ533" s="29"/>
      <c r="AK533" s="29"/>
      <c r="AL533" s="29"/>
      <c r="AM533" s="29"/>
      <c r="AN533" s="29"/>
      <c r="AO533" s="29"/>
    </row>
    <row r="534" ht="15.75" customHeight="1">
      <c r="AE534" s="29"/>
      <c r="AF534" s="29"/>
      <c r="AG534" s="29"/>
      <c r="AH534" s="29"/>
      <c r="AI534" s="29"/>
      <c r="AJ534" s="29"/>
      <c r="AK534" s="29"/>
      <c r="AL534" s="29"/>
      <c r="AM534" s="29"/>
      <c r="AN534" s="29"/>
      <c r="AO534" s="29"/>
    </row>
    <row r="535" ht="15.75" customHeight="1">
      <c r="AE535" s="29"/>
      <c r="AF535" s="29"/>
      <c r="AG535" s="29"/>
      <c r="AH535" s="29"/>
      <c r="AI535" s="29"/>
      <c r="AJ535" s="29"/>
      <c r="AK535" s="29"/>
      <c r="AL535" s="29"/>
      <c r="AM535" s="29"/>
      <c r="AN535" s="29"/>
      <c r="AO535" s="29"/>
    </row>
    <row r="536" ht="15.75" customHeight="1">
      <c r="AE536" s="29"/>
      <c r="AF536" s="29"/>
      <c r="AG536" s="29"/>
      <c r="AH536" s="29"/>
      <c r="AI536" s="29"/>
      <c r="AJ536" s="29"/>
      <c r="AK536" s="29"/>
      <c r="AL536" s="29"/>
      <c r="AM536" s="29"/>
      <c r="AN536" s="29"/>
      <c r="AO536" s="29"/>
    </row>
    <row r="537" ht="15.75" customHeight="1">
      <c r="AE537" s="29"/>
      <c r="AF537" s="29"/>
      <c r="AG537" s="29"/>
      <c r="AH537" s="29"/>
      <c r="AI537" s="29"/>
      <c r="AJ537" s="29"/>
      <c r="AK537" s="29"/>
      <c r="AL537" s="29"/>
      <c r="AM537" s="29"/>
      <c r="AN537" s="29"/>
      <c r="AO537" s="29"/>
    </row>
    <row r="538" ht="15.75" customHeight="1">
      <c r="AE538" s="29"/>
      <c r="AF538" s="29"/>
      <c r="AG538" s="29"/>
      <c r="AH538" s="29"/>
      <c r="AI538" s="29"/>
      <c r="AJ538" s="29"/>
      <c r="AK538" s="29"/>
      <c r="AL538" s="29"/>
      <c r="AM538" s="29"/>
      <c r="AN538" s="29"/>
      <c r="AO538" s="29"/>
    </row>
    <row r="539" ht="15.75" customHeight="1">
      <c r="AE539" s="29"/>
      <c r="AF539" s="29"/>
      <c r="AG539" s="29"/>
      <c r="AH539" s="29"/>
      <c r="AI539" s="29"/>
      <c r="AJ539" s="29"/>
      <c r="AK539" s="29"/>
      <c r="AL539" s="29"/>
      <c r="AM539" s="29"/>
      <c r="AN539" s="29"/>
      <c r="AO539" s="29"/>
    </row>
    <row r="540" ht="15.75" customHeight="1">
      <c r="AE540" s="29"/>
      <c r="AF540" s="29"/>
      <c r="AG540" s="29"/>
      <c r="AH540" s="29"/>
      <c r="AI540" s="29"/>
      <c r="AJ540" s="29"/>
      <c r="AK540" s="29"/>
      <c r="AL540" s="29"/>
      <c r="AM540" s="29"/>
      <c r="AN540" s="29"/>
      <c r="AO540" s="29"/>
    </row>
    <row r="541" ht="15.75" customHeight="1">
      <c r="AE541" s="29"/>
      <c r="AF541" s="29"/>
      <c r="AG541" s="29"/>
      <c r="AH541" s="29"/>
      <c r="AI541" s="29"/>
      <c r="AJ541" s="29"/>
      <c r="AK541" s="29"/>
      <c r="AL541" s="29"/>
      <c r="AM541" s="29"/>
      <c r="AN541" s="29"/>
      <c r="AO541" s="29"/>
    </row>
    <row r="542" ht="15.75" customHeight="1">
      <c r="AE542" s="29"/>
      <c r="AF542" s="29"/>
      <c r="AG542" s="29"/>
      <c r="AH542" s="29"/>
      <c r="AI542" s="29"/>
      <c r="AJ542" s="29"/>
      <c r="AK542" s="29"/>
      <c r="AL542" s="29"/>
      <c r="AM542" s="29"/>
      <c r="AN542" s="29"/>
      <c r="AO542" s="29"/>
    </row>
    <row r="543" ht="15.75" customHeight="1">
      <c r="AE543" s="29"/>
      <c r="AF543" s="29"/>
      <c r="AG543" s="29"/>
      <c r="AH543" s="29"/>
      <c r="AI543" s="29"/>
      <c r="AJ543" s="29"/>
      <c r="AK543" s="29"/>
      <c r="AL543" s="29"/>
      <c r="AM543" s="29"/>
      <c r="AN543" s="29"/>
      <c r="AO543" s="29"/>
    </row>
    <row r="544" ht="15.75" customHeight="1">
      <c r="AE544" s="29"/>
      <c r="AF544" s="29"/>
      <c r="AG544" s="29"/>
      <c r="AH544" s="29"/>
      <c r="AI544" s="29"/>
      <c r="AJ544" s="29"/>
      <c r="AK544" s="29"/>
      <c r="AL544" s="29"/>
      <c r="AM544" s="29"/>
      <c r="AN544" s="29"/>
      <c r="AO544" s="29"/>
    </row>
    <row r="545" ht="15.75" customHeight="1">
      <c r="AE545" s="29"/>
      <c r="AF545" s="29"/>
      <c r="AG545" s="29"/>
      <c r="AH545" s="29"/>
      <c r="AI545" s="29"/>
      <c r="AJ545" s="29"/>
      <c r="AK545" s="29"/>
      <c r="AL545" s="29"/>
      <c r="AM545" s="29"/>
      <c r="AN545" s="29"/>
      <c r="AO545" s="29"/>
    </row>
    <row r="546" ht="15.75" customHeight="1">
      <c r="AE546" s="29"/>
      <c r="AF546" s="29"/>
      <c r="AG546" s="29"/>
      <c r="AH546" s="29"/>
      <c r="AI546" s="29"/>
      <c r="AJ546" s="29"/>
      <c r="AK546" s="29"/>
      <c r="AL546" s="29"/>
      <c r="AM546" s="29"/>
      <c r="AN546" s="29"/>
      <c r="AO546" s="29"/>
    </row>
    <row r="547" ht="15.75" customHeight="1">
      <c r="AE547" s="29"/>
      <c r="AF547" s="29"/>
      <c r="AG547" s="29"/>
      <c r="AH547" s="29"/>
      <c r="AI547" s="29"/>
      <c r="AJ547" s="29"/>
      <c r="AK547" s="29"/>
      <c r="AL547" s="29"/>
      <c r="AM547" s="29"/>
      <c r="AN547" s="29"/>
      <c r="AO547" s="29"/>
    </row>
    <row r="548" ht="15.75" customHeight="1">
      <c r="AE548" s="29"/>
      <c r="AF548" s="29"/>
      <c r="AG548" s="29"/>
      <c r="AH548" s="29"/>
      <c r="AI548" s="29"/>
      <c r="AJ548" s="29"/>
      <c r="AK548" s="29"/>
      <c r="AL548" s="29"/>
      <c r="AM548" s="29"/>
      <c r="AN548" s="29"/>
      <c r="AO548" s="29"/>
    </row>
    <row r="549" ht="15.75" customHeight="1">
      <c r="AE549" s="29"/>
      <c r="AF549" s="29"/>
      <c r="AG549" s="29"/>
      <c r="AH549" s="29"/>
      <c r="AI549" s="29"/>
      <c r="AJ549" s="29"/>
      <c r="AK549" s="29"/>
      <c r="AL549" s="29"/>
      <c r="AM549" s="29"/>
      <c r="AN549" s="29"/>
      <c r="AO549" s="29"/>
    </row>
    <row r="550" ht="15.75" customHeight="1">
      <c r="AE550" s="29"/>
      <c r="AF550" s="29"/>
      <c r="AG550" s="29"/>
      <c r="AH550" s="29"/>
      <c r="AI550" s="29"/>
      <c r="AJ550" s="29"/>
      <c r="AK550" s="29"/>
      <c r="AL550" s="29"/>
      <c r="AM550" s="29"/>
      <c r="AN550" s="29"/>
      <c r="AO550" s="29"/>
    </row>
    <row r="551" ht="15.75" customHeight="1">
      <c r="AE551" s="29"/>
      <c r="AF551" s="29"/>
      <c r="AG551" s="29"/>
      <c r="AH551" s="29"/>
      <c r="AI551" s="29"/>
      <c r="AJ551" s="29"/>
      <c r="AK551" s="29"/>
      <c r="AL551" s="29"/>
      <c r="AM551" s="29"/>
      <c r="AN551" s="29"/>
      <c r="AO551" s="29"/>
    </row>
    <row r="552" ht="15.75" customHeight="1">
      <c r="AE552" s="29"/>
      <c r="AF552" s="29"/>
      <c r="AG552" s="29"/>
      <c r="AH552" s="29"/>
      <c r="AI552" s="29"/>
      <c r="AJ552" s="29"/>
      <c r="AK552" s="29"/>
      <c r="AL552" s="29"/>
      <c r="AM552" s="29"/>
      <c r="AN552" s="29"/>
      <c r="AO552" s="29"/>
    </row>
    <row r="553" ht="15.75" customHeight="1">
      <c r="AE553" s="29"/>
      <c r="AF553" s="29"/>
      <c r="AG553" s="29"/>
      <c r="AH553" s="29"/>
      <c r="AI553" s="29"/>
      <c r="AJ553" s="29"/>
      <c r="AK553" s="29"/>
      <c r="AL553" s="29"/>
      <c r="AM553" s="29"/>
      <c r="AN553" s="29"/>
      <c r="AO553" s="29"/>
    </row>
    <row r="554" ht="15.75" customHeight="1">
      <c r="AE554" s="29"/>
      <c r="AF554" s="29"/>
      <c r="AG554" s="29"/>
      <c r="AH554" s="29"/>
      <c r="AI554" s="29"/>
      <c r="AJ554" s="29"/>
      <c r="AK554" s="29"/>
      <c r="AL554" s="29"/>
      <c r="AM554" s="29"/>
      <c r="AN554" s="29"/>
      <c r="AO554" s="29"/>
    </row>
    <row r="555" ht="15.75" customHeight="1">
      <c r="AE555" s="29"/>
      <c r="AF555" s="29"/>
      <c r="AG555" s="29"/>
      <c r="AH555" s="29"/>
      <c r="AI555" s="29"/>
      <c r="AJ555" s="29"/>
      <c r="AK555" s="29"/>
      <c r="AL555" s="29"/>
      <c r="AM555" s="29"/>
      <c r="AN555" s="29"/>
      <c r="AO555" s="29"/>
    </row>
    <row r="556" ht="15.75" customHeight="1">
      <c r="AE556" s="29"/>
      <c r="AF556" s="29"/>
      <c r="AG556" s="29"/>
      <c r="AH556" s="29"/>
      <c r="AI556" s="29"/>
      <c r="AJ556" s="29"/>
      <c r="AK556" s="29"/>
      <c r="AL556" s="29"/>
      <c r="AM556" s="29"/>
      <c r="AN556" s="29"/>
      <c r="AO556" s="29"/>
    </row>
    <row r="557" ht="15.75" customHeight="1">
      <c r="AE557" s="29"/>
      <c r="AF557" s="29"/>
      <c r="AG557" s="29"/>
      <c r="AH557" s="29"/>
      <c r="AI557" s="29"/>
      <c r="AJ557" s="29"/>
      <c r="AK557" s="29"/>
      <c r="AL557" s="29"/>
      <c r="AM557" s="29"/>
      <c r="AN557" s="29"/>
      <c r="AO557" s="29"/>
    </row>
    <row r="558" ht="15.75" customHeight="1">
      <c r="AE558" s="29"/>
      <c r="AF558" s="29"/>
      <c r="AG558" s="29"/>
      <c r="AH558" s="29"/>
      <c r="AI558" s="29"/>
      <c r="AJ558" s="29"/>
      <c r="AK558" s="29"/>
      <c r="AL558" s="29"/>
      <c r="AM558" s="29"/>
      <c r="AN558" s="29"/>
      <c r="AO558" s="29"/>
    </row>
    <row r="559" ht="15.75" customHeight="1">
      <c r="AE559" s="29"/>
      <c r="AF559" s="29"/>
      <c r="AG559" s="29"/>
      <c r="AH559" s="29"/>
      <c r="AI559" s="29"/>
      <c r="AJ559" s="29"/>
      <c r="AK559" s="29"/>
      <c r="AL559" s="29"/>
      <c r="AM559" s="29"/>
      <c r="AN559" s="29"/>
      <c r="AO559" s="29"/>
    </row>
    <row r="560" ht="15.75" customHeight="1">
      <c r="AE560" s="29"/>
      <c r="AF560" s="29"/>
      <c r="AG560" s="29"/>
      <c r="AH560" s="29"/>
      <c r="AI560" s="29"/>
      <c r="AJ560" s="29"/>
      <c r="AK560" s="29"/>
      <c r="AL560" s="29"/>
      <c r="AM560" s="29"/>
      <c r="AN560" s="29"/>
      <c r="AO560" s="29"/>
    </row>
    <row r="561" ht="15.75" customHeight="1">
      <c r="AE561" s="29"/>
      <c r="AF561" s="29"/>
      <c r="AG561" s="29"/>
      <c r="AH561" s="29"/>
      <c r="AI561" s="29"/>
      <c r="AJ561" s="29"/>
      <c r="AK561" s="29"/>
      <c r="AL561" s="29"/>
      <c r="AM561" s="29"/>
      <c r="AN561" s="29"/>
      <c r="AO561" s="29"/>
    </row>
    <row r="562" ht="15.75" customHeight="1">
      <c r="AE562" s="29"/>
      <c r="AF562" s="29"/>
      <c r="AG562" s="29"/>
      <c r="AH562" s="29"/>
      <c r="AI562" s="29"/>
      <c r="AJ562" s="29"/>
      <c r="AK562" s="29"/>
      <c r="AL562" s="29"/>
      <c r="AM562" s="29"/>
      <c r="AN562" s="29"/>
      <c r="AO562" s="29"/>
    </row>
    <row r="563" ht="15.75" customHeight="1">
      <c r="AE563" s="29"/>
      <c r="AF563" s="29"/>
      <c r="AG563" s="29"/>
      <c r="AH563" s="29"/>
      <c r="AI563" s="29"/>
      <c r="AJ563" s="29"/>
      <c r="AK563" s="29"/>
      <c r="AL563" s="29"/>
      <c r="AM563" s="29"/>
      <c r="AN563" s="29"/>
      <c r="AO563" s="29"/>
    </row>
    <row r="564" ht="15.75" customHeight="1">
      <c r="AE564" s="29"/>
      <c r="AF564" s="29"/>
      <c r="AG564" s="29"/>
      <c r="AH564" s="29"/>
      <c r="AI564" s="29"/>
      <c r="AJ564" s="29"/>
      <c r="AK564" s="29"/>
      <c r="AL564" s="29"/>
      <c r="AM564" s="29"/>
      <c r="AN564" s="29"/>
      <c r="AO564" s="29"/>
    </row>
    <row r="565" ht="15.75" customHeight="1">
      <c r="AE565" s="29"/>
      <c r="AF565" s="29"/>
      <c r="AG565" s="29"/>
      <c r="AH565" s="29"/>
      <c r="AI565" s="29"/>
      <c r="AJ565" s="29"/>
      <c r="AK565" s="29"/>
      <c r="AL565" s="29"/>
      <c r="AM565" s="29"/>
      <c r="AN565" s="29"/>
      <c r="AO565" s="29"/>
    </row>
    <row r="566" ht="15.75" customHeight="1">
      <c r="AE566" s="29"/>
      <c r="AF566" s="29"/>
      <c r="AG566" s="29"/>
      <c r="AH566" s="29"/>
      <c r="AI566" s="29"/>
      <c r="AJ566" s="29"/>
      <c r="AK566" s="29"/>
      <c r="AL566" s="29"/>
      <c r="AM566" s="29"/>
      <c r="AN566" s="29"/>
      <c r="AO566" s="29"/>
    </row>
    <row r="567" ht="15.75" customHeight="1">
      <c r="AE567" s="29"/>
      <c r="AF567" s="29"/>
      <c r="AG567" s="29"/>
      <c r="AH567" s="29"/>
      <c r="AI567" s="29"/>
      <c r="AJ567" s="29"/>
      <c r="AK567" s="29"/>
      <c r="AL567" s="29"/>
      <c r="AM567" s="29"/>
      <c r="AN567" s="29"/>
      <c r="AO567" s="29"/>
    </row>
    <row r="568" ht="15.75" customHeight="1">
      <c r="AE568" s="29"/>
      <c r="AF568" s="29"/>
      <c r="AG568" s="29"/>
      <c r="AH568" s="29"/>
      <c r="AI568" s="29"/>
      <c r="AJ568" s="29"/>
      <c r="AK568" s="29"/>
      <c r="AL568" s="29"/>
      <c r="AM568" s="29"/>
      <c r="AN568" s="29"/>
      <c r="AO568" s="29"/>
    </row>
    <row r="569" ht="15.75" customHeight="1">
      <c r="AE569" s="29"/>
      <c r="AF569" s="29"/>
      <c r="AG569" s="29"/>
      <c r="AH569" s="29"/>
      <c r="AI569" s="29"/>
      <c r="AJ569" s="29"/>
      <c r="AK569" s="29"/>
      <c r="AL569" s="29"/>
      <c r="AM569" s="29"/>
      <c r="AN569" s="29"/>
      <c r="AO569" s="29"/>
    </row>
    <row r="570" ht="15.75" customHeight="1">
      <c r="AE570" s="29"/>
      <c r="AF570" s="29"/>
      <c r="AG570" s="29"/>
      <c r="AH570" s="29"/>
      <c r="AI570" s="29"/>
      <c r="AJ570" s="29"/>
      <c r="AK570" s="29"/>
      <c r="AL570" s="29"/>
      <c r="AM570" s="29"/>
      <c r="AN570" s="29"/>
      <c r="AO570" s="29"/>
    </row>
    <row r="571" ht="15.75" customHeight="1">
      <c r="AE571" s="29"/>
      <c r="AF571" s="29"/>
      <c r="AG571" s="29"/>
      <c r="AH571" s="29"/>
      <c r="AI571" s="29"/>
      <c r="AJ571" s="29"/>
      <c r="AK571" s="29"/>
      <c r="AL571" s="29"/>
      <c r="AM571" s="29"/>
      <c r="AN571" s="29"/>
      <c r="AO571" s="29"/>
    </row>
    <row r="572" ht="15.75" customHeight="1">
      <c r="AE572" s="29"/>
      <c r="AF572" s="29"/>
      <c r="AG572" s="29"/>
      <c r="AH572" s="29"/>
      <c r="AI572" s="29"/>
      <c r="AJ572" s="29"/>
      <c r="AK572" s="29"/>
      <c r="AL572" s="29"/>
      <c r="AM572" s="29"/>
      <c r="AN572" s="29"/>
      <c r="AO572" s="29"/>
    </row>
    <row r="573" ht="15.75" customHeight="1">
      <c r="AE573" s="29"/>
      <c r="AF573" s="29"/>
      <c r="AG573" s="29"/>
      <c r="AH573" s="29"/>
      <c r="AI573" s="29"/>
      <c r="AJ573" s="29"/>
      <c r="AK573" s="29"/>
      <c r="AL573" s="29"/>
      <c r="AM573" s="29"/>
      <c r="AN573" s="29"/>
      <c r="AO573" s="29"/>
    </row>
    <row r="574" ht="15.75" customHeight="1">
      <c r="AE574" s="29"/>
      <c r="AF574" s="29"/>
      <c r="AG574" s="29"/>
      <c r="AH574" s="29"/>
      <c r="AI574" s="29"/>
      <c r="AJ574" s="29"/>
      <c r="AK574" s="29"/>
      <c r="AL574" s="29"/>
      <c r="AM574" s="29"/>
      <c r="AN574" s="29"/>
      <c r="AO574" s="29"/>
    </row>
    <row r="575" ht="15.75" customHeight="1">
      <c r="AE575" s="29"/>
      <c r="AF575" s="29"/>
      <c r="AG575" s="29"/>
      <c r="AH575" s="29"/>
      <c r="AI575" s="29"/>
      <c r="AJ575" s="29"/>
      <c r="AK575" s="29"/>
      <c r="AL575" s="29"/>
      <c r="AM575" s="29"/>
      <c r="AN575" s="29"/>
      <c r="AO575" s="29"/>
    </row>
    <row r="576" ht="15.75" customHeight="1">
      <c r="AE576" s="29"/>
      <c r="AF576" s="29"/>
      <c r="AG576" s="29"/>
      <c r="AH576" s="29"/>
      <c r="AI576" s="29"/>
      <c r="AJ576" s="29"/>
      <c r="AK576" s="29"/>
      <c r="AL576" s="29"/>
      <c r="AM576" s="29"/>
      <c r="AN576" s="29"/>
      <c r="AO576" s="29"/>
    </row>
    <row r="577" ht="15.75" customHeight="1">
      <c r="AE577" s="29"/>
      <c r="AF577" s="29"/>
      <c r="AG577" s="29"/>
      <c r="AH577" s="29"/>
      <c r="AI577" s="29"/>
      <c r="AJ577" s="29"/>
      <c r="AK577" s="29"/>
      <c r="AL577" s="29"/>
      <c r="AM577" s="29"/>
      <c r="AN577" s="29"/>
      <c r="AO577" s="29"/>
    </row>
    <row r="578" ht="15.75" customHeight="1">
      <c r="AE578" s="29"/>
      <c r="AF578" s="29"/>
      <c r="AG578" s="29"/>
      <c r="AH578" s="29"/>
      <c r="AI578" s="29"/>
      <c r="AJ578" s="29"/>
      <c r="AK578" s="29"/>
      <c r="AL578" s="29"/>
      <c r="AM578" s="29"/>
      <c r="AN578" s="29"/>
      <c r="AO578" s="29"/>
    </row>
    <row r="579" ht="15.75" customHeight="1">
      <c r="AE579" s="29"/>
      <c r="AF579" s="29"/>
      <c r="AG579" s="29"/>
      <c r="AH579" s="29"/>
      <c r="AI579" s="29"/>
      <c r="AJ579" s="29"/>
      <c r="AK579" s="29"/>
      <c r="AL579" s="29"/>
      <c r="AM579" s="29"/>
      <c r="AN579" s="29"/>
      <c r="AO579" s="29"/>
    </row>
    <row r="580" ht="15.75" customHeight="1">
      <c r="AE580" s="29"/>
      <c r="AF580" s="29"/>
      <c r="AG580" s="29"/>
      <c r="AH580" s="29"/>
      <c r="AI580" s="29"/>
      <c r="AJ580" s="29"/>
      <c r="AK580" s="29"/>
      <c r="AL580" s="29"/>
      <c r="AM580" s="29"/>
      <c r="AN580" s="29"/>
      <c r="AO580" s="29"/>
    </row>
    <row r="581" ht="15.75" customHeight="1">
      <c r="AE581" s="29"/>
      <c r="AF581" s="29"/>
      <c r="AG581" s="29"/>
      <c r="AH581" s="29"/>
      <c r="AI581" s="29"/>
      <c r="AJ581" s="29"/>
      <c r="AK581" s="29"/>
      <c r="AL581" s="29"/>
      <c r="AM581" s="29"/>
      <c r="AN581" s="29"/>
      <c r="AO581" s="29"/>
    </row>
    <row r="582" ht="15.75" customHeight="1">
      <c r="AE582" s="29"/>
      <c r="AF582" s="29"/>
      <c r="AG582" s="29"/>
      <c r="AH582" s="29"/>
      <c r="AI582" s="29"/>
      <c r="AJ582" s="29"/>
      <c r="AK582" s="29"/>
      <c r="AL582" s="29"/>
      <c r="AM582" s="29"/>
      <c r="AN582" s="29"/>
      <c r="AO582" s="29"/>
    </row>
    <row r="583" ht="15.75" customHeight="1">
      <c r="AE583" s="29"/>
      <c r="AF583" s="29"/>
      <c r="AG583" s="29"/>
      <c r="AH583" s="29"/>
      <c r="AI583" s="29"/>
      <c r="AJ583" s="29"/>
      <c r="AK583" s="29"/>
      <c r="AL583" s="29"/>
      <c r="AM583" s="29"/>
      <c r="AN583" s="29"/>
      <c r="AO583" s="29"/>
    </row>
    <row r="584" ht="15.75" customHeight="1">
      <c r="AE584" s="29"/>
      <c r="AF584" s="29"/>
      <c r="AG584" s="29"/>
      <c r="AH584" s="29"/>
      <c r="AI584" s="29"/>
      <c r="AJ584" s="29"/>
      <c r="AK584" s="29"/>
      <c r="AL584" s="29"/>
      <c r="AM584" s="29"/>
      <c r="AN584" s="29"/>
      <c r="AO584" s="29"/>
    </row>
    <row r="585" ht="15.75" customHeight="1">
      <c r="AE585" s="29"/>
      <c r="AF585" s="29"/>
      <c r="AG585" s="29"/>
      <c r="AH585" s="29"/>
      <c r="AI585" s="29"/>
      <c r="AJ585" s="29"/>
      <c r="AK585" s="29"/>
      <c r="AL585" s="29"/>
      <c r="AM585" s="29"/>
      <c r="AN585" s="29"/>
      <c r="AO585" s="29"/>
    </row>
    <row r="586" ht="15.75" customHeight="1">
      <c r="AE586" s="29"/>
      <c r="AF586" s="29"/>
      <c r="AG586" s="29"/>
      <c r="AH586" s="29"/>
      <c r="AI586" s="29"/>
      <c r="AJ586" s="29"/>
      <c r="AK586" s="29"/>
      <c r="AL586" s="29"/>
      <c r="AM586" s="29"/>
      <c r="AN586" s="29"/>
      <c r="AO586" s="29"/>
    </row>
    <row r="587" ht="15.75" customHeight="1">
      <c r="AE587" s="29"/>
      <c r="AF587" s="29"/>
      <c r="AG587" s="29"/>
      <c r="AH587" s="29"/>
      <c r="AI587" s="29"/>
      <c r="AJ587" s="29"/>
      <c r="AK587" s="29"/>
      <c r="AL587" s="29"/>
      <c r="AM587" s="29"/>
      <c r="AN587" s="29"/>
      <c r="AO587" s="29"/>
    </row>
    <row r="588" ht="15.75" customHeight="1">
      <c r="AE588" s="29"/>
      <c r="AF588" s="29"/>
      <c r="AG588" s="29"/>
      <c r="AH588" s="29"/>
      <c r="AI588" s="29"/>
      <c r="AJ588" s="29"/>
      <c r="AK588" s="29"/>
      <c r="AL588" s="29"/>
      <c r="AM588" s="29"/>
      <c r="AN588" s="29"/>
      <c r="AO588" s="29"/>
    </row>
    <row r="589" ht="15.75" customHeight="1">
      <c r="AE589" s="29"/>
      <c r="AF589" s="29"/>
      <c r="AG589" s="29"/>
      <c r="AH589" s="29"/>
      <c r="AI589" s="29"/>
      <c r="AJ589" s="29"/>
      <c r="AK589" s="29"/>
      <c r="AL589" s="29"/>
      <c r="AM589" s="29"/>
      <c r="AN589" s="29"/>
      <c r="AO589" s="29"/>
    </row>
    <row r="590" ht="15.75" customHeight="1">
      <c r="AE590" s="29"/>
      <c r="AF590" s="29"/>
      <c r="AG590" s="29"/>
      <c r="AH590" s="29"/>
      <c r="AI590" s="29"/>
      <c r="AJ590" s="29"/>
      <c r="AK590" s="29"/>
      <c r="AL590" s="29"/>
      <c r="AM590" s="29"/>
      <c r="AN590" s="29"/>
      <c r="AO590" s="29"/>
    </row>
    <row r="591" ht="15.75" customHeight="1">
      <c r="AE591" s="29"/>
      <c r="AF591" s="29"/>
      <c r="AG591" s="29"/>
      <c r="AH591" s="29"/>
      <c r="AI591" s="29"/>
      <c r="AJ591" s="29"/>
      <c r="AK591" s="29"/>
      <c r="AL591" s="29"/>
      <c r="AM591" s="29"/>
      <c r="AN591" s="29"/>
      <c r="AO591" s="29"/>
    </row>
    <row r="592" ht="15.75" customHeight="1">
      <c r="AE592" s="29"/>
      <c r="AF592" s="29"/>
      <c r="AG592" s="29"/>
      <c r="AH592" s="29"/>
      <c r="AI592" s="29"/>
      <c r="AJ592" s="29"/>
      <c r="AK592" s="29"/>
      <c r="AL592" s="29"/>
      <c r="AM592" s="29"/>
      <c r="AN592" s="29"/>
      <c r="AO592" s="29"/>
    </row>
    <row r="593" ht="15.75" customHeight="1">
      <c r="AE593" s="29"/>
      <c r="AF593" s="29"/>
      <c r="AG593" s="29"/>
      <c r="AH593" s="29"/>
      <c r="AI593" s="29"/>
      <c r="AJ593" s="29"/>
      <c r="AK593" s="29"/>
      <c r="AL593" s="29"/>
      <c r="AM593" s="29"/>
      <c r="AN593" s="29"/>
      <c r="AO593" s="29"/>
    </row>
    <row r="594" ht="15.75" customHeight="1">
      <c r="AE594" s="29"/>
      <c r="AF594" s="29"/>
      <c r="AG594" s="29"/>
      <c r="AH594" s="29"/>
      <c r="AI594" s="29"/>
      <c r="AJ594" s="29"/>
      <c r="AK594" s="29"/>
      <c r="AL594" s="29"/>
      <c r="AM594" s="29"/>
      <c r="AN594" s="29"/>
      <c r="AO594" s="29"/>
    </row>
    <row r="595" ht="15.75" customHeight="1">
      <c r="AE595" s="29"/>
      <c r="AF595" s="29"/>
      <c r="AG595" s="29"/>
      <c r="AH595" s="29"/>
      <c r="AI595" s="29"/>
      <c r="AJ595" s="29"/>
      <c r="AK595" s="29"/>
      <c r="AL595" s="29"/>
      <c r="AM595" s="29"/>
      <c r="AN595" s="29"/>
      <c r="AO595" s="29"/>
    </row>
    <row r="596" ht="15.75" customHeight="1">
      <c r="AE596" s="29"/>
      <c r="AF596" s="29"/>
      <c r="AG596" s="29"/>
      <c r="AH596" s="29"/>
      <c r="AI596" s="29"/>
      <c r="AJ596" s="29"/>
      <c r="AK596" s="29"/>
      <c r="AL596" s="29"/>
      <c r="AM596" s="29"/>
      <c r="AN596" s="29"/>
      <c r="AO596" s="29"/>
    </row>
    <row r="597" ht="15.75" customHeight="1">
      <c r="AE597" s="29"/>
      <c r="AF597" s="29"/>
      <c r="AG597" s="29"/>
      <c r="AH597" s="29"/>
      <c r="AI597" s="29"/>
      <c r="AJ597" s="29"/>
      <c r="AK597" s="29"/>
      <c r="AL597" s="29"/>
      <c r="AM597" s="29"/>
      <c r="AN597" s="29"/>
      <c r="AO597" s="29"/>
    </row>
    <row r="598" ht="15.75" customHeight="1">
      <c r="AE598" s="29"/>
      <c r="AF598" s="29"/>
      <c r="AG598" s="29"/>
      <c r="AH598" s="29"/>
      <c r="AI598" s="29"/>
      <c r="AJ598" s="29"/>
      <c r="AK598" s="29"/>
      <c r="AL598" s="29"/>
      <c r="AM598" s="29"/>
      <c r="AN598" s="29"/>
      <c r="AO598" s="29"/>
    </row>
    <row r="599" ht="15.75" customHeight="1">
      <c r="AE599" s="29"/>
      <c r="AF599" s="29"/>
      <c r="AG599" s="29"/>
      <c r="AH599" s="29"/>
      <c r="AI599" s="29"/>
      <c r="AJ599" s="29"/>
      <c r="AK599" s="29"/>
      <c r="AL599" s="29"/>
      <c r="AM599" s="29"/>
      <c r="AN599" s="29"/>
      <c r="AO599" s="29"/>
    </row>
    <row r="600" ht="15.75" customHeight="1">
      <c r="AE600" s="29"/>
      <c r="AF600" s="29"/>
      <c r="AG600" s="29"/>
      <c r="AH600" s="29"/>
      <c r="AI600" s="29"/>
      <c r="AJ600" s="29"/>
      <c r="AK600" s="29"/>
      <c r="AL600" s="29"/>
      <c r="AM600" s="29"/>
      <c r="AN600" s="29"/>
      <c r="AO600" s="29"/>
    </row>
    <row r="601" ht="15.75" customHeight="1">
      <c r="AE601" s="29"/>
      <c r="AF601" s="29"/>
      <c r="AG601" s="29"/>
      <c r="AH601" s="29"/>
      <c r="AI601" s="29"/>
      <c r="AJ601" s="29"/>
      <c r="AK601" s="29"/>
      <c r="AL601" s="29"/>
      <c r="AM601" s="29"/>
      <c r="AN601" s="29"/>
      <c r="AO601" s="29"/>
    </row>
    <row r="602" ht="15.75" customHeight="1">
      <c r="AE602" s="29"/>
      <c r="AF602" s="29"/>
      <c r="AG602" s="29"/>
      <c r="AH602" s="29"/>
      <c r="AI602" s="29"/>
      <c r="AJ602" s="29"/>
      <c r="AK602" s="29"/>
      <c r="AL602" s="29"/>
      <c r="AM602" s="29"/>
      <c r="AN602" s="29"/>
      <c r="AO602" s="29"/>
    </row>
    <row r="603" ht="15.75" customHeight="1">
      <c r="AE603" s="29"/>
      <c r="AF603" s="29"/>
      <c r="AG603" s="29"/>
      <c r="AH603" s="29"/>
      <c r="AI603" s="29"/>
      <c r="AJ603" s="29"/>
      <c r="AK603" s="29"/>
      <c r="AL603" s="29"/>
      <c r="AM603" s="29"/>
      <c r="AN603" s="29"/>
      <c r="AO603" s="29"/>
    </row>
    <row r="604" ht="15.75" customHeight="1">
      <c r="AE604" s="29"/>
      <c r="AF604" s="29"/>
      <c r="AG604" s="29"/>
      <c r="AH604" s="29"/>
      <c r="AI604" s="29"/>
      <c r="AJ604" s="29"/>
      <c r="AK604" s="29"/>
      <c r="AL604" s="29"/>
      <c r="AM604" s="29"/>
      <c r="AN604" s="29"/>
      <c r="AO604" s="29"/>
    </row>
    <row r="605" ht="15.75" customHeight="1">
      <c r="AE605" s="29"/>
      <c r="AF605" s="29"/>
      <c r="AG605" s="29"/>
      <c r="AH605" s="29"/>
      <c r="AI605" s="29"/>
      <c r="AJ605" s="29"/>
      <c r="AK605" s="29"/>
      <c r="AL605" s="29"/>
      <c r="AM605" s="29"/>
      <c r="AN605" s="29"/>
      <c r="AO605" s="29"/>
    </row>
    <row r="606" ht="15.75" customHeight="1">
      <c r="AE606" s="29"/>
      <c r="AF606" s="29"/>
      <c r="AG606" s="29"/>
      <c r="AH606" s="29"/>
      <c r="AI606" s="29"/>
      <c r="AJ606" s="29"/>
      <c r="AK606" s="29"/>
      <c r="AL606" s="29"/>
      <c r="AM606" s="29"/>
      <c r="AN606" s="29"/>
      <c r="AO606" s="29"/>
    </row>
    <row r="607" ht="15.75" customHeight="1">
      <c r="AE607" s="29"/>
      <c r="AF607" s="29"/>
      <c r="AG607" s="29"/>
      <c r="AH607" s="29"/>
      <c r="AI607" s="29"/>
      <c r="AJ607" s="29"/>
      <c r="AK607" s="29"/>
      <c r="AL607" s="29"/>
      <c r="AM607" s="29"/>
      <c r="AN607" s="29"/>
      <c r="AO607" s="29"/>
    </row>
    <row r="608" ht="15.75" customHeight="1">
      <c r="AE608" s="29"/>
      <c r="AF608" s="29"/>
      <c r="AG608" s="29"/>
      <c r="AH608" s="29"/>
      <c r="AI608" s="29"/>
      <c r="AJ608" s="29"/>
      <c r="AK608" s="29"/>
      <c r="AL608" s="29"/>
      <c r="AM608" s="29"/>
      <c r="AN608" s="29"/>
      <c r="AO608" s="29"/>
    </row>
    <row r="609" ht="15.75" customHeight="1">
      <c r="AE609" s="29"/>
      <c r="AF609" s="29"/>
      <c r="AG609" s="29"/>
      <c r="AH609" s="29"/>
      <c r="AI609" s="29"/>
      <c r="AJ609" s="29"/>
      <c r="AK609" s="29"/>
      <c r="AL609" s="29"/>
      <c r="AM609" s="29"/>
      <c r="AN609" s="29"/>
      <c r="AO609" s="29"/>
    </row>
    <row r="610" ht="15.75" customHeight="1">
      <c r="AE610" s="29"/>
      <c r="AF610" s="29"/>
      <c r="AG610" s="29"/>
      <c r="AH610" s="29"/>
      <c r="AI610" s="29"/>
      <c r="AJ610" s="29"/>
      <c r="AK610" s="29"/>
      <c r="AL610" s="29"/>
      <c r="AM610" s="29"/>
      <c r="AN610" s="29"/>
      <c r="AO610" s="29"/>
    </row>
    <row r="611" ht="15.75" customHeight="1">
      <c r="AE611" s="29"/>
      <c r="AF611" s="29"/>
      <c r="AG611" s="29"/>
      <c r="AH611" s="29"/>
      <c r="AI611" s="29"/>
      <c r="AJ611" s="29"/>
      <c r="AK611" s="29"/>
      <c r="AL611" s="29"/>
      <c r="AM611" s="29"/>
      <c r="AN611" s="29"/>
      <c r="AO611" s="29"/>
    </row>
    <row r="612" ht="15.75" customHeight="1">
      <c r="AE612" s="29"/>
      <c r="AF612" s="29"/>
      <c r="AG612" s="29"/>
      <c r="AH612" s="29"/>
      <c r="AI612" s="29"/>
      <c r="AJ612" s="29"/>
      <c r="AK612" s="29"/>
      <c r="AL612" s="29"/>
      <c r="AM612" s="29"/>
      <c r="AN612" s="29"/>
      <c r="AO612" s="29"/>
    </row>
    <row r="613" ht="15.75" customHeight="1">
      <c r="AE613" s="29"/>
      <c r="AF613" s="29"/>
      <c r="AG613" s="29"/>
      <c r="AH613" s="29"/>
      <c r="AI613" s="29"/>
      <c r="AJ613" s="29"/>
      <c r="AK613" s="29"/>
      <c r="AL613" s="29"/>
      <c r="AM613" s="29"/>
      <c r="AN613" s="29"/>
      <c r="AO613" s="29"/>
    </row>
    <row r="614" ht="15.75" customHeight="1">
      <c r="AE614" s="29"/>
      <c r="AF614" s="29"/>
      <c r="AG614" s="29"/>
      <c r="AH614" s="29"/>
      <c r="AI614" s="29"/>
      <c r="AJ614" s="29"/>
      <c r="AK614" s="29"/>
      <c r="AL614" s="29"/>
      <c r="AM614" s="29"/>
      <c r="AN614" s="29"/>
      <c r="AO614" s="29"/>
    </row>
    <row r="615" ht="15.75" customHeight="1">
      <c r="AE615" s="29"/>
      <c r="AF615" s="29"/>
      <c r="AG615" s="29"/>
      <c r="AH615" s="29"/>
      <c r="AI615" s="29"/>
      <c r="AJ615" s="29"/>
      <c r="AK615" s="29"/>
      <c r="AL615" s="29"/>
      <c r="AM615" s="29"/>
      <c r="AN615" s="29"/>
      <c r="AO615" s="29"/>
    </row>
    <row r="616" ht="15.75" customHeight="1">
      <c r="AE616" s="29"/>
      <c r="AF616" s="29"/>
      <c r="AG616" s="29"/>
      <c r="AH616" s="29"/>
      <c r="AI616" s="29"/>
      <c r="AJ616" s="29"/>
      <c r="AK616" s="29"/>
      <c r="AL616" s="29"/>
      <c r="AM616" s="29"/>
      <c r="AN616" s="29"/>
      <c r="AO616" s="29"/>
    </row>
    <row r="617" ht="15.75" customHeight="1">
      <c r="AE617" s="29"/>
      <c r="AF617" s="29"/>
      <c r="AG617" s="29"/>
      <c r="AH617" s="29"/>
      <c r="AI617" s="29"/>
      <c r="AJ617" s="29"/>
      <c r="AK617" s="29"/>
      <c r="AL617" s="29"/>
      <c r="AM617" s="29"/>
      <c r="AN617" s="29"/>
      <c r="AO617" s="29"/>
    </row>
    <row r="618" ht="15.75" customHeight="1">
      <c r="AE618" s="29"/>
      <c r="AF618" s="29"/>
      <c r="AG618" s="29"/>
      <c r="AH618" s="29"/>
      <c r="AI618" s="29"/>
      <c r="AJ618" s="29"/>
      <c r="AK618" s="29"/>
      <c r="AL618" s="29"/>
      <c r="AM618" s="29"/>
      <c r="AN618" s="29"/>
      <c r="AO618" s="29"/>
    </row>
    <row r="619" ht="15.75" customHeight="1">
      <c r="AE619" s="29"/>
      <c r="AF619" s="29"/>
      <c r="AG619" s="29"/>
      <c r="AH619" s="29"/>
      <c r="AI619" s="29"/>
      <c r="AJ619" s="29"/>
      <c r="AK619" s="29"/>
      <c r="AL619" s="29"/>
      <c r="AM619" s="29"/>
      <c r="AN619" s="29"/>
      <c r="AO619" s="29"/>
    </row>
    <row r="620" ht="15.75" customHeight="1">
      <c r="AE620" s="29"/>
      <c r="AF620" s="29"/>
      <c r="AG620" s="29"/>
      <c r="AH620" s="29"/>
      <c r="AI620" s="29"/>
      <c r="AJ620" s="29"/>
      <c r="AK620" s="29"/>
      <c r="AL620" s="29"/>
      <c r="AM620" s="29"/>
      <c r="AN620" s="29"/>
      <c r="AO620" s="29"/>
    </row>
    <row r="621" ht="15.75" customHeight="1">
      <c r="AE621" s="29"/>
      <c r="AF621" s="29"/>
      <c r="AG621" s="29"/>
      <c r="AH621" s="29"/>
      <c r="AI621" s="29"/>
      <c r="AJ621" s="29"/>
      <c r="AK621" s="29"/>
      <c r="AL621" s="29"/>
      <c r="AM621" s="29"/>
      <c r="AN621" s="29"/>
      <c r="AO621" s="29"/>
    </row>
    <row r="622" ht="15.75" customHeight="1">
      <c r="AE622" s="29"/>
      <c r="AF622" s="29"/>
      <c r="AG622" s="29"/>
      <c r="AH622" s="29"/>
      <c r="AI622" s="29"/>
      <c r="AJ622" s="29"/>
      <c r="AK622" s="29"/>
      <c r="AL622" s="29"/>
      <c r="AM622" s="29"/>
      <c r="AN622" s="29"/>
      <c r="AO622" s="29"/>
    </row>
    <row r="623" ht="15.75" customHeight="1">
      <c r="AE623" s="29"/>
      <c r="AF623" s="29"/>
      <c r="AG623" s="29"/>
      <c r="AH623" s="29"/>
      <c r="AI623" s="29"/>
      <c r="AJ623" s="29"/>
      <c r="AK623" s="29"/>
      <c r="AL623" s="29"/>
      <c r="AM623" s="29"/>
      <c r="AN623" s="29"/>
      <c r="AO623" s="29"/>
    </row>
    <row r="624" ht="15.75" customHeight="1">
      <c r="AE624" s="29"/>
      <c r="AF624" s="29"/>
      <c r="AG624" s="29"/>
      <c r="AH624" s="29"/>
      <c r="AI624" s="29"/>
      <c r="AJ624" s="29"/>
      <c r="AK624" s="29"/>
      <c r="AL624" s="29"/>
      <c r="AM624" s="29"/>
      <c r="AN624" s="29"/>
      <c r="AO624" s="29"/>
    </row>
    <row r="625" ht="15.75" customHeight="1">
      <c r="AE625" s="29"/>
      <c r="AF625" s="29"/>
      <c r="AG625" s="29"/>
      <c r="AH625" s="29"/>
      <c r="AI625" s="29"/>
      <c r="AJ625" s="29"/>
      <c r="AK625" s="29"/>
      <c r="AL625" s="29"/>
      <c r="AM625" s="29"/>
      <c r="AN625" s="29"/>
      <c r="AO625" s="29"/>
    </row>
    <row r="626" ht="15.75" customHeight="1">
      <c r="AE626" s="29"/>
      <c r="AF626" s="29"/>
      <c r="AG626" s="29"/>
      <c r="AH626" s="29"/>
      <c r="AI626" s="29"/>
      <c r="AJ626" s="29"/>
      <c r="AK626" s="29"/>
      <c r="AL626" s="29"/>
      <c r="AM626" s="29"/>
      <c r="AN626" s="29"/>
      <c r="AO626" s="29"/>
    </row>
    <row r="627" ht="15.75" customHeight="1">
      <c r="AE627" s="29"/>
      <c r="AF627" s="29"/>
      <c r="AG627" s="29"/>
      <c r="AH627" s="29"/>
      <c r="AI627" s="29"/>
      <c r="AJ627" s="29"/>
      <c r="AK627" s="29"/>
      <c r="AL627" s="29"/>
      <c r="AM627" s="29"/>
      <c r="AN627" s="29"/>
      <c r="AO627" s="29"/>
    </row>
    <row r="628" ht="15.75" customHeight="1">
      <c r="AE628" s="29"/>
      <c r="AF628" s="29"/>
      <c r="AG628" s="29"/>
      <c r="AH628" s="29"/>
      <c r="AI628" s="29"/>
      <c r="AJ628" s="29"/>
      <c r="AK628" s="29"/>
      <c r="AL628" s="29"/>
      <c r="AM628" s="29"/>
      <c r="AN628" s="29"/>
      <c r="AO628" s="29"/>
    </row>
    <row r="629" ht="15.75" customHeight="1">
      <c r="AE629" s="29"/>
      <c r="AF629" s="29"/>
      <c r="AG629" s="29"/>
      <c r="AH629" s="29"/>
      <c r="AI629" s="29"/>
      <c r="AJ629" s="29"/>
      <c r="AK629" s="29"/>
      <c r="AL629" s="29"/>
      <c r="AM629" s="29"/>
      <c r="AN629" s="29"/>
      <c r="AO629" s="29"/>
    </row>
    <row r="630" ht="15.75" customHeight="1">
      <c r="AE630" s="29"/>
      <c r="AF630" s="29"/>
      <c r="AG630" s="29"/>
      <c r="AH630" s="29"/>
      <c r="AI630" s="29"/>
      <c r="AJ630" s="29"/>
      <c r="AK630" s="29"/>
      <c r="AL630" s="29"/>
      <c r="AM630" s="29"/>
      <c r="AN630" s="29"/>
      <c r="AO630" s="29"/>
    </row>
    <row r="631" ht="15.75" customHeight="1">
      <c r="AE631" s="29"/>
      <c r="AF631" s="29"/>
      <c r="AG631" s="29"/>
      <c r="AH631" s="29"/>
      <c r="AI631" s="29"/>
      <c r="AJ631" s="29"/>
      <c r="AK631" s="29"/>
      <c r="AL631" s="29"/>
      <c r="AM631" s="29"/>
      <c r="AN631" s="29"/>
      <c r="AO631" s="29"/>
    </row>
    <row r="632" ht="15.75" customHeight="1">
      <c r="AE632" s="29"/>
      <c r="AF632" s="29"/>
      <c r="AG632" s="29"/>
      <c r="AH632" s="29"/>
      <c r="AI632" s="29"/>
      <c r="AJ632" s="29"/>
      <c r="AK632" s="29"/>
      <c r="AL632" s="29"/>
      <c r="AM632" s="29"/>
      <c r="AN632" s="29"/>
      <c r="AO632" s="29"/>
    </row>
    <row r="633" ht="15.75" customHeight="1">
      <c r="AE633" s="29"/>
      <c r="AF633" s="29"/>
      <c r="AG633" s="29"/>
      <c r="AH633" s="29"/>
      <c r="AI633" s="29"/>
      <c r="AJ633" s="29"/>
      <c r="AK633" s="29"/>
      <c r="AL633" s="29"/>
      <c r="AM633" s="29"/>
      <c r="AN633" s="29"/>
      <c r="AO633" s="29"/>
    </row>
    <row r="634" ht="15.75" customHeight="1">
      <c r="AE634" s="29"/>
      <c r="AF634" s="29"/>
      <c r="AG634" s="29"/>
      <c r="AH634" s="29"/>
      <c r="AI634" s="29"/>
      <c r="AJ634" s="29"/>
      <c r="AK634" s="29"/>
      <c r="AL634" s="29"/>
      <c r="AM634" s="29"/>
      <c r="AN634" s="29"/>
      <c r="AO634" s="29"/>
    </row>
    <row r="635" ht="15.75" customHeight="1">
      <c r="AE635" s="29"/>
      <c r="AF635" s="29"/>
      <c r="AG635" s="29"/>
      <c r="AH635" s="29"/>
      <c r="AI635" s="29"/>
      <c r="AJ635" s="29"/>
      <c r="AK635" s="29"/>
      <c r="AL635" s="29"/>
      <c r="AM635" s="29"/>
      <c r="AN635" s="29"/>
      <c r="AO635" s="29"/>
    </row>
    <row r="636" ht="15.75" customHeight="1">
      <c r="AE636" s="29"/>
      <c r="AF636" s="29"/>
      <c r="AG636" s="29"/>
      <c r="AH636" s="29"/>
      <c r="AI636" s="29"/>
      <c r="AJ636" s="29"/>
      <c r="AK636" s="29"/>
      <c r="AL636" s="29"/>
      <c r="AM636" s="29"/>
      <c r="AN636" s="29"/>
      <c r="AO636" s="29"/>
    </row>
    <row r="637" ht="15.75" customHeight="1">
      <c r="AE637" s="29"/>
      <c r="AF637" s="29"/>
      <c r="AG637" s="29"/>
      <c r="AH637" s="29"/>
      <c r="AI637" s="29"/>
      <c r="AJ637" s="29"/>
      <c r="AK637" s="29"/>
      <c r="AL637" s="29"/>
      <c r="AM637" s="29"/>
      <c r="AN637" s="29"/>
      <c r="AO637" s="29"/>
    </row>
    <row r="638" ht="15.75" customHeight="1">
      <c r="AE638" s="29"/>
      <c r="AF638" s="29"/>
      <c r="AG638" s="29"/>
      <c r="AH638" s="29"/>
      <c r="AI638" s="29"/>
      <c r="AJ638" s="29"/>
      <c r="AK638" s="29"/>
      <c r="AL638" s="29"/>
      <c r="AM638" s="29"/>
      <c r="AN638" s="29"/>
      <c r="AO638" s="29"/>
    </row>
    <row r="639" ht="15.75" customHeight="1">
      <c r="AE639" s="29"/>
      <c r="AF639" s="29"/>
      <c r="AG639" s="29"/>
      <c r="AH639" s="29"/>
      <c r="AI639" s="29"/>
      <c r="AJ639" s="29"/>
      <c r="AK639" s="29"/>
      <c r="AL639" s="29"/>
      <c r="AM639" s="29"/>
      <c r="AN639" s="29"/>
      <c r="AO639" s="29"/>
    </row>
    <row r="640" ht="15.75" customHeight="1">
      <c r="AE640" s="29"/>
      <c r="AF640" s="29"/>
      <c r="AG640" s="29"/>
      <c r="AH640" s="29"/>
      <c r="AI640" s="29"/>
      <c r="AJ640" s="29"/>
      <c r="AK640" s="29"/>
      <c r="AL640" s="29"/>
      <c r="AM640" s="29"/>
      <c r="AN640" s="29"/>
      <c r="AO640" s="29"/>
    </row>
    <row r="641" ht="15.75" customHeight="1">
      <c r="AE641" s="29"/>
      <c r="AF641" s="29"/>
      <c r="AG641" s="29"/>
      <c r="AH641" s="29"/>
      <c r="AI641" s="29"/>
      <c r="AJ641" s="29"/>
      <c r="AK641" s="29"/>
      <c r="AL641" s="29"/>
      <c r="AM641" s="29"/>
      <c r="AN641" s="29"/>
      <c r="AO641" s="29"/>
    </row>
    <row r="642" ht="15.75" customHeight="1">
      <c r="AE642" s="29"/>
      <c r="AF642" s="29"/>
      <c r="AG642" s="29"/>
      <c r="AH642" s="29"/>
      <c r="AI642" s="29"/>
      <c r="AJ642" s="29"/>
      <c r="AK642" s="29"/>
      <c r="AL642" s="29"/>
      <c r="AM642" s="29"/>
      <c r="AN642" s="29"/>
      <c r="AO642" s="29"/>
    </row>
    <row r="643" ht="15.75" customHeight="1">
      <c r="AE643" s="29"/>
      <c r="AF643" s="29"/>
      <c r="AG643" s="29"/>
      <c r="AH643" s="29"/>
      <c r="AI643" s="29"/>
      <c r="AJ643" s="29"/>
      <c r="AK643" s="29"/>
      <c r="AL643" s="29"/>
      <c r="AM643" s="29"/>
      <c r="AN643" s="29"/>
      <c r="AO643" s="29"/>
    </row>
    <row r="644" ht="15.75" customHeight="1">
      <c r="AE644" s="29"/>
      <c r="AF644" s="29"/>
      <c r="AG644" s="29"/>
      <c r="AH644" s="29"/>
      <c r="AI644" s="29"/>
      <c r="AJ644" s="29"/>
      <c r="AK644" s="29"/>
      <c r="AL644" s="29"/>
      <c r="AM644" s="29"/>
      <c r="AN644" s="29"/>
      <c r="AO644" s="29"/>
    </row>
    <row r="645" ht="15.75" customHeight="1">
      <c r="AE645" s="29"/>
      <c r="AF645" s="29"/>
      <c r="AG645" s="29"/>
      <c r="AH645" s="29"/>
      <c r="AI645" s="29"/>
      <c r="AJ645" s="29"/>
      <c r="AK645" s="29"/>
      <c r="AL645" s="29"/>
      <c r="AM645" s="29"/>
      <c r="AN645" s="29"/>
      <c r="AO645" s="29"/>
    </row>
    <row r="646" ht="15.75" customHeight="1">
      <c r="AE646" s="29"/>
      <c r="AF646" s="29"/>
      <c r="AG646" s="29"/>
      <c r="AH646" s="29"/>
      <c r="AI646" s="29"/>
      <c r="AJ646" s="29"/>
      <c r="AK646" s="29"/>
      <c r="AL646" s="29"/>
      <c r="AM646" s="29"/>
      <c r="AN646" s="29"/>
      <c r="AO646" s="29"/>
    </row>
    <row r="647" ht="15.75" customHeight="1">
      <c r="AE647" s="29"/>
      <c r="AF647" s="29"/>
      <c r="AG647" s="29"/>
      <c r="AH647" s="29"/>
      <c r="AI647" s="29"/>
      <c r="AJ647" s="29"/>
      <c r="AK647" s="29"/>
      <c r="AL647" s="29"/>
      <c r="AM647" s="29"/>
      <c r="AN647" s="29"/>
      <c r="AO647" s="29"/>
    </row>
    <row r="648" ht="15.75" customHeight="1">
      <c r="AE648" s="29"/>
      <c r="AF648" s="29"/>
      <c r="AG648" s="29"/>
      <c r="AH648" s="29"/>
      <c r="AI648" s="29"/>
      <c r="AJ648" s="29"/>
      <c r="AK648" s="29"/>
      <c r="AL648" s="29"/>
      <c r="AM648" s="29"/>
      <c r="AN648" s="29"/>
      <c r="AO648" s="29"/>
    </row>
    <row r="649" ht="15.75" customHeight="1">
      <c r="AE649" s="29"/>
      <c r="AF649" s="29"/>
      <c r="AG649" s="29"/>
      <c r="AH649" s="29"/>
      <c r="AI649" s="29"/>
      <c r="AJ649" s="29"/>
      <c r="AK649" s="29"/>
      <c r="AL649" s="29"/>
      <c r="AM649" s="29"/>
      <c r="AN649" s="29"/>
      <c r="AO649" s="29"/>
    </row>
    <row r="650" ht="15.75" customHeight="1">
      <c r="AE650" s="29"/>
      <c r="AF650" s="29"/>
      <c r="AG650" s="29"/>
      <c r="AH650" s="29"/>
      <c r="AI650" s="29"/>
      <c r="AJ650" s="29"/>
      <c r="AK650" s="29"/>
      <c r="AL650" s="29"/>
      <c r="AM650" s="29"/>
      <c r="AN650" s="29"/>
      <c r="AO650" s="29"/>
    </row>
    <row r="651" ht="15.75" customHeight="1">
      <c r="AE651" s="29"/>
      <c r="AF651" s="29"/>
      <c r="AG651" s="29"/>
      <c r="AH651" s="29"/>
      <c r="AI651" s="29"/>
      <c r="AJ651" s="29"/>
      <c r="AK651" s="29"/>
      <c r="AL651" s="29"/>
      <c r="AM651" s="29"/>
      <c r="AN651" s="29"/>
      <c r="AO651" s="29"/>
    </row>
    <row r="652" ht="15.75" customHeight="1">
      <c r="AE652" s="29"/>
      <c r="AF652" s="29"/>
      <c r="AG652" s="29"/>
      <c r="AH652" s="29"/>
      <c r="AI652" s="29"/>
      <c r="AJ652" s="29"/>
      <c r="AK652" s="29"/>
      <c r="AL652" s="29"/>
      <c r="AM652" s="29"/>
      <c r="AN652" s="29"/>
      <c r="AO652" s="29"/>
    </row>
    <row r="653" ht="15.75" customHeight="1">
      <c r="AE653" s="29"/>
      <c r="AF653" s="29"/>
      <c r="AG653" s="29"/>
      <c r="AH653" s="29"/>
      <c r="AI653" s="29"/>
      <c r="AJ653" s="29"/>
      <c r="AK653" s="29"/>
      <c r="AL653" s="29"/>
      <c r="AM653" s="29"/>
      <c r="AN653" s="29"/>
      <c r="AO653" s="29"/>
    </row>
    <row r="654" ht="15.75" customHeight="1">
      <c r="AE654" s="29"/>
      <c r="AF654" s="29"/>
      <c r="AG654" s="29"/>
      <c r="AH654" s="29"/>
      <c r="AI654" s="29"/>
      <c r="AJ654" s="29"/>
      <c r="AK654" s="29"/>
      <c r="AL654" s="29"/>
      <c r="AM654" s="29"/>
      <c r="AN654" s="29"/>
      <c r="AO654" s="29"/>
    </row>
    <row r="655" ht="15.75" customHeight="1">
      <c r="AE655" s="29"/>
      <c r="AF655" s="29"/>
      <c r="AG655" s="29"/>
      <c r="AH655" s="29"/>
      <c r="AI655" s="29"/>
      <c r="AJ655" s="29"/>
      <c r="AK655" s="29"/>
      <c r="AL655" s="29"/>
      <c r="AM655" s="29"/>
      <c r="AN655" s="29"/>
      <c r="AO655" s="29"/>
    </row>
    <row r="656" ht="15.75" customHeight="1">
      <c r="AE656" s="29"/>
      <c r="AF656" s="29"/>
      <c r="AG656" s="29"/>
      <c r="AH656" s="29"/>
      <c r="AI656" s="29"/>
      <c r="AJ656" s="29"/>
      <c r="AK656" s="29"/>
      <c r="AL656" s="29"/>
      <c r="AM656" s="29"/>
      <c r="AN656" s="29"/>
      <c r="AO656" s="29"/>
    </row>
    <row r="657" ht="15.75" customHeight="1">
      <c r="AE657" s="29"/>
      <c r="AF657" s="29"/>
      <c r="AG657" s="29"/>
      <c r="AH657" s="29"/>
      <c r="AI657" s="29"/>
      <c r="AJ657" s="29"/>
      <c r="AK657" s="29"/>
      <c r="AL657" s="29"/>
      <c r="AM657" s="29"/>
      <c r="AN657" s="29"/>
      <c r="AO657" s="29"/>
    </row>
    <row r="658" ht="15.75" customHeight="1">
      <c r="AE658" s="29"/>
      <c r="AF658" s="29"/>
      <c r="AG658" s="29"/>
      <c r="AH658" s="29"/>
      <c r="AI658" s="29"/>
      <c r="AJ658" s="29"/>
      <c r="AK658" s="29"/>
      <c r="AL658" s="29"/>
      <c r="AM658" s="29"/>
      <c r="AN658" s="29"/>
      <c r="AO658" s="29"/>
    </row>
    <row r="659" ht="15.75" customHeight="1">
      <c r="AE659" s="29"/>
      <c r="AF659" s="29"/>
      <c r="AG659" s="29"/>
      <c r="AH659" s="29"/>
      <c r="AI659" s="29"/>
      <c r="AJ659" s="29"/>
      <c r="AK659" s="29"/>
      <c r="AL659" s="29"/>
      <c r="AM659" s="29"/>
      <c r="AN659" s="29"/>
      <c r="AO659" s="29"/>
    </row>
    <row r="660" ht="15.75" customHeight="1">
      <c r="AE660" s="29"/>
      <c r="AF660" s="29"/>
      <c r="AG660" s="29"/>
      <c r="AH660" s="29"/>
      <c r="AI660" s="29"/>
      <c r="AJ660" s="29"/>
      <c r="AK660" s="29"/>
      <c r="AL660" s="29"/>
      <c r="AM660" s="29"/>
      <c r="AN660" s="29"/>
      <c r="AO660" s="29"/>
    </row>
    <row r="661" ht="15.75" customHeight="1">
      <c r="AE661" s="29"/>
      <c r="AF661" s="29"/>
      <c r="AG661" s="29"/>
      <c r="AH661" s="29"/>
      <c r="AI661" s="29"/>
      <c r="AJ661" s="29"/>
      <c r="AK661" s="29"/>
      <c r="AL661" s="29"/>
      <c r="AM661" s="29"/>
      <c r="AN661" s="29"/>
      <c r="AO661" s="29"/>
    </row>
    <row r="662" ht="15.75" customHeight="1">
      <c r="AE662" s="29"/>
      <c r="AF662" s="29"/>
      <c r="AG662" s="29"/>
      <c r="AH662" s="29"/>
      <c r="AI662" s="29"/>
      <c r="AJ662" s="29"/>
      <c r="AK662" s="29"/>
      <c r="AL662" s="29"/>
      <c r="AM662" s="29"/>
      <c r="AN662" s="29"/>
      <c r="AO662" s="29"/>
    </row>
    <row r="663" ht="15.75" customHeight="1">
      <c r="AE663" s="29"/>
      <c r="AF663" s="29"/>
      <c r="AG663" s="29"/>
      <c r="AH663" s="29"/>
      <c r="AI663" s="29"/>
      <c r="AJ663" s="29"/>
      <c r="AK663" s="29"/>
      <c r="AL663" s="29"/>
      <c r="AM663" s="29"/>
      <c r="AN663" s="29"/>
      <c r="AO663" s="29"/>
    </row>
    <row r="664" ht="15.75" customHeight="1">
      <c r="AE664" s="29"/>
      <c r="AF664" s="29"/>
      <c r="AG664" s="29"/>
      <c r="AH664" s="29"/>
      <c r="AI664" s="29"/>
      <c r="AJ664" s="29"/>
      <c r="AK664" s="29"/>
      <c r="AL664" s="29"/>
      <c r="AM664" s="29"/>
      <c r="AN664" s="29"/>
      <c r="AO664" s="29"/>
    </row>
    <row r="665" ht="15.75" customHeight="1">
      <c r="AE665" s="29"/>
      <c r="AF665" s="29"/>
      <c r="AG665" s="29"/>
      <c r="AH665" s="29"/>
      <c r="AI665" s="29"/>
      <c r="AJ665" s="29"/>
      <c r="AK665" s="29"/>
      <c r="AL665" s="29"/>
      <c r="AM665" s="29"/>
      <c r="AN665" s="29"/>
      <c r="AO665" s="29"/>
    </row>
    <row r="666" ht="15.75" customHeight="1">
      <c r="AE666" s="29"/>
      <c r="AF666" s="29"/>
      <c r="AG666" s="29"/>
      <c r="AH666" s="29"/>
      <c r="AI666" s="29"/>
      <c r="AJ666" s="29"/>
      <c r="AK666" s="29"/>
      <c r="AL666" s="29"/>
      <c r="AM666" s="29"/>
      <c r="AN666" s="29"/>
      <c r="AO666" s="29"/>
    </row>
    <row r="667" ht="15.75" customHeight="1">
      <c r="AE667" s="29"/>
      <c r="AF667" s="29"/>
      <c r="AG667" s="29"/>
      <c r="AH667" s="29"/>
      <c r="AI667" s="29"/>
      <c r="AJ667" s="29"/>
      <c r="AK667" s="29"/>
      <c r="AL667" s="29"/>
      <c r="AM667" s="29"/>
      <c r="AN667" s="29"/>
      <c r="AO667" s="29"/>
    </row>
    <row r="668" ht="15.75" customHeight="1">
      <c r="AE668" s="29"/>
      <c r="AF668" s="29"/>
      <c r="AG668" s="29"/>
      <c r="AH668" s="29"/>
      <c r="AI668" s="29"/>
      <c r="AJ668" s="29"/>
      <c r="AK668" s="29"/>
      <c r="AL668" s="29"/>
      <c r="AM668" s="29"/>
      <c r="AN668" s="29"/>
      <c r="AO668" s="29"/>
    </row>
    <row r="669" ht="15.75" customHeight="1">
      <c r="AE669" s="29"/>
      <c r="AF669" s="29"/>
      <c r="AG669" s="29"/>
      <c r="AH669" s="29"/>
      <c r="AI669" s="29"/>
      <c r="AJ669" s="29"/>
      <c r="AK669" s="29"/>
      <c r="AL669" s="29"/>
      <c r="AM669" s="29"/>
      <c r="AN669" s="29"/>
      <c r="AO669" s="29"/>
    </row>
    <row r="670" ht="15.75" customHeight="1">
      <c r="AE670" s="29"/>
      <c r="AF670" s="29"/>
      <c r="AG670" s="29"/>
      <c r="AH670" s="29"/>
      <c r="AI670" s="29"/>
      <c r="AJ670" s="29"/>
      <c r="AK670" s="29"/>
      <c r="AL670" s="29"/>
      <c r="AM670" s="29"/>
      <c r="AN670" s="29"/>
      <c r="AO670" s="29"/>
    </row>
    <row r="671" ht="15.75" customHeight="1">
      <c r="AE671" s="29"/>
      <c r="AF671" s="29"/>
      <c r="AG671" s="29"/>
      <c r="AH671" s="29"/>
      <c r="AI671" s="29"/>
      <c r="AJ671" s="29"/>
      <c r="AK671" s="29"/>
      <c r="AL671" s="29"/>
      <c r="AM671" s="29"/>
      <c r="AN671" s="29"/>
      <c r="AO671" s="29"/>
    </row>
    <row r="672" ht="15.75" customHeight="1">
      <c r="AE672" s="29"/>
      <c r="AF672" s="29"/>
      <c r="AG672" s="29"/>
      <c r="AH672" s="29"/>
      <c r="AI672" s="29"/>
      <c r="AJ672" s="29"/>
      <c r="AK672" s="29"/>
      <c r="AL672" s="29"/>
      <c r="AM672" s="29"/>
      <c r="AN672" s="29"/>
      <c r="AO672" s="29"/>
    </row>
    <row r="673" ht="15.75" customHeight="1">
      <c r="AE673" s="29"/>
      <c r="AF673" s="29"/>
      <c r="AG673" s="29"/>
      <c r="AH673" s="29"/>
      <c r="AI673" s="29"/>
      <c r="AJ673" s="29"/>
      <c r="AK673" s="29"/>
      <c r="AL673" s="29"/>
      <c r="AM673" s="29"/>
      <c r="AN673" s="29"/>
      <c r="AO673" s="29"/>
    </row>
    <row r="674" ht="15.75" customHeight="1">
      <c r="AE674" s="29"/>
      <c r="AF674" s="29"/>
      <c r="AG674" s="29"/>
      <c r="AH674" s="29"/>
      <c r="AI674" s="29"/>
      <c r="AJ674" s="29"/>
      <c r="AK674" s="29"/>
      <c r="AL674" s="29"/>
      <c r="AM674" s="29"/>
      <c r="AN674" s="29"/>
      <c r="AO674" s="29"/>
    </row>
    <row r="675" ht="15.75" customHeight="1">
      <c r="AE675" s="29"/>
      <c r="AF675" s="29"/>
      <c r="AG675" s="29"/>
      <c r="AH675" s="29"/>
      <c r="AI675" s="29"/>
      <c r="AJ675" s="29"/>
      <c r="AK675" s="29"/>
      <c r="AL675" s="29"/>
      <c r="AM675" s="29"/>
      <c r="AN675" s="29"/>
      <c r="AO675" s="29"/>
    </row>
    <row r="676" ht="15.75" customHeight="1">
      <c r="AE676" s="29"/>
      <c r="AF676" s="29"/>
      <c r="AG676" s="29"/>
      <c r="AH676" s="29"/>
      <c r="AI676" s="29"/>
      <c r="AJ676" s="29"/>
      <c r="AK676" s="29"/>
      <c r="AL676" s="29"/>
      <c r="AM676" s="29"/>
      <c r="AN676" s="29"/>
      <c r="AO676" s="29"/>
    </row>
    <row r="677" ht="15.75" customHeight="1">
      <c r="AE677" s="29"/>
      <c r="AF677" s="29"/>
      <c r="AG677" s="29"/>
      <c r="AH677" s="29"/>
      <c r="AI677" s="29"/>
      <c r="AJ677" s="29"/>
      <c r="AK677" s="29"/>
      <c r="AL677" s="29"/>
      <c r="AM677" s="29"/>
      <c r="AN677" s="29"/>
      <c r="AO677" s="29"/>
    </row>
    <row r="678" ht="15.75" customHeight="1">
      <c r="AE678" s="29"/>
      <c r="AF678" s="29"/>
      <c r="AG678" s="29"/>
      <c r="AH678" s="29"/>
      <c r="AI678" s="29"/>
      <c r="AJ678" s="29"/>
      <c r="AK678" s="29"/>
      <c r="AL678" s="29"/>
      <c r="AM678" s="29"/>
      <c r="AN678" s="29"/>
      <c r="AO678" s="29"/>
    </row>
    <row r="679" ht="15.75" customHeight="1">
      <c r="AE679" s="29"/>
      <c r="AF679" s="29"/>
      <c r="AG679" s="29"/>
      <c r="AH679" s="29"/>
      <c r="AI679" s="29"/>
      <c r="AJ679" s="29"/>
      <c r="AK679" s="29"/>
      <c r="AL679" s="29"/>
      <c r="AM679" s="29"/>
      <c r="AN679" s="29"/>
      <c r="AO679" s="29"/>
    </row>
    <row r="680" ht="15.75" customHeight="1">
      <c r="AE680" s="29"/>
      <c r="AF680" s="29"/>
      <c r="AG680" s="29"/>
      <c r="AH680" s="29"/>
      <c r="AI680" s="29"/>
      <c r="AJ680" s="29"/>
      <c r="AK680" s="29"/>
      <c r="AL680" s="29"/>
      <c r="AM680" s="29"/>
      <c r="AN680" s="29"/>
      <c r="AO680" s="29"/>
    </row>
    <row r="681" ht="15.75" customHeight="1">
      <c r="AE681" s="29"/>
      <c r="AF681" s="29"/>
      <c r="AG681" s="29"/>
      <c r="AH681" s="29"/>
      <c r="AI681" s="29"/>
      <c r="AJ681" s="29"/>
      <c r="AK681" s="29"/>
      <c r="AL681" s="29"/>
      <c r="AM681" s="29"/>
      <c r="AN681" s="29"/>
      <c r="AO681" s="29"/>
    </row>
    <row r="682" ht="15.75" customHeight="1">
      <c r="AE682" s="29"/>
      <c r="AF682" s="29"/>
      <c r="AG682" s="29"/>
      <c r="AH682" s="29"/>
      <c r="AI682" s="29"/>
      <c r="AJ682" s="29"/>
      <c r="AK682" s="29"/>
      <c r="AL682" s="29"/>
      <c r="AM682" s="29"/>
      <c r="AN682" s="29"/>
      <c r="AO682" s="29"/>
    </row>
    <row r="683" ht="15.75" customHeight="1">
      <c r="AE683" s="29"/>
      <c r="AF683" s="29"/>
      <c r="AG683" s="29"/>
      <c r="AH683" s="29"/>
      <c r="AI683" s="29"/>
      <c r="AJ683" s="29"/>
      <c r="AK683" s="29"/>
      <c r="AL683" s="29"/>
      <c r="AM683" s="29"/>
      <c r="AN683" s="29"/>
      <c r="AO683" s="29"/>
    </row>
    <row r="684" ht="15.75" customHeight="1">
      <c r="AE684" s="29"/>
      <c r="AF684" s="29"/>
      <c r="AG684" s="29"/>
      <c r="AH684" s="29"/>
      <c r="AI684" s="29"/>
      <c r="AJ684" s="29"/>
      <c r="AK684" s="29"/>
      <c r="AL684" s="29"/>
      <c r="AM684" s="29"/>
      <c r="AN684" s="29"/>
      <c r="AO684" s="29"/>
    </row>
    <row r="685" ht="15.75" customHeight="1">
      <c r="AE685" s="29"/>
      <c r="AF685" s="29"/>
      <c r="AG685" s="29"/>
      <c r="AH685" s="29"/>
      <c r="AI685" s="29"/>
      <c r="AJ685" s="29"/>
      <c r="AK685" s="29"/>
      <c r="AL685" s="29"/>
      <c r="AM685" s="29"/>
      <c r="AN685" s="29"/>
      <c r="AO685" s="29"/>
    </row>
    <row r="686" ht="15.75" customHeight="1">
      <c r="AE686" s="29"/>
      <c r="AF686" s="29"/>
      <c r="AG686" s="29"/>
      <c r="AH686" s="29"/>
      <c r="AI686" s="29"/>
      <c r="AJ686" s="29"/>
      <c r="AK686" s="29"/>
      <c r="AL686" s="29"/>
      <c r="AM686" s="29"/>
      <c r="AN686" s="29"/>
      <c r="AO686" s="29"/>
    </row>
    <row r="687" ht="15.75" customHeight="1">
      <c r="AE687" s="29"/>
      <c r="AF687" s="29"/>
      <c r="AG687" s="29"/>
      <c r="AH687" s="29"/>
      <c r="AI687" s="29"/>
      <c r="AJ687" s="29"/>
      <c r="AK687" s="29"/>
      <c r="AL687" s="29"/>
      <c r="AM687" s="29"/>
      <c r="AN687" s="29"/>
      <c r="AO687" s="29"/>
    </row>
    <row r="688" ht="15.75" customHeight="1">
      <c r="AE688" s="29"/>
      <c r="AF688" s="29"/>
      <c r="AG688" s="29"/>
      <c r="AH688" s="29"/>
      <c r="AI688" s="29"/>
      <c r="AJ688" s="29"/>
      <c r="AK688" s="29"/>
      <c r="AL688" s="29"/>
      <c r="AM688" s="29"/>
      <c r="AN688" s="29"/>
      <c r="AO688" s="29"/>
    </row>
    <row r="689" ht="15.75" customHeight="1">
      <c r="AE689" s="29"/>
      <c r="AF689" s="29"/>
      <c r="AG689" s="29"/>
      <c r="AH689" s="29"/>
      <c r="AI689" s="29"/>
      <c r="AJ689" s="29"/>
      <c r="AK689" s="29"/>
      <c r="AL689" s="29"/>
      <c r="AM689" s="29"/>
      <c r="AN689" s="29"/>
      <c r="AO689" s="29"/>
    </row>
    <row r="690" ht="15.75" customHeight="1">
      <c r="AE690" s="29"/>
      <c r="AF690" s="29"/>
      <c r="AG690" s="29"/>
      <c r="AH690" s="29"/>
      <c r="AI690" s="29"/>
      <c r="AJ690" s="29"/>
      <c r="AK690" s="29"/>
      <c r="AL690" s="29"/>
      <c r="AM690" s="29"/>
      <c r="AN690" s="29"/>
      <c r="AO690" s="29"/>
    </row>
    <row r="691" ht="15.75" customHeight="1">
      <c r="AE691" s="29"/>
      <c r="AF691" s="29"/>
      <c r="AG691" s="29"/>
      <c r="AH691" s="29"/>
      <c r="AI691" s="29"/>
      <c r="AJ691" s="29"/>
      <c r="AK691" s="29"/>
      <c r="AL691" s="29"/>
      <c r="AM691" s="29"/>
      <c r="AN691" s="29"/>
      <c r="AO691" s="29"/>
    </row>
    <row r="692" ht="15.75" customHeight="1">
      <c r="AE692" s="29"/>
      <c r="AF692" s="29"/>
      <c r="AG692" s="29"/>
      <c r="AH692" s="29"/>
      <c r="AI692" s="29"/>
      <c r="AJ692" s="29"/>
      <c r="AK692" s="29"/>
      <c r="AL692" s="29"/>
      <c r="AM692" s="29"/>
      <c r="AN692" s="29"/>
      <c r="AO692" s="29"/>
    </row>
    <row r="693" ht="15.75" customHeight="1">
      <c r="AE693" s="29"/>
      <c r="AF693" s="29"/>
      <c r="AG693" s="29"/>
      <c r="AH693" s="29"/>
      <c r="AI693" s="29"/>
      <c r="AJ693" s="29"/>
      <c r="AK693" s="29"/>
      <c r="AL693" s="29"/>
      <c r="AM693" s="29"/>
      <c r="AN693" s="29"/>
      <c r="AO693" s="29"/>
    </row>
    <row r="694" ht="15.75" customHeight="1">
      <c r="AE694" s="29"/>
      <c r="AF694" s="29"/>
      <c r="AG694" s="29"/>
      <c r="AH694" s="29"/>
      <c r="AI694" s="29"/>
      <c r="AJ694" s="29"/>
      <c r="AK694" s="29"/>
      <c r="AL694" s="29"/>
      <c r="AM694" s="29"/>
      <c r="AN694" s="29"/>
      <c r="AO694" s="29"/>
    </row>
    <row r="695" ht="15.75" customHeight="1">
      <c r="AE695" s="29"/>
      <c r="AF695" s="29"/>
      <c r="AG695" s="29"/>
      <c r="AH695" s="29"/>
      <c r="AI695" s="29"/>
      <c r="AJ695" s="29"/>
      <c r="AK695" s="29"/>
      <c r="AL695" s="29"/>
      <c r="AM695" s="29"/>
      <c r="AN695" s="29"/>
      <c r="AO695" s="29"/>
    </row>
    <row r="696" ht="15.75" customHeight="1">
      <c r="AE696" s="29"/>
      <c r="AF696" s="29"/>
      <c r="AG696" s="29"/>
      <c r="AH696" s="29"/>
      <c r="AI696" s="29"/>
      <c r="AJ696" s="29"/>
      <c r="AK696" s="29"/>
      <c r="AL696" s="29"/>
      <c r="AM696" s="29"/>
      <c r="AN696" s="29"/>
      <c r="AO696" s="29"/>
    </row>
    <row r="697" ht="15.75" customHeight="1">
      <c r="AE697" s="29"/>
      <c r="AF697" s="29"/>
      <c r="AG697" s="29"/>
      <c r="AH697" s="29"/>
      <c r="AI697" s="29"/>
      <c r="AJ697" s="29"/>
      <c r="AK697" s="29"/>
      <c r="AL697" s="29"/>
      <c r="AM697" s="29"/>
      <c r="AN697" s="29"/>
      <c r="AO697" s="29"/>
    </row>
    <row r="698" ht="15.75" customHeight="1">
      <c r="AE698" s="29"/>
      <c r="AF698" s="29"/>
      <c r="AG698" s="29"/>
      <c r="AH698" s="29"/>
      <c r="AI698" s="29"/>
      <c r="AJ698" s="29"/>
      <c r="AK698" s="29"/>
      <c r="AL698" s="29"/>
      <c r="AM698" s="29"/>
      <c r="AN698" s="29"/>
      <c r="AO698" s="29"/>
    </row>
    <row r="699" ht="15.75" customHeight="1">
      <c r="AE699" s="29"/>
      <c r="AF699" s="29"/>
      <c r="AG699" s="29"/>
      <c r="AH699" s="29"/>
      <c r="AI699" s="29"/>
      <c r="AJ699" s="29"/>
      <c r="AK699" s="29"/>
      <c r="AL699" s="29"/>
      <c r="AM699" s="29"/>
      <c r="AN699" s="29"/>
      <c r="AO699" s="29"/>
    </row>
    <row r="700" ht="15.75" customHeight="1">
      <c r="AE700" s="29"/>
      <c r="AF700" s="29"/>
      <c r="AG700" s="29"/>
      <c r="AH700" s="29"/>
      <c r="AI700" s="29"/>
      <c r="AJ700" s="29"/>
      <c r="AK700" s="29"/>
      <c r="AL700" s="29"/>
      <c r="AM700" s="29"/>
      <c r="AN700" s="29"/>
      <c r="AO700" s="29"/>
    </row>
    <row r="701" ht="15.75" customHeight="1">
      <c r="AE701" s="29"/>
      <c r="AF701" s="29"/>
      <c r="AG701" s="29"/>
      <c r="AH701" s="29"/>
      <c r="AI701" s="29"/>
      <c r="AJ701" s="29"/>
      <c r="AK701" s="29"/>
      <c r="AL701" s="29"/>
      <c r="AM701" s="29"/>
      <c r="AN701" s="29"/>
      <c r="AO701" s="29"/>
    </row>
    <row r="702" ht="15.75" customHeight="1">
      <c r="AE702" s="29"/>
      <c r="AF702" s="29"/>
      <c r="AG702" s="29"/>
      <c r="AH702" s="29"/>
      <c r="AI702" s="29"/>
      <c r="AJ702" s="29"/>
      <c r="AK702" s="29"/>
      <c r="AL702" s="29"/>
      <c r="AM702" s="29"/>
      <c r="AN702" s="29"/>
      <c r="AO702" s="29"/>
    </row>
    <row r="703" ht="15.75" customHeight="1">
      <c r="AE703" s="29"/>
      <c r="AF703" s="29"/>
      <c r="AG703" s="29"/>
      <c r="AH703" s="29"/>
      <c r="AI703" s="29"/>
      <c r="AJ703" s="29"/>
      <c r="AK703" s="29"/>
      <c r="AL703" s="29"/>
      <c r="AM703" s="29"/>
      <c r="AN703" s="29"/>
      <c r="AO703" s="29"/>
    </row>
    <row r="704" ht="15.75" customHeight="1">
      <c r="AE704" s="29"/>
      <c r="AF704" s="29"/>
      <c r="AG704" s="29"/>
      <c r="AH704" s="29"/>
      <c r="AI704" s="29"/>
      <c r="AJ704" s="29"/>
      <c r="AK704" s="29"/>
      <c r="AL704" s="29"/>
      <c r="AM704" s="29"/>
      <c r="AN704" s="29"/>
      <c r="AO704" s="29"/>
    </row>
    <row r="705" ht="15.75" customHeight="1">
      <c r="AE705" s="29"/>
      <c r="AF705" s="29"/>
      <c r="AG705" s="29"/>
      <c r="AH705" s="29"/>
      <c r="AI705" s="29"/>
      <c r="AJ705" s="29"/>
      <c r="AK705" s="29"/>
      <c r="AL705" s="29"/>
      <c r="AM705" s="29"/>
      <c r="AN705" s="29"/>
      <c r="AO705" s="29"/>
    </row>
    <row r="706" ht="15.75" customHeight="1">
      <c r="AE706" s="29"/>
      <c r="AF706" s="29"/>
      <c r="AG706" s="29"/>
      <c r="AH706" s="29"/>
      <c r="AI706" s="29"/>
      <c r="AJ706" s="29"/>
      <c r="AK706" s="29"/>
      <c r="AL706" s="29"/>
      <c r="AM706" s="29"/>
      <c r="AN706" s="29"/>
      <c r="AO706" s="29"/>
    </row>
    <row r="707" ht="15.75" customHeight="1">
      <c r="AE707" s="29"/>
      <c r="AF707" s="29"/>
      <c r="AG707" s="29"/>
      <c r="AH707" s="29"/>
      <c r="AI707" s="29"/>
      <c r="AJ707" s="29"/>
      <c r="AK707" s="29"/>
      <c r="AL707" s="29"/>
      <c r="AM707" s="29"/>
      <c r="AN707" s="29"/>
      <c r="AO707" s="29"/>
    </row>
    <row r="708" ht="15.75" customHeight="1">
      <c r="AE708" s="29"/>
      <c r="AF708" s="29"/>
      <c r="AG708" s="29"/>
      <c r="AH708" s="29"/>
      <c r="AI708" s="29"/>
      <c r="AJ708" s="29"/>
      <c r="AK708" s="29"/>
      <c r="AL708" s="29"/>
      <c r="AM708" s="29"/>
      <c r="AN708" s="29"/>
      <c r="AO708" s="29"/>
    </row>
    <row r="709" ht="15.75" customHeight="1">
      <c r="AE709" s="29"/>
      <c r="AF709" s="29"/>
      <c r="AG709" s="29"/>
      <c r="AH709" s="29"/>
      <c r="AI709" s="29"/>
      <c r="AJ709" s="29"/>
      <c r="AK709" s="29"/>
      <c r="AL709" s="29"/>
      <c r="AM709" s="29"/>
      <c r="AN709" s="29"/>
      <c r="AO709" s="29"/>
    </row>
    <row r="710" ht="15.75" customHeight="1">
      <c r="AE710" s="29"/>
      <c r="AF710" s="29"/>
      <c r="AG710" s="29"/>
      <c r="AH710" s="29"/>
      <c r="AI710" s="29"/>
      <c r="AJ710" s="29"/>
      <c r="AK710" s="29"/>
      <c r="AL710" s="29"/>
      <c r="AM710" s="29"/>
      <c r="AN710" s="29"/>
      <c r="AO710" s="29"/>
    </row>
    <row r="711" ht="15.75" customHeight="1">
      <c r="AE711" s="29"/>
      <c r="AF711" s="29"/>
      <c r="AG711" s="29"/>
      <c r="AH711" s="29"/>
      <c r="AI711" s="29"/>
      <c r="AJ711" s="29"/>
      <c r="AK711" s="29"/>
      <c r="AL711" s="29"/>
      <c r="AM711" s="29"/>
      <c r="AN711" s="29"/>
      <c r="AO711" s="29"/>
    </row>
    <row r="712" ht="15.75" customHeight="1">
      <c r="AE712" s="29"/>
      <c r="AF712" s="29"/>
      <c r="AG712" s="29"/>
      <c r="AH712" s="29"/>
      <c r="AI712" s="29"/>
      <c r="AJ712" s="29"/>
      <c r="AK712" s="29"/>
      <c r="AL712" s="29"/>
      <c r="AM712" s="29"/>
      <c r="AN712" s="29"/>
      <c r="AO712" s="29"/>
    </row>
    <row r="713" ht="15.75" customHeight="1">
      <c r="AE713" s="29"/>
      <c r="AF713" s="29"/>
      <c r="AG713" s="29"/>
      <c r="AH713" s="29"/>
      <c r="AI713" s="29"/>
      <c r="AJ713" s="29"/>
      <c r="AK713" s="29"/>
      <c r="AL713" s="29"/>
      <c r="AM713" s="29"/>
      <c r="AN713" s="29"/>
      <c r="AO713" s="29"/>
    </row>
    <row r="714" ht="15.75" customHeight="1">
      <c r="AE714" s="29"/>
      <c r="AF714" s="29"/>
      <c r="AG714" s="29"/>
      <c r="AH714" s="29"/>
      <c r="AI714" s="29"/>
      <c r="AJ714" s="29"/>
      <c r="AK714" s="29"/>
      <c r="AL714" s="29"/>
      <c r="AM714" s="29"/>
      <c r="AN714" s="29"/>
      <c r="AO714" s="29"/>
    </row>
    <row r="715" ht="15.75" customHeight="1">
      <c r="AE715" s="29"/>
      <c r="AF715" s="29"/>
      <c r="AG715" s="29"/>
      <c r="AH715" s="29"/>
      <c r="AI715" s="29"/>
      <c r="AJ715" s="29"/>
      <c r="AK715" s="29"/>
      <c r="AL715" s="29"/>
      <c r="AM715" s="29"/>
      <c r="AN715" s="29"/>
      <c r="AO715" s="29"/>
    </row>
    <row r="716" ht="15.75" customHeight="1">
      <c r="AE716" s="29"/>
      <c r="AF716" s="29"/>
      <c r="AG716" s="29"/>
      <c r="AH716" s="29"/>
      <c r="AI716" s="29"/>
      <c r="AJ716" s="29"/>
      <c r="AK716" s="29"/>
      <c r="AL716" s="29"/>
      <c r="AM716" s="29"/>
      <c r="AN716" s="29"/>
      <c r="AO716" s="29"/>
    </row>
    <row r="717" ht="15.75" customHeight="1">
      <c r="AE717" s="29"/>
      <c r="AF717" s="29"/>
      <c r="AG717" s="29"/>
      <c r="AH717" s="29"/>
      <c r="AI717" s="29"/>
      <c r="AJ717" s="29"/>
      <c r="AK717" s="29"/>
      <c r="AL717" s="29"/>
      <c r="AM717" s="29"/>
      <c r="AN717" s="29"/>
      <c r="AO717" s="29"/>
    </row>
    <row r="718" ht="15.75" customHeight="1">
      <c r="AE718" s="29"/>
      <c r="AF718" s="29"/>
      <c r="AG718" s="29"/>
      <c r="AH718" s="29"/>
      <c r="AI718" s="29"/>
      <c r="AJ718" s="29"/>
      <c r="AK718" s="29"/>
      <c r="AL718" s="29"/>
      <c r="AM718" s="29"/>
      <c r="AN718" s="29"/>
      <c r="AO718" s="29"/>
    </row>
    <row r="719" ht="15.75" customHeight="1">
      <c r="AE719" s="29"/>
      <c r="AF719" s="29"/>
      <c r="AG719" s="29"/>
      <c r="AH719" s="29"/>
      <c r="AI719" s="29"/>
      <c r="AJ719" s="29"/>
      <c r="AK719" s="29"/>
      <c r="AL719" s="29"/>
      <c r="AM719" s="29"/>
      <c r="AN719" s="29"/>
      <c r="AO719" s="29"/>
    </row>
    <row r="720" ht="15.75" customHeight="1">
      <c r="AE720" s="29"/>
      <c r="AF720" s="29"/>
      <c r="AG720" s="29"/>
      <c r="AH720" s="29"/>
      <c r="AI720" s="29"/>
      <c r="AJ720" s="29"/>
      <c r="AK720" s="29"/>
      <c r="AL720" s="29"/>
      <c r="AM720" s="29"/>
      <c r="AN720" s="29"/>
      <c r="AO720" s="29"/>
    </row>
    <row r="721" ht="15.75" customHeight="1">
      <c r="AE721" s="29"/>
      <c r="AF721" s="29"/>
      <c r="AG721" s="29"/>
      <c r="AH721" s="29"/>
      <c r="AI721" s="29"/>
      <c r="AJ721" s="29"/>
      <c r="AK721" s="29"/>
      <c r="AL721" s="29"/>
      <c r="AM721" s="29"/>
      <c r="AN721" s="29"/>
      <c r="AO721" s="29"/>
    </row>
    <row r="722" ht="15.75" customHeight="1">
      <c r="AE722" s="29"/>
      <c r="AF722" s="29"/>
      <c r="AG722" s="29"/>
      <c r="AH722" s="29"/>
      <c r="AI722" s="29"/>
      <c r="AJ722" s="29"/>
      <c r="AK722" s="29"/>
      <c r="AL722" s="29"/>
      <c r="AM722" s="29"/>
      <c r="AN722" s="29"/>
      <c r="AO722" s="29"/>
    </row>
    <row r="723" ht="15.75" customHeight="1">
      <c r="AE723" s="29"/>
      <c r="AF723" s="29"/>
      <c r="AG723" s="29"/>
      <c r="AH723" s="29"/>
      <c r="AI723" s="29"/>
      <c r="AJ723" s="29"/>
      <c r="AK723" s="29"/>
      <c r="AL723" s="29"/>
      <c r="AM723" s="29"/>
      <c r="AN723" s="29"/>
      <c r="AO723" s="29"/>
    </row>
    <row r="724" ht="15.75" customHeight="1">
      <c r="AE724" s="29"/>
      <c r="AF724" s="29"/>
      <c r="AG724" s="29"/>
      <c r="AH724" s="29"/>
      <c r="AI724" s="29"/>
      <c r="AJ724" s="29"/>
      <c r="AK724" s="29"/>
      <c r="AL724" s="29"/>
      <c r="AM724" s="29"/>
      <c r="AN724" s="29"/>
      <c r="AO724" s="29"/>
    </row>
    <row r="725" ht="15.75" customHeight="1">
      <c r="AE725" s="29"/>
      <c r="AF725" s="29"/>
      <c r="AG725" s="29"/>
      <c r="AH725" s="29"/>
      <c r="AI725" s="29"/>
      <c r="AJ725" s="29"/>
      <c r="AK725" s="29"/>
      <c r="AL725" s="29"/>
      <c r="AM725" s="29"/>
      <c r="AN725" s="29"/>
      <c r="AO725" s="29"/>
    </row>
    <row r="726" ht="15.75" customHeight="1">
      <c r="AE726" s="29"/>
      <c r="AF726" s="29"/>
      <c r="AG726" s="29"/>
      <c r="AH726" s="29"/>
      <c r="AI726" s="29"/>
      <c r="AJ726" s="29"/>
      <c r="AK726" s="29"/>
      <c r="AL726" s="29"/>
      <c r="AM726" s="29"/>
      <c r="AN726" s="29"/>
      <c r="AO726" s="29"/>
    </row>
    <row r="727" ht="15.75" customHeight="1">
      <c r="AE727" s="29"/>
      <c r="AF727" s="29"/>
      <c r="AG727" s="29"/>
      <c r="AH727" s="29"/>
      <c r="AI727" s="29"/>
      <c r="AJ727" s="29"/>
      <c r="AK727" s="29"/>
      <c r="AL727" s="29"/>
      <c r="AM727" s="29"/>
      <c r="AN727" s="29"/>
      <c r="AO727" s="29"/>
    </row>
    <row r="728" ht="15.75" customHeight="1">
      <c r="AE728" s="29"/>
      <c r="AF728" s="29"/>
      <c r="AG728" s="29"/>
      <c r="AH728" s="29"/>
      <c r="AI728" s="29"/>
      <c r="AJ728" s="29"/>
      <c r="AK728" s="29"/>
      <c r="AL728" s="29"/>
      <c r="AM728" s="29"/>
      <c r="AN728" s="29"/>
      <c r="AO728" s="29"/>
    </row>
    <row r="729" ht="15.75" customHeight="1">
      <c r="AE729" s="29"/>
      <c r="AF729" s="29"/>
      <c r="AG729" s="29"/>
      <c r="AH729" s="29"/>
      <c r="AI729" s="29"/>
      <c r="AJ729" s="29"/>
      <c r="AK729" s="29"/>
      <c r="AL729" s="29"/>
      <c r="AM729" s="29"/>
      <c r="AN729" s="29"/>
      <c r="AO729" s="29"/>
    </row>
    <row r="730" ht="15.75" customHeight="1">
      <c r="AE730" s="29"/>
      <c r="AF730" s="29"/>
      <c r="AG730" s="29"/>
      <c r="AH730" s="29"/>
      <c r="AI730" s="29"/>
      <c r="AJ730" s="29"/>
      <c r="AK730" s="29"/>
      <c r="AL730" s="29"/>
      <c r="AM730" s="29"/>
      <c r="AN730" s="29"/>
      <c r="AO730" s="29"/>
    </row>
    <row r="731" ht="15.75" customHeight="1">
      <c r="AE731" s="29"/>
      <c r="AF731" s="29"/>
      <c r="AG731" s="29"/>
      <c r="AH731" s="29"/>
      <c r="AI731" s="29"/>
      <c r="AJ731" s="29"/>
      <c r="AK731" s="29"/>
      <c r="AL731" s="29"/>
      <c r="AM731" s="29"/>
      <c r="AN731" s="29"/>
      <c r="AO731" s="29"/>
    </row>
    <row r="732" ht="15.75" customHeight="1">
      <c r="AE732" s="29"/>
      <c r="AF732" s="29"/>
      <c r="AG732" s="29"/>
      <c r="AH732" s="29"/>
      <c r="AI732" s="29"/>
      <c r="AJ732" s="29"/>
      <c r="AK732" s="29"/>
      <c r="AL732" s="29"/>
      <c r="AM732" s="29"/>
      <c r="AN732" s="29"/>
      <c r="AO732" s="29"/>
    </row>
    <row r="733" ht="15.75" customHeight="1">
      <c r="AE733" s="29"/>
      <c r="AF733" s="29"/>
      <c r="AG733" s="29"/>
      <c r="AH733" s="29"/>
      <c r="AI733" s="29"/>
      <c r="AJ733" s="29"/>
      <c r="AK733" s="29"/>
      <c r="AL733" s="29"/>
      <c r="AM733" s="29"/>
      <c r="AN733" s="29"/>
      <c r="AO733" s="29"/>
    </row>
    <row r="734" ht="15.75" customHeight="1">
      <c r="AE734" s="29"/>
      <c r="AF734" s="29"/>
      <c r="AG734" s="29"/>
      <c r="AH734" s="29"/>
      <c r="AI734" s="29"/>
      <c r="AJ734" s="29"/>
      <c r="AK734" s="29"/>
      <c r="AL734" s="29"/>
      <c r="AM734" s="29"/>
      <c r="AN734" s="29"/>
      <c r="AO734" s="29"/>
    </row>
    <row r="735" ht="15.75" customHeight="1">
      <c r="AE735" s="29"/>
      <c r="AF735" s="29"/>
      <c r="AG735" s="29"/>
      <c r="AH735" s="29"/>
      <c r="AI735" s="29"/>
      <c r="AJ735" s="29"/>
      <c r="AK735" s="29"/>
      <c r="AL735" s="29"/>
      <c r="AM735" s="29"/>
      <c r="AN735" s="29"/>
      <c r="AO735" s="29"/>
    </row>
    <row r="736" ht="15.75" customHeight="1">
      <c r="AE736" s="29"/>
      <c r="AF736" s="29"/>
      <c r="AG736" s="29"/>
      <c r="AH736" s="29"/>
      <c r="AI736" s="29"/>
      <c r="AJ736" s="29"/>
      <c r="AK736" s="29"/>
      <c r="AL736" s="29"/>
      <c r="AM736" s="29"/>
      <c r="AN736" s="29"/>
      <c r="AO736" s="29"/>
    </row>
    <row r="737" ht="15.75" customHeight="1">
      <c r="AE737" s="29"/>
      <c r="AF737" s="29"/>
      <c r="AG737" s="29"/>
      <c r="AH737" s="29"/>
      <c r="AI737" s="29"/>
      <c r="AJ737" s="29"/>
      <c r="AK737" s="29"/>
      <c r="AL737" s="29"/>
      <c r="AM737" s="29"/>
      <c r="AN737" s="29"/>
      <c r="AO737" s="29"/>
    </row>
    <row r="738" ht="15.75" customHeight="1">
      <c r="AE738" s="29"/>
      <c r="AF738" s="29"/>
      <c r="AG738" s="29"/>
      <c r="AH738" s="29"/>
      <c r="AI738" s="29"/>
      <c r="AJ738" s="29"/>
      <c r="AK738" s="29"/>
      <c r="AL738" s="29"/>
      <c r="AM738" s="29"/>
      <c r="AN738" s="29"/>
      <c r="AO738" s="29"/>
    </row>
    <row r="739" ht="15.75" customHeight="1">
      <c r="AE739" s="29"/>
      <c r="AF739" s="29"/>
      <c r="AG739" s="29"/>
      <c r="AH739" s="29"/>
      <c r="AI739" s="29"/>
      <c r="AJ739" s="29"/>
      <c r="AK739" s="29"/>
      <c r="AL739" s="29"/>
      <c r="AM739" s="29"/>
      <c r="AN739" s="29"/>
      <c r="AO739" s="29"/>
    </row>
    <row r="740" ht="15.75" customHeight="1">
      <c r="AE740" s="29"/>
      <c r="AF740" s="29"/>
      <c r="AG740" s="29"/>
      <c r="AH740" s="29"/>
      <c r="AI740" s="29"/>
      <c r="AJ740" s="29"/>
      <c r="AK740" s="29"/>
      <c r="AL740" s="29"/>
      <c r="AM740" s="29"/>
      <c r="AN740" s="29"/>
      <c r="AO740" s="29"/>
    </row>
    <row r="741" ht="15.75" customHeight="1">
      <c r="AE741" s="29"/>
      <c r="AF741" s="29"/>
      <c r="AG741" s="29"/>
      <c r="AH741" s="29"/>
      <c r="AI741" s="29"/>
      <c r="AJ741" s="29"/>
      <c r="AK741" s="29"/>
      <c r="AL741" s="29"/>
      <c r="AM741" s="29"/>
      <c r="AN741" s="29"/>
      <c r="AO741" s="29"/>
    </row>
    <row r="742" ht="15.75" customHeight="1">
      <c r="AE742" s="29"/>
      <c r="AF742" s="29"/>
      <c r="AG742" s="29"/>
      <c r="AH742" s="29"/>
      <c r="AI742" s="29"/>
      <c r="AJ742" s="29"/>
      <c r="AK742" s="29"/>
      <c r="AL742" s="29"/>
      <c r="AM742" s="29"/>
      <c r="AN742" s="29"/>
      <c r="AO742" s="29"/>
    </row>
    <row r="743" ht="15.75" customHeight="1">
      <c r="AE743" s="29"/>
      <c r="AF743" s="29"/>
      <c r="AG743" s="29"/>
      <c r="AH743" s="29"/>
      <c r="AI743" s="29"/>
      <c r="AJ743" s="29"/>
      <c r="AK743" s="29"/>
      <c r="AL743" s="29"/>
      <c r="AM743" s="29"/>
      <c r="AN743" s="29"/>
      <c r="AO743" s="29"/>
    </row>
    <row r="744" ht="15.75" customHeight="1">
      <c r="AE744" s="29"/>
      <c r="AF744" s="29"/>
      <c r="AG744" s="29"/>
      <c r="AH744" s="29"/>
      <c r="AI744" s="29"/>
      <c r="AJ744" s="29"/>
      <c r="AK744" s="29"/>
      <c r="AL744" s="29"/>
      <c r="AM744" s="29"/>
      <c r="AN744" s="29"/>
      <c r="AO744" s="29"/>
    </row>
    <row r="745" ht="15.75" customHeight="1">
      <c r="AE745" s="29"/>
      <c r="AF745" s="29"/>
      <c r="AG745" s="29"/>
      <c r="AH745" s="29"/>
      <c r="AI745" s="29"/>
      <c r="AJ745" s="29"/>
      <c r="AK745" s="29"/>
      <c r="AL745" s="29"/>
      <c r="AM745" s="29"/>
      <c r="AN745" s="29"/>
      <c r="AO745" s="29"/>
    </row>
    <row r="746" ht="15.75" customHeight="1">
      <c r="AE746" s="29"/>
      <c r="AF746" s="29"/>
      <c r="AG746" s="29"/>
      <c r="AH746" s="29"/>
      <c r="AI746" s="29"/>
      <c r="AJ746" s="29"/>
      <c r="AK746" s="29"/>
      <c r="AL746" s="29"/>
      <c r="AM746" s="29"/>
      <c r="AN746" s="29"/>
      <c r="AO746" s="29"/>
    </row>
    <row r="747" ht="15.75" customHeight="1">
      <c r="AE747" s="29"/>
      <c r="AF747" s="29"/>
      <c r="AG747" s="29"/>
      <c r="AH747" s="29"/>
      <c r="AI747" s="29"/>
      <c r="AJ747" s="29"/>
      <c r="AK747" s="29"/>
      <c r="AL747" s="29"/>
      <c r="AM747" s="29"/>
      <c r="AN747" s="29"/>
      <c r="AO747" s="29"/>
    </row>
    <row r="748" ht="15.75" customHeight="1">
      <c r="AE748" s="29"/>
      <c r="AF748" s="29"/>
      <c r="AG748" s="29"/>
      <c r="AH748" s="29"/>
      <c r="AI748" s="29"/>
      <c r="AJ748" s="29"/>
      <c r="AK748" s="29"/>
      <c r="AL748" s="29"/>
      <c r="AM748" s="29"/>
      <c r="AN748" s="29"/>
      <c r="AO748" s="29"/>
    </row>
    <row r="749" ht="15.75" customHeight="1">
      <c r="AE749" s="29"/>
      <c r="AF749" s="29"/>
      <c r="AG749" s="29"/>
      <c r="AH749" s="29"/>
      <c r="AI749" s="29"/>
      <c r="AJ749" s="29"/>
      <c r="AK749" s="29"/>
      <c r="AL749" s="29"/>
      <c r="AM749" s="29"/>
      <c r="AN749" s="29"/>
      <c r="AO749" s="29"/>
    </row>
    <row r="750" ht="15.75" customHeight="1">
      <c r="AE750" s="29"/>
      <c r="AF750" s="29"/>
      <c r="AG750" s="29"/>
      <c r="AH750" s="29"/>
      <c r="AI750" s="29"/>
      <c r="AJ750" s="29"/>
      <c r="AK750" s="29"/>
      <c r="AL750" s="29"/>
      <c r="AM750" s="29"/>
      <c r="AN750" s="29"/>
      <c r="AO750" s="29"/>
    </row>
    <row r="751" ht="15.75" customHeight="1">
      <c r="AE751" s="29"/>
      <c r="AF751" s="29"/>
      <c r="AG751" s="29"/>
      <c r="AH751" s="29"/>
      <c r="AI751" s="29"/>
      <c r="AJ751" s="29"/>
      <c r="AK751" s="29"/>
      <c r="AL751" s="29"/>
      <c r="AM751" s="29"/>
      <c r="AN751" s="29"/>
      <c r="AO751" s="29"/>
    </row>
    <row r="752" ht="15.75" customHeight="1">
      <c r="AE752" s="29"/>
      <c r="AF752" s="29"/>
      <c r="AG752" s="29"/>
      <c r="AH752" s="29"/>
      <c r="AI752" s="29"/>
      <c r="AJ752" s="29"/>
      <c r="AK752" s="29"/>
      <c r="AL752" s="29"/>
      <c r="AM752" s="29"/>
      <c r="AN752" s="29"/>
      <c r="AO752" s="29"/>
    </row>
    <row r="753" ht="15.75" customHeight="1">
      <c r="AE753" s="29"/>
      <c r="AF753" s="29"/>
      <c r="AG753" s="29"/>
      <c r="AH753" s="29"/>
      <c r="AI753" s="29"/>
      <c r="AJ753" s="29"/>
      <c r="AK753" s="29"/>
      <c r="AL753" s="29"/>
      <c r="AM753" s="29"/>
      <c r="AN753" s="29"/>
      <c r="AO753" s="29"/>
    </row>
    <row r="754" ht="15.75" customHeight="1">
      <c r="AE754" s="29"/>
      <c r="AF754" s="29"/>
      <c r="AG754" s="29"/>
      <c r="AH754" s="29"/>
      <c r="AI754" s="29"/>
      <c r="AJ754" s="29"/>
      <c r="AK754" s="29"/>
      <c r="AL754" s="29"/>
      <c r="AM754" s="29"/>
      <c r="AN754" s="29"/>
      <c r="AO754" s="29"/>
    </row>
    <row r="755" ht="15.75" customHeight="1">
      <c r="AE755" s="29"/>
      <c r="AF755" s="29"/>
      <c r="AG755" s="29"/>
      <c r="AH755" s="29"/>
      <c r="AI755" s="29"/>
      <c r="AJ755" s="29"/>
      <c r="AK755" s="29"/>
      <c r="AL755" s="29"/>
      <c r="AM755" s="29"/>
      <c r="AN755" s="29"/>
      <c r="AO755" s="29"/>
    </row>
    <row r="756" ht="15.75" customHeight="1">
      <c r="AE756" s="29"/>
      <c r="AF756" s="29"/>
      <c r="AG756" s="29"/>
      <c r="AH756" s="29"/>
      <c r="AI756" s="29"/>
      <c r="AJ756" s="29"/>
      <c r="AK756" s="29"/>
      <c r="AL756" s="29"/>
      <c r="AM756" s="29"/>
      <c r="AN756" s="29"/>
      <c r="AO756" s="29"/>
    </row>
    <row r="757" ht="15.75" customHeight="1">
      <c r="AE757" s="29"/>
      <c r="AF757" s="29"/>
      <c r="AG757" s="29"/>
      <c r="AH757" s="29"/>
      <c r="AI757" s="29"/>
      <c r="AJ757" s="29"/>
      <c r="AK757" s="29"/>
      <c r="AL757" s="29"/>
      <c r="AM757" s="29"/>
      <c r="AN757" s="29"/>
      <c r="AO757" s="29"/>
    </row>
    <row r="758" ht="15.75" customHeight="1">
      <c r="AE758" s="29"/>
      <c r="AF758" s="29"/>
      <c r="AG758" s="29"/>
      <c r="AH758" s="29"/>
      <c r="AI758" s="29"/>
      <c r="AJ758" s="29"/>
      <c r="AK758" s="29"/>
      <c r="AL758" s="29"/>
      <c r="AM758" s="29"/>
      <c r="AN758" s="29"/>
      <c r="AO758" s="29"/>
    </row>
    <row r="759" ht="15.75" customHeight="1">
      <c r="AE759" s="29"/>
      <c r="AF759" s="29"/>
      <c r="AG759" s="29"/>
      <c r="AH759" s="29"/>
      <c r="AI759" s="29"/>
      <c r="AJ759" s="29"/>
      <c r="AK759" s="29"/>
      <c r="AL759" s="29"/>
      <c r="AM759" s="29"/>
      <c r="AN759" s="29"/>
      <c r="AO759" s="29"/>
    </row>
    <row r="760" ht="15.75" customHeight="1">
      <c r="AE760" s="29"/>
      <c r="AF760" s="29"/>
      <c r="AG760" s="29"/>
      <c r="AH760" s="29"/>
      <c r="AI760" s="29"/>
      <c r="AJ760" s="29"/>
      <c r="AK760" s="29"/>
      <c r="AL760" s="29"/>
      <c r="AM760" s="29"/>
      <c r="AN760" s="29"/>
      <c r="AO760" s="29"/>
    </row>
    <row r="761" ht="15.75" customHeight="1">
      <c r="AE761" s="29"/>
      <c r="AF761" s="29"/>
      <c r="AG761" s="29"/>
      <c r="AH761" s="29"/>
      <c r="AI761" s="29"/>
      <c r="AJ761" s="29"/>
      <c r="AK761" s="29"/>
      <c r="AL761" s="29"/>
      <c r="AM761" s="29"/>
      <c r="AN761" s="29"/>
      <c r="AO761" s="29"/>
    </row>
    <row r="762" ht="15.75" customHeight="1">
      <c r="AE762" s="29"/>
      <c r="AF762" s="29"/>
      <c r="AG762" s="29"/>
      <c r="AH762" s="29"/>
      <c r="AI762" s="29"/>
      <c r="AJ762" s="29"/>
      <c r="AK762" s="29"/>
      <c r="AL762" s="29"/>
      <c r="AM762" s="29"/>
      <c r="AN762" s="29"/>
      <c r="AO762" s="29"/>
    </row>
    <row r="763" ht="15.75" customHeight="1">
      <c r="AE763" s="29"/>
      <c r="AF763" s="29"/>
      <c r="AG763" s="29"/>
      <c r="AH763" s="29"/>
      <c r="AI763" s="29"/>
      <c r="AJ763" s="29"/>
      <c r="AK763" s="29"/>
      <c r="AL763" s="29"/>
      <c r="AM763" s="29"/>
      <c r="AN763" s="29"/>
      <c r="AO763" s="29"/>
    </row>
    <row r="764" ht="15.75" customHeight="1">
      <c r="AE764" s="29"/>
      <c r="AF764" s="29"/>
      <c r="AG764" s="29"/>
      <c r="AH764" s="29"/>
      <c r="AI764" s="29"/>
      <c r="AJ764" s="29"/>
      <c r="AK764" s="29"/>
      <c r="AL764" s="29"/>
      <c r="AM764" s="29"/>
      <c r="AN764" s="29"/>
      <c r="AO764" s="29"/>
    </row>
    <row r="765" ht="15.75" customHeight="1">
      <c r="AE765" s="29"/>
      <c r="AF765" s="29"/>
      <c r="AG765" s="29"/>
      <c r="AH765" s="29"/>
      <c r="AI765" s="29"/>
      <c r="AJ765" s="29"/>
      <c r="AK765" s="29"/>
      <c r="AL765" s="29"/>
      <c r="AM765" s="29"/>
      <c r="AN765" s="29"/>
      <c r="AO765" s="29"/>
    </row>
    <row r="766" ht="15.75" customHeight="1">
      <c r="AE766" s="29"/>
      <c r="AF766" s="29"/>
      <c r="AG766" s="29"/>
      <c r="AH766" s="29"/>
      <c r="AI766" s="29"/>
      <c r="AJ766" s="29"/>
      <c r="AK766" s="29"/>
      <c r="AL766" s="29"/>
      <c r="AM766" s="29"/>
      <c r="AN766" s="29"/>
      <c r="AO766" s="29"/>
    </row>
    <row r="767" ht="15.75" customHeight="1">
      <c r="AE767" s="29"/>
      <c r="AF767" s="29"/>
      <c r="AG767" s="29"/>
      <c r="AH767" s="29"/>
      <c r="AI767" s="29"/>
      <c r="AJ767" s="29"/>
      <c r="AK767" s="29"/>
      <c r="AL767" s="29"/>
      <c r="AM767" s="29"/>
      <c r="AN767" s="29"/>
      <c r="AO767" s="29"/>
    </row>
    <row r="768" ht="15.75" customHeight="1">
      <c r="AE768" s="29"/>
      <c r="AF768" s="29"/>
      <c r="AG768" s="29"/>
      <c r="AH768" s="29"/>
      <c r="AI768" s="29"/>
      <c r="AJ768" s="29"/>
      <c r="AK768" s="29"/>
      <c r="AL768" s="29"/>
      <c r="AM768" s="29"/>
      <c r="AN768" s="29"/>
      <c r="AO768" s="29"/>
    </row>
    <row r="769" ht="15.75" customHeight="1">
      <c r="AE769" s="29"/>
      <c r="AF769" s="29"/>
      <c r="AG769" s="29"/>
      <c r="AH769" s="29"/>
      <c r="AI769" s="29"/>
      <c r="AJ769" s="29"/>
      <c r="AK769" s="29"/>
      <c r="AL769" s="29"/>
      <c r="AM769" s="29"/>
      <c r="AN769" s="29"/>
      <c r="AO769" s="29"/>
    </row>
    <row r="770" ht="15.75" customHeight="1">
      <c r="AE770" s="29"/>
      <c r="AF770" s="29"/>
      <c r="AG770" s="29"/>
      <c r="AH770" s="29"/>
      <c r="AI770" s="29"/>
      <c r="AJ770" s="29"/>
      <c r="AK770" s="29"/>
      <c r="AL770" s="29"/>
      <c r="AM770" s="29"/>
      <c r="AN770" s="29"/>
      <c r="AO770" s="29"/>
    </row>
    <row r="771" ht="15.75" customHeight="1">
      <c r="AE771" s="29"/>
      <c r="AF771" s="29"/>
      <c r="AG771" s="29"/>
      <c r="AH771" s="29"/>
      <c r="AI771" s="29"/>
      <c r="AJ771" s="29"/>
      <c r="AK771" s="29"/>
      <c r="AL771" s="29"/>
      <c r="AM771" s="29"/>
      <c r="AN771" s="29"/>
      <c r="AO771" s="29"/>
    </row>
    <row r="772" ht="15.75" customHeight="1">
      <c r="AE772" s="29"/>
      <c r="AF772" s="29"/>
      <c r="AG772" s="29"/>
      <c r="AH772" s="29"/>
      <c r="AI772" s="29"/>
      <c r="AJ772" s="29"/>
      <c r="AK772" s="29"/>
      <c r="AL772" s="29"/>
      <c r="AM772" s="29"/>
      <c r="AN772" s="29"/>
      <c r="AO772" s="29"/>
    </row>
    <row r="773" ht="15.75" customHeight="1">
      <c r="AE773" s="29"/>
      <c r="AF773" s="29"/>
      <c r="AG773" s="29"/>
      <c r="AH773" s="29"/>
      <c r="AI773" s="29"/>
      <c r="AJ773" s="29"/>
      <c r="AK773" s="29"/>
      <c r="AL773" s="29"/>
      <c r="AM773" s="29"/>
      <c r="AN773" s="29"/>
      <c r="AO773" s="29"/>
    </row>
    <row r="774" ht="15.75" customHeight="1">
      <c r="AE774" s="29"/>
      <c r="AF774" s="29"/>
      <c r="AG774" s="29"/>
      <c r="AH774" s="29"/>
      <c r="AI774" s="29"/>
      <c r="AJ774" s="29"/>
      <c r="AK774" s="29"/>
      <c r="AL774" s="29"/>
      <c r="AM774" s="29"/>
      <c r="AN774" s="29"/>
      <c r="AO774" s="29"/>
    </row>
    <row r="775" ht="15.75" customHeight="1">
      <c r="AE775" s="29"/>
      <c r="AF775" s="29"/>
      <c r="AG775" s="29"/>
      <c r="AH775" s="29"/>
      <c r="AI775" s="29"/>
      <c r="AJ775" s="29"/>
      <c r="AK775" s="29"/>
      <c r="AL775" s="29"/>
      <c r="AM775" s="29"/>
      <c r="AN775" s="29"/>
      <c r="AO775" s="29"/>
    </row>
    <row r="776" ht="15.75" customHeight="1">
      <c r="AE776" s="29"/>
      <c r="AF776" s="29"/>
      <c r="AG776" s="29"/>
      <c r="AH776" s="29"/>
      <c r="AI776" s="29"/>
      <c r="AJ776" s="29"/>
      <c r="AK776" s="29"/>
      <c r="AL776" s="29"/>
      <c r="AM776" s="29"/>
      <c r="AN776" s="29"/>
      <c r="AO776" s="29"/>
    </row>
    <row r="777" ht="15.75" customHeight="1">
      <c r="AE777" s="29"/>
      <c r="AF777" s="29"/>
      <c r="AG777" s="29"/>
      <c r="AH777" s="29"/>
      <c r="AI777" s="29"/>
      <c r="AJ777" s="29"/>
      <c r="AK777" s="29"/>
      <c r="AL777" s="29"/>
      <c r="AM777" s="29"/>
      <c r="AN777" s="29"/>
      <c r="AO777" s="29"/>
    </row>
    <row r="778" ht="15.75" customHeight="1">
      <c r="AE778" s="29"/>
      <c r="AF778" s="29"/>
      <c r="AG778" s="29"/>
      <c r="AH778" s="29"/>
      <c r="AI778" s="29"/>
      <c r="AJ778" s="29"/>
      <c r="AK778" s="29"/>
      <c r="AL778" s="29"/>
      <c r="AM778" s="29"/>
      <c r="AN778" s="29"/>
      <c r="AO778" s="29"/>
    </row>
    <row r="779" ht="15.75" customHeight="1">
      <c r="AE779" s="29"/>
      <c r="AF779" s="29"/>
      <c r="AG779" s="29"/>
      <c r="AH779" s="29"/>
      <c r="AI779" s="29"/>
      <c r="AJ779" s="29"/>
      <c r="AK779" s="29"/>
      <c r="AL779" s="29"/>
      <c r="AM779" s="29"/>
      <c r="AN779" s="29"/>
      <c r="AO779" s="29"/>
    </row>
    <row r="780" ht="15.75" customHeight="1">
      <c r="AE780" s="29"/>
      <c r="AF780" s="29"/>
      <c r="AG780" s="29"/>
      <c r="AH780" s="29"/>
      <c r="AI780" s="29"/>
      <c r="AJ780" s="29"/>
      <c r="AK780" s="29"/>
      <c r="AL780" s="29"/>
      <c r="AM780" s="29"/>
      <c r="AN780" s="29"/>
      <c r="AO780" s="29"/>
    </row>
    <row r="781" ht="15.75" customHeight="1">
      <c r="AE781" s="29"/>
      <c r="AF781" s="29"/>
      <c r="AG781" s="29"/>
      <c r="AH781" s="29"/>
      <c r="AI781" s="29"/>
      <c r="AJ781" s="29"/>
      <c r="AK781" s="29"/>
      <c r="AL781" s="29"/>
      <c r="AM781" s="29"/>
      <c r="AN781" s="29"/>
      <c r="AO781" s="29"/>
    </row>
    <row r="782" ht="15.75" customHeight="1">
      <c r="AE782" s="29"/>
      <c r="AF782" s="29"/>
      <c r="AG782" s="29"/>
      <c r="AH782" s="29"/>
      <c r="AI782" s="29"/>
      <c r="AJ782" s="29"/>
      <c r="AK782" s="29"/>
      <c r="AL782" s="29"/>
      <c r="AM782" s="29"/>
      <c r="AN782" s="29"/>
      <c r="AO782" s="29"/>
    </row>
    <row r="783" ht="15.75" customHeight="1">
      <c r="AE783" s="29"/>
      <c r="AF783" s="29"/>
      <c r="AG783" s="29"/>
      <c r="AH783" s="29"/>
      <c r="AI783" s="29"/>
      <c r="AJ783" s="29"/>
      <c r="AK783" s="29"/>
      <c r="AL783" s="29"/>
      <c r="AM783" s="29"/>
      <c r="AN783" s="29"/>
      <c r="AO783" s="29"/>
    </row>
    <row r="784" ht="15.75" customHeight="1">
      <c r="AE784" s="29"/>
      <c r="AF784" s="29"/>
      <c r="AG784" s="29"/>
      <c r="AH784" s="29"/>
      <c r="AI784" s="29"/>
      <c r="AJ784" s="29"/>
      <c r="AK784" s="29"/>
      <c r="AL784" s="29"/>
      <c r="AM784" s="29"/>
      <c r="AN784" s="29"/>
      <c r="AO784" s="29"/>
    </row>
    <row r="785" ht="15.75" customHeight="1">
      <c r="AE785" s="29"/>
      <c r="AF785" s="29"/>
      <c r="AG785" s="29"/>
      <c r="AH785" s="29"/>
      <c r="AI785" s="29"/>
      <c r="AJ785" s="29"/>
      <c r="AK785" s="29"/>
      <c r="AL785" s="29"/>
      <c r="AM785" s="29"/>
      <c r="AN785" s="29"/>
      <c r="AO785" s="29"/>
    </row>
    <row r="786" ht="15.75" customHeight="1">
      <c r="AE786" s="29"/>
      <c r="AF786" s="29"/>
      <c r="AG786" s="29"/>
      <c r="AH786" s="29"/>
      <c r="AI786" s="29"/>
      <c r="AJ786" s="29"/>
      <c r="AK786" s="29"/>
      <c r="AL786" s="29"/>
      <c r="AM786" s="29"/>
      <c r="AN786" s="29"/>
      <c r="AO786" s="29"/>
    </row>
    <row r="787" ht="15.75" customHeight="1">
      <c r="AE787" s="29"/>
      <c r="AF787" s="29"/>
      <c r="AG787" s="29"/>
      <c r="AH787" s="29"/>
      <c r="AI787" s="29"/>
      <c r="AJ787" s="29"/>
      <c r="AK787" s="29"/>
      <c r="AL787" s="29"/>
      <c r="AM787" s="29"/>
      <c r="AN787" s="29"/>
      <c r="AO787" s="29"/>
    </row>
    <row r="788" ht="15.75" customHeight="1">
      <c r="AE788" s="29"/>
      <c r="AF788" s="29"/>
      <c r="AG788" s="29"/>
      <c r="AH788" s="29"/>
      <c r="AI788" s="29"/>
      <c r="AJ788" s="29"/>
      <c r="AK788" s="29"/>
      <c r="AL788" s="29"/>
      <c r="AM788" s="29"/>
      <c r="AN788" s="29"/>
      <c r="AO788" s="29"/>
    </row>
    <row r="789" ht="15.75" customHeight="1">
      <c r="AE789" s="29"/>
      <c r="AF789" s="29"/>
      <c r="AG789" s="29"/>
      <c r="AH789" s="29"/>
      <c r="AI789" s="29"/>
      <c r="AJ789" s="29"/>
      <c r="AK789" s="29"/>
      <c r="AL789" s="29"/>
      <c r="AM789" s="29"/>
      <c r="AN789" s="29"/>
      <c r="AO789" s="29"/>
    </row>
    <row r="790" ht="15.75" customHeight="1">
      <c r="AE790" s="29"/>
      <c r="AF790" s="29"/>
      <c r="AG790" s="29"/>
      <c r="AH790" s="29"/>
      <c r="AI790" s="29"/>
      <c r="AJ790" s="29"/>
      <c r="AK790" s="29"/>
      <c r="AL790" s="29"/>
      <c r="AM790" s="29"/>
      <c r="AN790" s="29"/>
      <c r="AO790" s="29"/>
    </row>
    <row r="791" ht="15.75" customHeight="1">
      <c r="AE791" s="29"/>
      <c r="AF791" s="29"/>
      <c r="AG791" s="29"/>
      <c r="AH791" s="29"/>
      <c r="AI791" s="29"/>
      <c r="AJ791" s="29"/>
      <c r="AK791" s="29"/>
      <c r="AL791" s="29"/>
      <c r="AM791" s="29"/>
      <c r="AN791" s="29"/>
      <c r="AO791" s="29"/>
    </row>
    <row r="792" ht="15.75" customHeight="1">
      <c r="AE792" s="29"/>
      <c r="AF792" s="29"/>
      <c r="AG792" s="29"/>
      <c r="AH792" s="29"/>
      <c r="AI792" s="29"/>
      <c r="AJ792" s="29"/>
      <c r="AK792" s="29"/>
      <c r="AL792" s="29"/>
      <c r="AM792" s="29"/>
      <c r="AN792" s="29"/>
      <c r="AO792" s="29"/>
    </row>
    <row r="793" ht="15.75" customHeight="1">
      <c r="AE793" s="29"/>
      <c r="AF793" s="29"/>
      <c r="AG793" s="29"/>
      <c r="AH793" s="29"/>
      <c r="AI793" s="29"/>
      <c r="AJ793" s="29"/>
      <c r="AK793" s="29"/>
      <c r="AL793" s="29"/>
      <c r="AM793" s="29"/>
      <c r="AN793" s="29"/>
      <c r="AO793" s="29"/>
    </row>
    <row r="794" ht="15.75" customHeight="1">
      <c r="AE794" s="29"/>
      <c r="AF794" s="29"/>
      <c r="AG794" s="29"/>
      <c r="AH794" s="29"/>
      <c r="AI794" s="29"/>
      <c r="AJ794" s="29"/>
      <c r="AK794" s="29"/>
      <c r="AL794" s="29"/>
      <c r="AM794" s="29"/>
      <c r="AN794" s="29"/>
      <c r="AO794" s="29"/>
    </row>
    <row r="795" ht="15.75" customHeight="1">
      <c r="AE795" s="29"/>
      <c r="AF795" s="29"/>
      <c r="AG795" s="29"/>
      <c r="AH795" s="29"/>
      <c r="AI795" s="29"/>
      <c r="AJ795" s="29"/>
      <c r="AK795" s="29"/>
      <c r="AL795" s="29"/>
      <c r="AM795" s="29"/>
      <c r="AN795" s="29"/>
      <c r="AO795" s="29"/>
    </row>
    <row r="796" ht="15.75" customHeight="1">
      <c r="AE796" s="29"/>
      <c r="AF796" s="29"/>
      <c r="AG796" s="29"/>
      <c r="AH796" s="29"/>
      <c r="AI796" s="29"/>
      <c r="AJ796" s="29"/>
      <c r="AK796" s="29"/>
      <c r="AL796" s="29"/>
      <c r="AM796" s="29"/>
      <c r="AN796" s="29"/>
      <c r="AO796" s="29"/>
    </row>
    <row r="797" ht="15.75" customHeight="1">
      <c r="AE797" s="29"/>
      <c r="AF797" s="29"/>
      <c r="AG797" s="29"/>
      <c r="AH797" s="29"/>
      <c r="AI797" s="29"/>
      <c r="AJ797" s="29"/>
      <c r="AK797" s="29"/>
      <c r="AL797" s="29"/>
      <c r="AM797" s="29"/>
      <c r="AN797" s="29"/>
      <c r="AO797" s="29"/>
    </row>
    <row r="798" ht="15.75" customHeight="1">
      <c r="AE798" s="29"/>
      <c r="AF798" s="29"/>
      <c r="AG798" s="29"/>
      <c r="AH798" s="29"/>
      <c r="AI798" s="29"/>
      <c r="AJ798" s="29"/>
      <c r="AK798" s="29"/>
      <c r="AL798" s="29"/>
      <c r="AM798" s="29"/>
      <c r="AN798" s="29"/>
      <c r="AO798" s="29"/>
    </row>
    <row r="799" ht="15.75" customHeight="1">
      <c r="AE799" s="29"/>
      <c r="AF799" s="29"/>
      <c r="AG799" s="29"/>
      <c r="AH799" s="29"/>
      <c r="AI799" s="29"/>
      <c r="AJ799" s="29"/>
      <c r="AK799" s="29"/>
      <c r="AL799" s="29"/>
      <c r="AM799" s="29"/>
      <c r="AN799" s="29"/>
      <c r="AO799" s="29"/>
    </row>
    <row r="800" ht="15.75" customHeight="1">
      <c r="AE800" s="29"/>
      <c r="AF800" s="29"/>
      <c r="AG800" s="29"/>
      <c r="AH800" s="29"/>
      <c r="AI800" s="29"/>
      <c r="AJ800" s="29"/>
      <c r="AK800" s="29"/>
      <c r="AL800" s="29"/>
      <c r="AM800" s="29"/>
      <c r="AN800" s="29"/>
      <c r="AO800" s="29"/>
    </row>
    <row r="801" ht="15.75" customHeight="1">
      <c r="AE801" s="29"/>
      <c r="AF801" s="29"/>
      <c r="AG801" s="29"/>
      <c r="AH801" s="29"/>
      <c r="AI801" s="29"/>
      <c r="AJ801" s="29"/>
      <c r="AK801" s="29"/>
      <c r="AL801" s="29"/>
      <c r="AM801" s="29"/>
      <c r="AN801" s="29"/>
      <c r="AO801" s="29"/>
    </row>
    <row r="802" ht="15.75" customHeight="1">
      <c r="AE802" s="29"/>
      <c r="AF802" s="29"/>
      <c r="AG802" s="29"/>
      <c r="AH802" s="29"/>
      <c r="AI802" s="29"/>
      <c r="AJ802" s="29"/>
      <c r="AK802" s="29"/>
      <c r="AL802" s="29"/>
      <c r="AM802" s="29"/>
      <c r="AN802" s="29"/>
      <c r="AO802" s="29"/>
    </row>
    <row r="803" ht="15.75" customHeight="1">
      <c r="AE803" s="29"/>
      <c r="AF803" s="29"/>
      <c r="AG803" s="29"/>
      <c r="AH803" s="29"/>
      <c r="AI803" s="29"/>
      <c r="AJ803" s="29"/>
      <c r="AK803" s="29"/>
      <c r="AL803" s="29"/>
      <c r="AM803" s="29"/>
      <c r="AN803" s="29"/>
      <c r="AO803" s="29"/>
    </row>
    <row r="804" ht="15.75" customHeight="1">
      <c r="AE804" s="29"/>
      <c r="AF804" s="29"/>
      <c r="AG804" s="29"/>
      <c r="AH804" s="29"/>
      <c r="AI804" s="29"/>
      <c r="AJ804" s="29"/>
      <c r="AK804" s="29"/>
      <c r="AL804" s="29"/>
      <c r="AM804" s="29"/>
      <c r="AN804" s="29"/>
      <c r="AO804" s="29"/>
    </row>
    <row r="805" ht="15.75" customHeight="1">
      <c r="AE805" s="29"/>
      <c r="AF805" s="29"/>
      <c r="AG805" s="29"/>
      <c r="AH805" s="29"/>
      <c r="AI805" s="29"/>
      <c r="AJ805" s="29"/>
      <c r="AK805" s="29"/>
      <c r="AL805" s="29"/>
      <c r="AM805" s="29"/>
      <c r="AN805" s="29"/>
      <c r="AO805" s="29"/>
    </row>
    <row r="806" ht="15.75" customHeight="1">
      <c r="AE806" s="29"/>
      <c r="AF806" s="29"/>
      <c r="AG806" s="29"/>
      <c r="AH806" s="29"/>
      <c r="AI806" s="29"/>
      <c r="AJ806" s="29"/>
      <c r="AK806" s="29"/>
      <c r="AL806" s="29"/>
      <c r="AM806" s="29"/>
      <c r="AN806" s="29"/>
      <c r="AO806" s="29"/>
    </row>
    <row r="807" ht="15.75" customHeight="1">
      <c r="AE807" s="29"/>
      <c r="AF807" s="29"/>
      <c r="AG807" s="29"/>
      <c r="AH807" s="29"/>
      <c r="AI807" s="29"/>
      <c r="AJ807" s="29"/>
      <c r="AK807" s="29"/>
      <c r="AL807" s="29"/>
      <c r="AM807" s="29"/>
      <c r="AN807" s="29"/>
      <c r="AO807" s="29"/>
    </row>
    <row r="808" ht="15.75" customHeight="1">
      <c r="AE808" s="29"/>
      <c r="AF808" s="29"/>
      <c r="AG808" s="29"/>
      <c r="AH808" s="29"/>
      <c r="AI808" s="29"/>
      <c r="AJ808" s="29"/>
      <c r="AK808" s="29"/>
      <c r="AL808" s="29"/>
      <c r="AM808" s="29"/>
      <c r="AN808" s="29"/>
      <c r="AO808" s="29"/>
    </row>
    <row r="809" ht="15.75" customHeight="1">
      <c r="AE809" s="29"/>
      <c r="AF809" s="29"/>
      <c r="AG809" s="29"/>
      <c r="AH809" s="29"/>
      <c r="AI809" s="29"/>
      <c r="AJ809" s="29"/>
      <c r="AK809" s="29"/>
      <c r="AL809" s="29"/>
      <c r="AM809" s="29"/>
      <c r="AN809" s="29"/>
      <c r="AO809" s="29"/>
    </row>
    <row r="810" ht="15.75" customHeight="1">
      <c r="AE810" s="29"/>
      <c r="AF810" s="29"/>
      <c r="AG810" s="29"/>
      <c r="AH810" s="29"/>
      <c r="AI810" s="29"/>
      <c r="AJ810" s="29"/>
      <c r="AK810" s="29"/>
      <c r="AL810" s="29"/>
      <c r="AM810" s="29"/>
      <c r="AN810" s="29"/>
      <c r="AO810" s="29"/>
    </row>
    <row r="811" ht="15.75" customHeight="1">
      <c r="AE811" s="29"/>
      <c r="AF811" s="29"/>
      <c r="AG811" s="29"/>
      <c r="AH811" s="29"/>
      <c r="AI811" s="29"/>
      <c r="AJ811" s="29"/>
      <c r="AK811" s="29"/>
      <c r="AL811" s="29"/>
      <c r="AM811" s="29"/>
      <c r="AN811" s="29"/>
      <c r="AO811" s="29"/>
    </row>
    <row r="812" ht="15.75" customHeight="1">
      <c r="AE812" s="29"/>
      <c r="AF812" s="29"/>
      <c r="AG812" s="29"/>
      <c r="AH812" s="29"/>
      <c r="AI812" s="29"/>
      <c r="AJ812" s="29"/>
      <c r="AK812" s="29"/>
      <c r="AL812" s="29"/>
      <c r="AM812" s="29"/>
      <c r="AN812" s="29"/>
      <c r="AO812" s="29"/>
    </row>
    <row r="813" ht="15.75" customHeight="1">
      <c r="AE813" s="29"/>
      <c r="AF813" s="29"/>
      <c r="AG813" s="29"/>
      <c r="AH813" s="29"/>
      <c r="AI813" s="29"/>
      <c r="AJ813" s="29"/>
      <c r="AK813" s="29"/>
      <c r="AL813" s="29"/>
      <c r="AM813" s="29"/>
      <c r="AN813" s="29"/>
      <c r="AO813" s="29"/>
    </row>
    <row r="814" ht="15.75" customHeight="1">
      <c r="AE814" s="29"/>
      <c r="AF814" s="29"/>
      <c r="AG814" s="29"/>
      <c r="AH814" s="29"/>
      <c r="AI814" s="29"/>
      <c r="AJ814" s="29"/>
      <c r="AK814" s="29"/>
      <c r="AL814" s="29"/>
      <c r="AM814" s="29"/>
      <c r="AN814" s="29"/>
      <c r="AO814" s="29"/>
    </row>
    <row r="815" ht="15.75" customHeight="1">
      <c r="AE815" s="29"/>
      <c r="AF815" s="29"/>
      <c r="AG815" s="29"/>
      <c r="AH815" s="29"/>
      <c r="AI815" s="29"/>
      <c r="AJ815" s="29"/>
      <c r="AK815" s="29"/>
      <c r="AL815" s="29"/>
      <c r="AM815" s="29"/>
      <c r="AN815" s="29"/>
      <c r="AO815" s="29"/>
    </row>
    <row r="816" ht="15.75" customHeight="1">
      <c r="AE816" s="29"/>
      <c r="AF816" s="29"/>
      <c r="AG816" s="29"/>
      <c r="AH816" s="29"/>
      <c r="AI816" s="29"/>
      <c r="AJ816" s="29"/>
      <c r="AK816" s="29"/>
      <c r="AL816" s="29"/>
      <c r="AM816" s="29"/>
      <c r="AN816" s="29"/>
      <c r="AO816" s="29"/>
    </row>
    <row r="817" ht="15.75" customHeight="1">
      <c r="AE817" s="29"/>
      <c r="AF817" s="29"/>
      <c r="AG817" s="29"/>
      <c r="AH817" s="29"/>
      <c r="AI817" s="29"/>
      <c r="AJ817" s="29"/>
      <c r="AK817" s="29"/>
      <c r="AL817" s="29"/>
      <c r="AM817" s="29"/>
      <c r="AN817" s="29"/>
      <c r="AO817" s="29"/>
    </row>
    <row r="818" ht="15.75" customHeight="1">
      <c r="AE818" s="29"/>
      <c r="AF818" s="29"/>
      <c r="AG818" s="29"/>
      <c r="AH818" s="29"/>
      <c r="AI818" s="29"/>
      <c r="AJ818" s="29"/>
      <c r="AK818" s="29"/>
      <c r="AL818" s="29"/>
      <c r="AM818" s="29"/>
      <c r="AN818" s="29"/>
      <c r="AO818" s="29"/>
    </row>
    <row r="819" ht="15.75" customHeight="1">
      <c r="AE819" s="29"/>
      <c r="AF819" s="29"/>
      <c r="AG819" s="29"/>
      <c r="AH819" s="29"/>
      <c r="AI819" s="29"/>
      <c r="AJ819" s="29"/>
      <c r="AK819" s="29"/>
      <c r="AL819" s="29"/>
      <c r="AM819" s="29"/>
      <c r="AN819" s="29"/>
      <c r="AO819" s="29"/>
    </row>
    <row r="820" ht="15.75" customHeight="1">
      <c r="AE820" s="29"/>
      <c r="AF820" s="29"/>
      <c r="AG820" s="29"/>
      <c r="AH820" s="29"/>
      <c r="AI820" s="29"/>
      <c r="AJ820" s="29"/>
      <c r="AK820" s="29"/>
      <c r="AL820" s="29"/>
      <c r="AM820" s="29"/>
      <c r="AN820" s="29"/>
      <c r="AO820" s="29"/>
    </row>
    <row r="821" ht="15.75" customHeight="1">
      <c r="AE821" s="29"/>
      <c r="AF821" s="29"/>
      <c r="AG821" s="29"/>
      <c r="AH821" s="29"/>
      <c r="AI821" s="29"/>
      <c r="AJ821" s="29"/>
      <c r="AK821" s="29"/>
      <c r="AL821" s="29"/>
      <c r="AM821" s="29"/>
      <c r="AN821" s="29"/>
      <c r="AO821" s="29"/>
    </row>
    <row r="822" ht="15.75" customHeight="1">
      <c r="AE822" s="29"/>
      <c r="AF822" s="29"/>
      <c r="AG822" s="29"/>
      <c r="AH822" s="29"/>
      <c r="AI822" s="29"/>
      <c r="AJ822" s="29"/>
      <c r="AK822" s="29"/>
      <c r="AL822" s="29"/>
      <c r="AM822" s="29"/>
      <c r="AN822" s="29"/>
      <c r="AO822" s="29"/>
    </row>
    <row r="823" ht="15.75" customHeight="1">
      <c r="AE823" s="29"/>
      <c r="AF823" s="29"/>
      <c r="AG823" s="29"/>
      <c r="AH823" s="29"/>
      <c r="AI823" s="29"/>
      <c r="AJ823" s="29"/>
      <c r="AK823" s="29"/>
      <c r="AL823" s="29"/>
      <c r="AM823" s="29"/>
      <c r="AN823" s="29"/>
      <c r="AO823" s="29"/>
    </row>
    <row r="824" ht="15.75" customHeight="1">
      <c r="AE824" s="29"/>
      <c r="AF824" s="29"/>
      <c r="AG824" s="29"/>
      <c r="AH824" s="29"/>
      <c r="AI824" s="29"/>
      <c r="AJ824" s="29"/>
      <c r="AK824" s="29"/>
      <c r="AL824" s="29"/>
      <c r="AM824" s="29"/>
      <c r="AN824" s="29"/>
      <c r="AO824" s="29"/>
    </row>
    <row r="825" ht="15.75" customHeight="1">
      <c r="AE825" s="29"/>
      <c r="AF825" s="29"/>
      <c r="AG825" s="29"/>
      <c r="AH825" s="29"/>
      <c r="AI825" s="29"/>
      <c r="AJ825" s="29"/>
      <c r="AK825" s="29"/>
      <c r="AL825" s="29"/>
      <c r="AM825" s="29"/>
      <c r="AN825" s="29"/>
      <c r="AO825" s="29"/>
    </row>
    <row r="826" ht="15.75" customHeight="1">
      <c r="AE826" s="29"/>
      <c r="AF826" s="29"/>
      <c r="AG826" s="29"/>
      <c r="AH826" s="29"/>
      <c r="AI826" s="29"/>
      <c r="AJ826" s="29"/>
      <c r="AK826" s="29"/>
      <c r="AL826" s="29"/>
      <c r="AM826" s="29"/>
      <c r="AN826" s="29"/>
      <c r="AO826" s="29"/>
    </row>
    <row r="827" ht="15.75" customHeight="1">
      <c r="AE827" s="29"/>
      <c r="AF827" s="29"/>
      <c r="AG827" s="29"/>
      <c r="AH827" s="29"/>
      <c r="AI827" s="29"/>
      <c r="AJ827" s="29"/>
      <c r="AK827" s="29"/>
      <c r="AL827" s="29"/>
      <c r="AM827" s="29"/>
      <c r="AN827" s="29"/>
      <c r="AO827" s="29"/>
    </row>
    <row r="828" ht="15.75" customHeight="1">
      <c r="AE828" s="29"/>
      <c r="AF828" s="29"/>
      <c r="AG828" s="29"/>
      <c r="AH828" s="29"/>
      <c r="AI828" s="29"/>
      <c r="AJ828" s="29"/>
      <c r="AK828" s="29"/>
      <c r="AL828" s="29"/>
      <c r="AM828" s="29"/>
      <c r="AN828" s="29"/>
      <c r="AO828" s="29"/>
    </row>
    <row r="829" ht="15.75" customHeight="1">
      <c r="AE829" s="29"/>
      <c r="AF829" s="29"/>
      <c r="AG829" s="29"/>
      <c r="AH829" s="29"/>
      <c r="AI829" s="29"/>
      <c r="AJ829" s="29"/>
      <c r="AK829" s="29"/>
      <c r="AL829" s="29"/>
      <c r="AM829" s="29"/>
      <c r="AN829" s="29"/>
      <c r="AO829" s="29"/>
    </row>
    <row r="830" ht="15.75" customHeight="1">
      <c r="AE830" s="29"/>
      <c r="AF830" s="29"/>
      <c r="AG830" s="29"/>
      <c r="AH830" s="29"/>
      <c r="AI830" s="29"/>
      <c r="AJ830" s="29"/>
      <c r="AK830" s="29"/>
      <c r="AL830" s="29"/>
      <c r="AM830" s="29"/>
      <c r="AN830" s="29"/>
      <c r="AO830" s="29"/>
    </row>
    <row r="831" ht="15.75" customHeight="1">
      <c r="AE831" s="29"/>
      <c r="AF831" s="29"/>
      <c r="AG831" s="29"/>
      <c r="AH831" s="29"/>
      <c r="AI831" s="29"/>
      <c r="AJ831" s="29"/>
      <c r="AK831" s="29"/>
      <c r="AL831" s="29"/>
      <c r="AM831" s="29"/>
      <c r="AN831" s="29"/>
      <c r="AO831" s="29"/>
    </row>
    <row r="832" ht="15.75" customHeight="1">
      <c r="AE832" s="29"/>
      <c r="AF832" s="29"/>
      <c r="AG832" s="29"/>
      <c r="AH832" s="29"/>
      <c r="AI832" s="29"/>
      <c r="AJ832" s="29"/>
      <c r="AK832" s="29"/>
      <c r="AL832" s="29"/>
      <c r="AM832" s="29"/>
      <c r="AN832" s="29"/>
      <c r="AO832" s="29"/>
    </row>
    <row r="833" ht="15.75" customHeight="1">
      <c r="AE833" s="29"/>
      <c r="AF833" s="29"/>
      <c r="AG833" s="29"/>
      <c r="AH833" s="29"/>
      <c r="AI833" s="29"/>
      <c r="AJ833" s="29"/>
      <c r="AK833" s="29"/>
      <c r="AL833" s="29"/>
      <c r="AM833" s="29"/>
      <c r="AN833" s="29"/>
      <c r="AO833" s="29"/>
    </row>
    <row r="834" ht="15.75" customHeight="1">
      <c r="AE834" s="29"/>
      <c r="AF834" s="29"/>
      <c r="AG834" s="29"/>
      <c r="AH834" s="29"/>
      <c r="AI834" s="29"/>
      <c r="AJ834" s="29"/>
      <c r="AK834" s="29"/>
      <c r="AL834" s="29"/>
      <c r="AM834" s="29"/>
      <c r="AN834" s="29"/>
      <c r="AO834" s="29"/>
    </row>
    <row r="835" ht="15.75" customHeight="1">
      <c r="AE835" s="29"/>
      <c r="AF835" s="29"/>
      <c r="AG835" s="29"/>
      <c r="AH835" s="29"/>
      <c r="AI835" s="29"/>
      <c r="AJ835" s="29"/>
      <c r="AK835" s="29"/>
      <c r="AL835" s="29"/>
      <c r="AM835" s="29"/>
      <c r="AN835" s="29"/>
      <c r="AO835" s="29"/>
    </row>
    <row r="836" ht="15.75" customHeight="1">
      <c r="AE836" s="29"/>
      <c r="AF836" s="29"/>
      <c r="AG836" s="29"/>
      <c r="AH836" s="29"/>
      <c r="AI836" s="29"/>
      <c r="AJ836" s="29"/>
      <c r="AK836" s="29"/>
      <c r="AL836" s="29"/>
      <c r="AM836" s="29"/>
      <c r="AN836" s="29"/>
      <c r="AO836" s="29"/>
    </row>
    <row r="837" ht="15.75" customHeight="1">
      <c r="AE837" s="29"/>
      <c r="AF837" s="29"/>
      <c r="AG837" s="29"/>
      <c r="AH837" s="29"/>
      <c r="AI837" s="29"/>
      <c r="AJ837" s="29"/>
      <c r="AK837" s="29"/>
      <c r="AL837" s="29"/>
      <c r="AM837" s="29"/>
      <c r="AN837" s="29"/>
      <c r="AO837" s="29"/>
    </row>
    <row r="838" ht="15.75" customHeight="1">
      <c r="AE838" s="29"/>
      <c r="AF838" s="29"/>
      <c r="AG838" s="29"/>
      <c r="AH838" s="29"/>
      <c r="AI838" s="29"/>
      <c r="AJ838" s="29"/>
      <c r="AK838" s="29"/>
      <c r="AL838" s="29"/>
      <c r="AM838" s="29"/>
      <c r="AN838" s="29"/>
      <c r="AO838" s="29"/>
    </row>
    <row r="839" ht="15.75" customHeight="1">
      <c r="AE839" s="29"/>
      <c r="AF839" s="29"/>
      <c r="AG839" s="29"/>
      <c r="AH839" s="29"/>
      <c r="AI839" s="29"/>
      <c r="AJ839" s="29"/>
      <c r="AK839" s="29"/>
      <c r="AL839" s="29"/>
      <c r="AM839" s="29"/>
      <c r="AN839" s="29"/>
      <c r="AO839" s="29"/>
    </row>
    <row r="840" ht="15.75" customHeight="1">
      <c r="AE840" s="29"/>
      <c r="AF840" s="29"/>
      <c r="AG840" s="29"/>
      <c r="AH840" s="29"/>
      <c r="AI840" s="29"/>
      <c r="AJ840" s="29"/>
      <c r="AK840" s="29"/>
      <c r="AL840" s="29"/>
      <c r="AM840" s="29"/>
      <c r="AN840" s="29"/>
      <c r="AO840" s="29"/>
    </row>
    <row r="841" ht="15.75" customHeight="1">
      <c r="AE841" s="29"/>
      <c r="AF841" s="29"/>
      <c r="AG841" s="29"/>
      <c r="AH841" s="29"/>
      <c r="AI841" s="29"/>
      <c r="AJ841" s="29"/>
      <c r="AK841" s="29"/>
      <c r="AL841" s="29"/>
      <c r="AM841" s="29"/>
      <c r="AN841" s="29"/>
      <c r="AO841" s="29"/>
    </row>
    <row r="842" ht="15.75" customHeight="1">
      <c r="AE842" s="29"/>
      <c r="AF842" s="29"/>
      <c r="AG842" s="29"/>
      <c r="AH842" s="29"/>
      <c r="AI842" s="29"/>
      <c r="AJ842" s="29"/>
      <c r="AK842" s="29"/>
      <c r="AL842" s="29"/>
      <c r="AM842" s="29"/>
      <c r="AN842" s="29"/>
      <c r="AO842" s="29"/>
    </row>
    <row r="843" ht="15.75" customHeight="1">
      <c r="AE843" s="29"/>
      <c r="AF843" s="29"/>
      <c r="AG843" s="29"/>
      <c r="AH843" s="29"/>
      <c r="AI843" s="29"/>
      <c r="AJ843" s="29"/>
      <c r="AK843" s="29"/>
      <c r="AL843" s="29"/>
      <c r="AM843" s="29"/>
      <c r="AN843" s="29"/>
      <c r="AO843" s="29"/>
    </row>
    <row r="844" ht="15.75" customHeight="1">
      <c r="AE844" s="29"/>
      <c r="AF844" s="29"/>
      <c r="AG844" s="29"/>
      <c r="AH844" s="29"/>
      <c r="AI844" s="29"/>
      <c r="AJ844" s="29"/>
      <c r="AK844" s="29"/>
      <c r="AL844" s="29"/>
      <c r="AM844" s="29"/>
      <c r="AN844" s="29"/>
      <c r="AO844" s="29"/>
    </row>
    <row r="845" ht="15.75" customHeight="1">
      <c r="AE845" s="29"/>
      <c r="AF845" s="29"/>
      <c r="AG845" s="29"/>
      <c r="AH845" s="29"/>
      <c r="AI845" s="29"/>
      <c r="AJ845" s="29"/>
      <c r="AK845" s="29"/>
      <c r="AL845" s="29"/>
      <c r="AM845" s="29"/>
      <c r="AN845" s="29"/>
      <c r="AO845" s="29"/>
    </row>
    <row r="846" ht="15.75" customHeight="1">
      <c r="AE846" s="29"/>
      <c r="AF846" s="29"/>
      <c r="AG846" s="29"/>
      <c r="AH846" s="29"/>
      <c r="AI846" s="29"/>
      <c r="AJ846" s="29"/>
      <c r="AK846" s="29"/>
      <c r="AL846" s="29"/>
      <c r="AM846" s="29"/>
      <c r="AN846" s="29"/>
      <c r="AO846" s="29"/>
    </row>
    <row r="847" ht="15.75" customHeight="1">
      <c r="AE847" s="29"/>
      <c r="AF847" s="29"/>
      <c r="AG847" s="29"/>
      <c r="AH847" s="29"/>
      <c r="AI847" s="29"/>
      <c r="AJ847" s="29"/>
      <c r="AK847" s="29"/>
      <c r="AL847" s="29"/>
      <c r="AM847" s="29"/>
      <c r="AN847" s="29"/>
      <c r="AO847" s="29"/>
    </row>
    <row r="848" ht="15.75" customHeight="1">
      <c r="AE848" s="29"/>
      <c r="AF848" s="29"/>
      <c r="AG848" s="29"/>
      <c r="AH848" s="29"/>
      <c r="AI848" s="29"/>
      <c r="AJ848" s="29"/>
      <c r="AK848" s="29"/>
      <c r="AL848" s="29"/>
      <c r="AM848" s="29"/>
      <c r="AN848" s="29"/>
      <c r="AO848" s="29"/>
    </row>
    <row r="849" ht="15.75" customHeight="1">
      <c r="AE849" s="29"/>
      <c r="AF849" s="29"/>
      <c r="AG849" s="29"/>
      <c r="AH849" s="29"/>
      <c r="AI849" s="29"/>
      <c r="AJ849" s="29"/>
      <c r="AK849" s="29"/>
      <c r="AL849" s="29"/>
      <c r="AM849" s="29"/>
      <c r="AN849" s="29"/>
      <c r="AO849" s="29"/>
    </row>
    <row r="850" ht="15.75" customHeight="1">
      <c r="AE850" s="29"/>
      <c r="AF850" s="29"/>
      <c r="AG850" s="29"/>
      <c r="AH850" s="29"/>
      <c r="AI850" s="29"/>
      <c r="AJ850" s="29"/>
      <c r="AK850" s="29"/>
      <c r="AL850" s="29"/>
      <c r="AM850" s="29"/>
      <c r="AN850" s="29"/>
      <c r="AO850" s="29"/>
    </row>
    <row r="851" ht="15.75" customHeight="1">
      <c r="AE851" s="29"/>
      <c r="AF851" s="29"/>
      <c r="AG851" s="29"/>
      <c r="AH851" s="29"/>
      <c r="AI851" s="29"/>
      <c r="AJ851" s="29"/>
      <c r="AK851" s="29"/>
      <c r="AL851" s="29"/>
      <c r="AM851" s="29"/>
      <c r="AN851" s="29"/>
      <c r="AO851" s="29"/>
    </row>
    <row r="852" ht="15.75" customHeight="1">
      <c r="AE852" s="29"/>
      <c r="AF852" s="29"/>
      <c r="AG852" s="29"/>
      <c r="AH852" s="29"/>
      <c r="AI852" s="29"/>
      <c r="AJ852" s="29"/>
      <c r="AK852" s="29"/>
      <c r="AL852" s="29"/>
      <c r="AM852" s="29"/>
      <c r="AN852" s="29"/>
      <c r="AO852" s="29"/>
    </row>
    <row r="853" ht="15.75" customHeight="1">
      <c r="AE853" s="29"/>
      <c r="AF853" s="29"/>
      <c r="AG853" s="29"/>
      <c r="AH853" s="29"/>
      <c r="AI853" s="29"/>
      <c r="AJ853" s="29"/>
      <c r="AK853" s="29"/>
      <c r="AL853" s="29"/>
      <c r="AM853" s="29"/>
      <c r="AN853" s="29"/>
      <c r="AO853" s="29"/>
    </row>
    <row r="854" ht="15.75" customHeight="1">
      <c r="AE854" s="29"/>
      <c r="AF854" s="29"/>
      <c r="AG854" s="29"/>
      <c r="AH854" s="29"/>
      <c r="AI854" s="29"/>
      <c r="AJ854" s="29"/>
      <c r="AK854" s="29"/>
      <c r="AL854" s="29"/>
      <c r="AM854" s="29"/>
      <c r="AN854" s="29"/>
      <c r="AO854" s="29"/>
    </row>
    <row r="855" ht="15.75" customHeight="1">
      <c r="AE855" s="29"/>
      <c r="AF855" s="29"/>
      <c r="AG855" s="29"/>
      <c r="AH855" s="29"/>
      <c r="AI855" s="29"/>
      <c r="AJ855" s="29"/>
      <c r="AK855" s="29"/>
      <c r="AL855" s="29"/>
      <c r="AM855" s="29"/>
      <c r="AN855" s="29"/>
      <c r="AO855" s="29"/>
    </row>
    <row r="856" ht="15.75" customHeight="1">
      <c r="AE856" s="29"/>
      <c r="AF856" s="29"/>
      <c r="AG856" s="29"/>
      <c r="AH856" s="29"/>
      <c r="AI856" s="29"/>
      <c r="AJ856" s="29"/>
      <c r="AK856" s="29"/>
      <c r="AL856" s="29"/>
      <c r="AM856" s="29"/>
      <c r="AN856" s="29"/>
      <c r="AO856" s="29"/>
    </row>
    <row r="857" ht="15.75" customHeight="1">
      <c r="AE857" s="29"/>
      <c r="AF857" s="29"/>
      <c r="AG857" s="29"/>
      <c r="AH857" s="29"/>
      <c r="AI857" s="29"/>
      <c r="AJ857" s="29"/>
      <c r="AK857" s="29"/>
      <c r="AL857" s="29"/>
      <c r="AM857" s="29"/>
      <c r="AN857" s="29"/>
      <c r="AO857" s="29"/>
    </row>
    <row r="858" ht="15.75" customHeight="1">
      <c r="AE858" s="29"/>
      <c r="AF858" s="29"/>
      <c r="AG858" s="29"/>
      <c r="AH858" s="29"/>
      <c r="AI858" s="29"/>
      <c r="AJ858" s="29"/>
      <c r="AK858" s="29"/>
      <c r="AL858" s="29"/>
      <c r="AM858" s="29"/>
      <c r="AN858" s="29"/>
      <c r="AO858" s="29"/>
    </row>
    <row r="859" ht="15.75" customHeight="1">
      <c r="AE859" s="29"/>
      <c r="AF859" s="29"/>
      <c r="AG859" s="29"/>
      <c r="AH859" s="29"/>
      <c r="AI859" s="29"/>
      <c r="AJ859" s="29"/>
      <c r="AK859" s="29"/>
      <c r="AL859" s="29"/>
      <c r="AM859" s="29"/>
      <c r="AN859" s="29"/>
      <c r="AO859" s="29"/>
    </row>
    <row r="860" ht="15.75" customHeight="1">
      <c r="AE860" s="29"/>
      <c r="AF860" s="29"/>
      <c r="AG860" s="29"/>
      <c r="AH860" s="29"/>
      <c r="AI860" s="29"/>
      <c r="AJ860" s="29"/>
      <c r="AK860" s="29"/>
      <c r="AL860" s="29"/>
      <c r="AM860" s="29"/>
      <c r="AN860" s="29"/>
      <c r="AO860" s="29"/>
    </row>
    <row r="861" ht="15.75" customHeight="1">
      <c r="AE861" s="29"/>
      <c r="AF861" s="29"/>
      <c r="AG861" s="29"/>
      <c r="AH861" s="29"/>
      <c r="AI861" s="29"/>
      <c r="AJ861" s="29"/>
      <c r="AK861" s="29"/>
      <c r="AL861" s="29"/>
      <c r="AM861" s="29"/>
      <c r="AN861" s="29"/>
      <c r="AO861" s="29"/>
    </row>
    <row r="862" ht="15.75" customHeight="1">
      <c r="AE862" s="29"/>
      <c r="AF862" s="29"/>
      <c r="AG862" s="29"/>
      <c r="AH862" s="29"/>
      <c r="AI862" s="29"/>
      <c r="AJ862" s="29"/>
      <c r="AK862" s="29"/>
      <c r="AL862" s="29"/>
      <c r="AM862" s="29"/>
      <c r="AN862" s="29"/>
      <c r="AO862" s="29"/>
    </row>
    <row r="863" ht="15.75" customHeight="1">
      <c r="AE863" s="29"/>
      <c r="AF863" s="29"/>
      <c r="AG863" s="29"/>
      <c r="AH863" s="29"/>
      <c r="AI863" s="29"/>
      <c r="AJ863" s="29"/>
      <c r="AK863" s="29"/>
      <c r="AL863" s="29"/>
      <c r="AM863" s="29"/>
      <c r="AN863" s="29"/>
      <c r="AO863" s="29"/>
    </row>
    <row r="864" ht="15.75" customHeight="1">
      <c r="AE864" s="29"/>
      <c r="AF864" s="29"/>
      <c r="AG864" s="29"/>
      <c r="AH864" s="29"/>
      <c r="AI864" s="29"/>
      <c r="AJ864" s="29"/>
      <c r="AK864" s="29"/>
      <c r="AL864" s="29"/>
      <c r="AM864" s="29"/>
      <c r="AN864" s="29"/>
      <c r="AO864" s="29"/>
    </row>
    <row r="865" ht="15.75" customHeight="1">
      <c r="AE865" s="29"/>
      <c r="AF865" s="29"/>
      <c r="AG865" s="29"/>
      <c r="AH865" s="29"/>
      <c r="AI865" s="29"/>
      <c r="AJ865" s="29"/>
      <c r="AK865" s="29"/>
      <c r="AL865" s="29"/>
      <c r="AM865" s="29"/>
      <c r="AN865" s="29"/>
      <c r="AO865" s="29"/>
    </row>
    <row r="866" ht="15.75" customHeight="1">
      <c r="AE866" s="29"/>
      <c r="AF866" s="29"/>
      <c r="AG866" s="29"/>
      <c r="AH866" s="29"/>
      <c r="AI866" s="29"/>
      <c r="AJ866" s="29"/>
      <c r="AK866" s="29"/>
      <c r="AL866" s="29"/>
      <c r="AM866" s="29"/>
      <c r="AN866" s="29"/>
      <c r="AO866" s="29"/>
    </row>
    <row r="867" ht="15.75" customHeight="1">
      <c r="AE867" s="29"/>
      <c r="AF867" s="29"/>
      <c r="AG867" s="29"/>
      <c r="AH867" s="29"/>
      <c r="AI867" s="29"/>
      <c r="AJ867" s="29"/>
      <c r="AK867" s="29"/>
      <c r="AL867" s="29"/>
      <c r="AM867" s="29"/>
      <c r="AN867" s="29"/>
      <c r="AO867" s="29"/>
    </row>
    <row r="868" ht="15.75" customHeight="1">
      <c r="AE868" s="29"/>
      <c r="AF868" s="29"/>
      <c r="AG868" s="29"/>
      <c r="AH868" s="29"/>
      <c r="AI868" s="29"/>
      <c r="AJ868" s="29"/>
      <c r="AK868" s="29"/>
      <c r="AL868" s="29"/>
      <c r="AM868" s="29"/>
      <c r="AN868" s="29"/>
      <c r="AO868" s="29"/>
    </row>
    <row r="869" ht="15.75" customHeight="1">
      <c r="AE869" s="29"/>
      <c r="AF869" s="29"/>
      <c r="AG869" s="29"/>
      <c r="AH869" s="29"/>
      <c r="AI869" s="29"/>
      <c r="AJ869" s="29"/>
      <c r="AK869" s="29"/>
      <c r="AL869" s="29"/>
      <c r="AM869" s="29"/>
      <c r="AN869" s="29"/>
      <c r="AO869" s="29"/>
    </row>
    <row r="870" ht="15.75" customHeight="1">
      <c r="AE870" s="29"/>
      <c r="AF870" s="29"/>
      <c r="AG870" s="29"/>
      <c r="AH870" s="29"/>
      <c r="AI870" s="29"/>
      <c r="AJ870" s="29"/>
      <c r="AK870" s="29"/>
      <c r="AL870" s="29"/>
      <c r="AM870" s="29"/>
      <c r="AN870" s="29"/>
      <c r="AO870" s="29"/>
    </row>
    <row r="871" ht="15.75" customHeight="1">
      <c r="AE871" s="29"/>
      <c r="AF871" s="29"/>
      <c r="AG871" s="29"/>
      <c r="AH871" s="29"/>
      <c r="AI871" s="29"/>
      <c r="AJ871" s="29"/>
      <c r="AK871" s="29"/>
      <c r="AL871" s="29"/>
      <c r="AM871" s="29"/>
      <c r="AN871" s="29"/>
      <c r="AO871" s="29"/>
    </row>
    <row r="872" ht="15.75" customHeight="1">
      <c r="AE872" s="29"/>
      <c r="AF872" s="29"/>
      <c r="AG872" s="29"/>
      <c r="AH872" s="29"/>
      <c r="AI872" s="29"/>
      <c r="AJ872" s="29"/>
      <c r="AK872" s="29"/>
      <c r="AL872" s="29"/>
      <c r="AM872" s="29"/>
      <c r="AN872" s="29"/>
      <c r="AO872" s="29"/>
    </row>
    <row r="873" ht="15.75" customHeight="1">
      <c r="AE873" s="29"/>
      <c r="AF873" s="29"/>
      <c r="AG873" s="29"/>
      <c r="AH873" s="29"/>
      <c r="AI873" s="29"/>
      <c r="AJ873" s="29"/>
      <c r="AK873" s="29"/>
      <c r="AL873" s="29"/>
      <c r="AM873" s="29"/>
      <c r="AN873" s="29"/>
      <c r="AO873" s="29"/>
    </row>
    <row r="874" ht="15.75" customHeight="1">
      <c r="AE874" s="29"/>
      <c r="AF874" s="29"/>
      <c r="AG874" s="29"/>
      <c r="AH874" s="29"/>
      <c r="AI874" s="29"/>
      <c r="AJ874" s="29"/>
      <c r="AK874" s="29"/>
      <c r="AL874" s="29"/>
      <c r="AM874" s="29"/>
      <c r="AN874" s="29"/>
      <c r="AO874" s="29"/>
    </row>
    <row r="875" ht="15.75" customHeight="1">
      <c r="AE875" s="29"/>
      <c r="AF875" s="29"/>
      <c r="AG875" s="29"/>
      <c r="AH875" s="29"/>
      <c r="AI875" s="29"/>
      <c r="AJ875" s="29"/>
      <c r="AK875" s="29"/>
      <c r="AL875" s="29"/>
      <c r="AM875" s="29"/>
      <c r="AN875" s="29"/>
      <c r="AO875" s="29"/>
    </row>
    <row r="876" ht="15.75" customHeight="1">
      <c r="AE876" s="29"/>
      <c r="AF876" s="29"/>
      <c r="AG876" s="29"/>
      <c r="AH876" s="29"/>
      <c r="AI876" s="29"/>
      <c r="AJ876" s="29"/>
      <c r="AK876" s="29"/>
      <c r="AL876" s="29"/>
      <c r="AM876" s="29"/>
      <c r="AN876" s="29"/>
      <c r="AO876" s="29"/>
    </row>
    <row r="877" ht="15.75" customHeight="1">
      <c r="AE877" s="29"/>
      <c r="AF877" s="29"/>
      <c r="AG877" s="29"/>
      <c r="AH877" s="29"/>
      <c r="AI877" s="29"/>
      <c r="AJ877" s="29"/>
      <c r="AK877" s="29"/>
      <c r="AL877" s="29"/>
      <c r="AM877" s="29"/>
      <c r="AN877" s="29"/>
      <c r="AO877" s="29"/>
    </row>
    <row r="878" ht="15.75" customHeight="1">
      <c r="AE878" s="29"/>
      <c r="AF878" s="29"/>
      <c r="AG878" s="29"/>
      <c r="AH878" s="29"/>
      <c r="AI878" s="29"/>
      <c r="AJ878" s="29"/>
      <c r="AK878" s="29"/>
      <c r="AL878" s="29"/>
      <c r="AM878" s="29"/>
      <c r="AN878" s="29"/>
      <c r="AO878" s="29"/>
    </row>
    <row r="879" ht="15.75" customHeight="1">
      <c r="AE879" s="29"/>
      <c r="AF879" s="29"/>
      <c r="AG879" s="29"/>
      <c r="AH879" s="29"/>
      <c r="AI879" s="29"/>
      <c r="AJ879" s="29"/>
      <c r="AK879" s="29"/>
      <c r="AL879" s="29"/>
      <c r="AM879" s="29"/>
      <c r="AN879" s="29"/>
      <c r="AO879" s="29"/>
    </row>
    <row r="880" ht="15.75" customHeight="1">
      <c r="AE880" s="29"/>
      <c r="AF880" s="29"/>
      <c r="AG880" s="29"/>
      <c r="AH880" s="29"/>
      <c r="AI880" s="29"/>
      <c r="AJ880" s="29"/>
      <c r="AK880" s="29"/>
      <c r="AL880" s="29"/>
      <c r="AM880" s="29"/>
      <c r="AN880" s="29"/>
      <c r="AO880" s="29"/>
    </row>
    <row r="881" ht="15.75" customHeight="1">
      <c r="AE881" s="29"/>
      <c r="AF881" s="29"/>
      <c r="AG881" s="29"/>
      <c r="AH881" s="29"/>
      <c r="AI881" s="29"/>
      <c r="AJ881" s="29"/>
      <c r="AK881" s="29"/>
      <c r="AL881" s="29"/>
      <c r="AM881" s="29"/>
      <c r="AN881" s="29"/>
      <c r="AO881" s="29"/>
    </row>
    <row r="882" ht="15.75" customHeight="1">
      <c r="AE882" s="29"/>
      <c r="AF882" s="29"/>
      <c r="AG882" s="29"/>
      <c r="AH882" s="29"/>
      <c r="AI882" s="29"/>
      <c r="AJ882" s="29"/>
      <c r="AK882" s="29"/>
      <c r="AL882" s="29"/>
      <c r="AM882" s="29"/>
      <c r="AN882" s="29"/>
      <c r="AO882" s="29"/>
    </row>
    <row r="883" ht="15.75" customHeight="1">
      <c r="AE883" s="29"/>
      <c r="AF883" s="29"/>
      <c r="AG883" s="29"/>
      <c r="AH883" s="29"/>
      <c r="AI883" s="29"/>
      <c r="AJ883" s="29"/>
      <c r="AK883" s="29"/>
      <c r="AL883" s="29"/>
      <c r="AM883" s="29"/>
      <c r="AN883" s="29"/>
      <c r="AO883" s="29"/>
    </row>
    <row r="884" ht="15.75" customHeight="1">
      <c r="AE884" s="29"/>
      <c r="AF884" s="29"/>
      <c r="AG884" s="29"/>
      <c r="AH884" s="29"/>
      <c r="AI884" s="29"/>
      <c r="AJ884" s="29"/>
      <c r="AK884" s="29"/>
      <c r="AL884" s="29"/>
      <c r="AM884" s="29"/>
      <c r="AN884" s="29"/>
      <c r="AO884" s="29"/>
    </row>
    <row r="885" ht="15.75" customHeight="1">
      <c r="AE885" s="29"/>
      <c r="AF885" s="29"/>
      <c r="AG885" s="29"/>
      <c r="AH885" s="29"/>
      <c r="AI885" s="29"/>
      <c r="AJ885" s="29"/>
      <c r="AK885" s="29"/>
      <c r="AL885" s="29"/>
      <c r="AM885" s="29"/>
      <c r="AN885" s="29"/>
      <c r="AO885" s="29"/>
    </row>
    <row r="886" ht="15.75" customHeight="1">
      <c r="AE886" s="29"/>
      <c r="AF886" s="29"/>
      <c r="AG886" s="29"/>
      <c r="AH886" s="29"/>
      <c r="AI886" s="29"/>
      <c r="AJ886" s="29"/>
      <c r="AK886" s="29"/>
      <c r="AL886" s="29"/>
      <c r="AM886" s="29"/>
      <c r="AN886" s="29"/>
      <c r="AO886" s="29"/>
    </row>
    <row r="887" ht="15.75" customHeight="1">
      <c r="AE887" s="29"/>
      <c r="AF887" s="29"/>
      <c r="AG887" s="29"/>
      <c r="AH887" s="29"/>
      <c r="AI887" s="29"/>
      <c r="AJ887" s="29"/>
      <c r="AK887" s="29"/>
      <c r="AL887" s="29"/>
      <c r="AM887" s="29"/>
      <c r="AN887" s="29"/>
      <c r="AO887" s="29"/>
    </row>
    <row r="888" ht="15.75" customHeight="1">
      <c r="AE888" s="29"/>
      <c r="AF888" s="29"/>
      <c r="AG888" s="29"/>
      <c r="AH888" s="29"/>
      <c r="AI888" s="29"/>
      <c r="AJ888" s="29"/>
      <c r="AK888" s="29"/>
      <c r="AL888" s="29"/>
      <c r="AM888" s="29"/>
      <c r="AN888" s="29"/>
      <c r="AO888" s="29"/>
    </row>
    <row r="889" ht="15.75" customHeight="1">
      <c r="AE889" s="29"/>
      <c r="AF889" s="29"/>
      <c r="AG889" s="29"/>
      <c r="AH889" s="29"/>
      <c r="AI889" s="29"/>
      <c r="AJ889" s="29"/>
      <c r="AK889" s="29"/>
      <c r="AL889" s="29"/>
      <c r="AM889" s="29"/>
      <c r="AN889" s="29"/>
      <c r="AO889" s="29"/>
    </row>
    <row r="890" ht="15.75" customHeight="1">
      <c r="AE890" s="29"/>
      <c r="AF890" s="29"/>
      <c r="AG890" s="29"/>
      <c r="AH890" s="29"/>
      <c r="AI890" s="29"/>
      <c r="AJ890" s="29"/>
      <c r="AK890" s="29"/>
      <c r="AL890" s="29"/>
      <c r="AM890" s="29"/>
      <c r="AN890" s="29"/>
      <c r="AO890" s="29"/>
    </row>
    <row r="891" ht="15.75" customHeight="1">
      <c r="AE891" s="29"/>
      <c r="AF891" s="29"/>
      <c r="AG891" s="29"/>
      <c r="AH891" s="29"/>
      <c r="AI891" s="29"/>
      <c r="AJ891" s="29"/>
      <c r="AK891" s="29"/>
      <c r="AL891" s="29"/>
      <c r="AM891" s="29"/>
      <c r="AN891" s="29"/>
      <c r="AO891" s="29"/>
    </row>
    <row r="892" ht="15.75" customHeight="1">
      <c r="AE892" s="29"/>
      <c r="AF892" s="29"/>
      <c r="AG892" s="29"/>
      <c r="AH892" s="29"/>
      <c r="AI892" s="29"/>
      <c r="AJ892" s="29"/>
      <c r="AK892" s="29"/>
      <c r="AL892" s="29"/>
      <c r="AM892" s="29"/>
      <c r="AN892" s="29"/>
      <c r="AO892" s="29"/>
    </row>
    <row r="893" ht="15.75" customHeight="1">
      <c r="AE893" s="29"/>
      <c r="AF893" s="29"/>
      <c r="AG893" s="29"/>
      <c r="AH893" s="29"/>
      <c r="AI893" s="29"/>
      <c r="AJ893" s="29"/>
      <c r="AK893" s="29"/>
      <c r="AL893" s="29"/>
      <c r="AM893" s="29"/>
      <c r="AN893" s="29"/>
      <c r="AO893" s="29"/>
    </row>
    <row r="894" ht="15.75" customHeight="1">
      <c r="AE894" s="29"/>
      <c r="AF894" s="29"/>
      <c r="AG894" s="29"/>
      <c r="AH894" s="29"/>
      <c r="AI894" s="29"/>
      <c r="AJ894" s="29"/>
      <c r="AK894" s="29"/>
      <c r="AL894" s="29"/>
      <c r="AM894" s="29"/>
      <c r="AN894" s="29"/>
      <c r="AO894" s="29"/>
    </row>
    <row r="895" ht="15.75" customHeight="1">
      <c r="AE895" s="29"/>
      <c r="AF895" s="29"/>
      <c r="AG895" s="29"/>
      <c r="AH895" s="29"/>
      <c r="AI895" s="29"/>
      <c r="AJ895" s="29"/>
      <c r="AK895" s="29"/>
      <c r="AL895" s="29"/>
      <c r="AM895" s="29"/>
      <c r="AN895" s="29"/>
      <c r="AO895" s="29"/>
    </row>
    <row r="896" ht="15.75" customHeight="1">
      <c r="AE896" s="29"/>
      <c r="AF896" s="29"/>
      <c r="AG896" s="29"/>
      <c r="AH896" s="29"/>
      <c r="AI896" s="29"/>
      <c r="AJ896" s="29"/>
      <c r="AK896" s="29"/>
      <c r="AL896" s="29"/>
      <c r="AM896" s="29"/>
      <c r="AN896" s="29"/>
      <c r="AO896" s="29"/>
    </row>
    <row r="897" ht="15.75" customHeight="1">
      <c r="AE897" s="29"/>
      <c r="AF897" s="29"/>
      <c r="AG897" s="29"/>
      <c r="AH897" s="29"/>
      <c r="AI897" s="29"/>
      <c r="AJ897" s="29"/>
      <c r="AK897" s="29"/>
      <c r="AL897" s="29"/>
      <c r="AM897" s="29"/>
      <c r="AN897" s="29"/>
      <c r="AO897" s="29"/>
    </row>
    <row r="898" ht="15.75" customHeight="1">
      <c r="AE898" s="29"/>
      <c r="AF898" s="29"/>
      <c r="AG898" s="29"/>
      <c r="AH898" s="29"/>
      <c r="AI898" s="29"/>
      <c r="AJ898" s="29"/>
      <c r="AK898" s="29"/>
      <c r="AL898" s="29"/>
      <c r="AM898" s="29"/>
      <c r="AN898" s="29"/>
      <c r="AO898" s="29"/>
    </row>
    <row r="899" ht="15.75" customHeight="1">
      <c r="AE899" s="29"/>
      <c r="AF899" s="29"/>
      <c r="AG899" s="29"/>
      <c r="AH899" s="29"/>
      <c r="AI899" s="29"/>
      <c r="AJ899" s="29"/>
      <c r="AK899" s="29"/>
      <c r="AL899" s="29"/>
      <c r="AM899" s="29"/>
      <c r="AN899" s="29"/>
      <c r="AO899" s="29"/>
    </row>
    <row r="900" ht="15.75" customHeight="1">
      <c r="AE900" s="29"/>
      <c r="AF900" s="29"/>
      <c r="AG900" s="29"/>
      <c r="AH900" s="29"/>
      <c r="AI900" s="29"/>
      <c r="AJ900" s="29"/>
      <c r="AK900" s="29"/>
      <c r="AL900" s="29"/>
      <c r="AM900" s="29"/>
      <c r="AN900" s="29"/>
      <c r="AO900" s="29"/>
    </row>
    <row r="901" ht="15.75" customHeight="1">
      <c r="AE901" s="29"/>
      <c r="AF901" s="29"/>
      <c r="AG901" s="29"/>
      <c r="AH901" s="29"/>
      <c r="AI901" s="29"/>
      <c r="AJ901" s="29"/>
      <c r="AK901" s="29"/>
      <c r="AL901" s="29"/>
      <c r="AM901" s="29"/>
      <c r="AN901" s="29"/>
      <c r="AO901" s="29"/>
    </row>
    <row r="902" ht="15.75" customHeight="1">
      <c r="AE902" s="29"/>
      <c r="AF902" s="29"/>
      <c r="AG902" s="29"/>
      <c r="AH902" s="29"/>
      <c r="AI902" s="29"/>
      <c r="AJ902" s="29"/>
      <c r="AK902" s="29"/>
      <c r="AL902" s="29"/>
      <c r="AM902" s="29"/>
      <c r="AN902" s="29"/>
      <c r="AO902" s="29"/>
    </row>
    <row r="903" ht="15.75" customHeight="1">
      <c r="AE903" s="29"/>
      <c r="AF903" s="29"/>
      <c r="AG903" s="29"/>
      <c r="AH903" s="29"/>
      <c r="AI903" s="29"/>
      <c r="AJ903" s="29"/>
      <c r="AK903" s="29"/>
      <c r="AL903" s="29"/>
      <c r="AM903" s="29"/>
      <c r="AN903" s="29"/>
      <c r="AO903" s="29"/>
    </row>
    <row r="904" ht="15.75" customHeight="1">
      <c r="AE904" s="29"/>
      <c r="AF904" s="29"/>
      <c r="AG904" s="29"/>
      <c r="AH904" s="29"/>
      <c r="AI904" s="29"/>
      <c r="AJ904" s="29"/>
      <c r="AK904" s="29"/>
      <c r="AL904" s="29"/>
      <c r="AM904" s="29"/>
      <c r="AN904" s="29"/>
      <c r="AO904" s="29"/>
    </row>
    <row r="905" ht="15.75" customHeight="1">
      <c r="AE905" s="29"/>
      <c r="AF905" s="29"/>
      <c r="AG905" s="29"/>
      <c r="AH905" s="29"/>
      <c r="AI905" s="29"/>
      <c r="AJ905" s="29"/>
      <c r="AK905" s="29"/>
      <c r="AL905" s="29"/>
      <c r="AM905" s="29"/>
      <c r="AN905" s="29"/>
      <c r="AO905" s="29"/>
    </row>
    <row r="906" ht="15.75" customHeight="1">
      <c r="AE906" s="29"/>
      <c r="AF906" s="29"/>
      <c r="AG906" s="29"/>
      <c r="AH906" s="29"/>
      <c r="AI906" s="29"/>
      <c r="AJ906" s="29"/>
      <c r="AK906" s="29"/>
      <c r="AL906" s="29"/>
      <c r="AM906" s="29"/>
      <c r="AN906" s="29"/>
      <c r="AO906" s="29"/>
    </row>
    <row r="907" ht="15.75" customHeight="1">
      <c r="AE907" s="29"/>
      <c r="AF907" s="29"/>
      <c r="AG907" s="29"/>
      <c r="AH907" s="29"/>
      <c r="AI907" s="29"/>
      <c r="AJ907" s="29"/>
      <c r="AK907" s="29"/>
      <c r="AL907" s="29"/>
      <c r="AM907" s="29"/>
      <c r="AN907" s="29"/>
      <c r="AO907" s="29"/>
    </row>
    <row r="908" ht="15.75" customHeight="1">
      <c r="AE908" s="29"/>
      <c r="AF908" s="29"/>
      <c r="AG908" s="29"/>
      <c r="AH908" s="29"/>
      <c r="AI908" s="29"/>
      <c r="AJ908" s="29"/>
      <c r="AK908" s="29"/>
      <c r="AL908" s="29"/>
      <c r="AM908" s="29"/>
      <c r="AN908" s="29"/>
      <c r="AO908" s="29"/>
    </row>
    <row r="909" ht="15.75" customHeight="1">
      <c r="AE909" s="29"/>
      <c r="AF909" s="29"/>
      <c r="AG909" s="29"/>
      <c r="AH909" s="29"/>
      <c r="AI909" s="29"/>
      <c r="AJ909" s="29"/>
      <c r="AK909" s="29"/>
      <c r="AL909" s="29"/>
      <c r="AM909" s="29"/>
      <c r="AN909" s="29"/>
      <c r="AO909" s="29"/>
    </row>
    <row r="910" ht="15.75" customHeight="1">
      <c r="AE910" s="29"/>
      <c r="AF910" s="29"/>
      <c r="AG910" s="29"/>
      <c r="AH910" s="29"/>
      <c r="AI910" s="29"/>
      <c r="AJ910" s="29"/>
      <c r="AK910" s="29"/>
      <c r="AL910" s="29"/>
      <c r="AM910" s="29"/>
      <c r="AN910" s="29"/>
      <c r="AO910" s="29"/>
    </row>
    <row r="911" ht="15.75" customHeight="1">
      <c r="AE911" s="29"/>
      <c r="AF911" s="29"/>
      <c r="AG911" s="29"/>
      <c r="AH911" s="29"/>
      <c r="AI911" s="29"/>
      <c r="AJ911" s="29"/>
      <c r="AK911" s="29"/>
      <c r="AL911" s="29"/>
      <c r="AM911" s="29"/>
      <c r="AN911" s="29"/>
      <c r="AO911" s="29"/>
    </row>
    <row r="912" ht="15.75" customHeight="1">
      <c r="AE912" s="29"/>
      <c r="AF912" s="29"/>
      <c r="AG912" s="29"/>
      <c r="AH912" s="29"/>
      <c r="AI912" s="29"/>
      <c r="AJ912" s="29"/>
      <c r="AK912" s="29"/>
      <c r="AL912" s="29"/>
      <c r="AM912" s="29"/>
      <c r="AN912" s="29"/>
      <c r="AO912" s="29"/>
    </row>
    <row r="913" ht="15.75" customHeight="1">
      <c r="AE913" s="29"/>
      <c r="AF913" s="29"/>
      <c r="AG913" s="29"/>
      <c r="AH913" s="29"/>
      <c r="AI913" s="29"/>
      <c r="AJ913" s="29"/>
      <c r="AK913" s="29"/>
      <c r="AL913" s="29"/>
      <c r="AM913" s="29"/>
      <c r="AN913" s="29"/>
      <c r="AO913" s="29"/>
    </row>
    <row r="914" ht="15.75" customHeight="1">
      <c r="AE914" s="29"/>
      <c r="AF914" s="29"/>
      <c r="AG914" s="29"/>
      <c r="AH914" s="29"/>
      <c r="AI914" s="29"/>
      <c r="AJ914" s="29"/>
      <c r="AK914" s="29"/>
      <c r="AL914" s="29"/>
      <c r="AM914" s="29"/>
      <c r="AN914" s="29"/>
      <c r="AO914" s="29"/>
    </row>
    <row r="915" ht="15.75" customHeight="1">
      <c r="AE915" s="29"/>
      <c r="AF915" s="29"/>
      <c r="AG915" s="29"/>
      <c r="AH915" s="29"/>
      <c r="AI915" s="29"/>
      <c r="AJ915" s="29"/>
      <c r="AK915" s="29"/>
      <c r="AL915" s="29"/>
      <c r="AM915" s="29"/>
      <c r="AN915" s="29"/>
      <c r="AO915" s="29"/>
    </row>
    <row r="916" ht="15.75" customHeight="1">
      <c r="AE916" s="29"/>
      <c r="AF916" s="29"/>
      <c r="AG916" s="29"/>
      <c r="AH916" s="29"/>
      <c r="AI916" s="29"/>
      <c r="AJ916" s="29"/>
      <c r="AK916" s="29"/>
      <c r="AL916" s="29"/>
      <c r="AM916" s="29"/>
      <c r="AN916" s="29"/>
      <c r="AO916" s="29"/>
    </row>
    <row r="917" ht="15.75" customHeight="1">
      <c r="AE917" s="29"/>
      <c r="AF917" s="29"/>
      <c r="AG917" s="29"/>
      <c r="AH917" s="29"/>
      <c r="AI917" s="29"/>
      <c r="AJ917" s="29"/>
      <c r="AK917" s="29"/>
      <c r="AL917" s="29"/>
      <c r="AM917" s="29"/>
      <c r="AN917" s="29"/>
      <c r="AO917" s="29"/>
    </row>
    <row r="918" ht="15.75" customHeight="1">
      <c r="AE918" s="29"/>
      <c r="AF918" s="29"/>
      <c r="AG918" s="29"/>
      <c r="AH918" s="29"/>
      <c r="AI918" s="29"/>
      <c r="AJ918" s="29"/>
      <c r="AK918" s="29"/>
      <c r="AL918" s="29"/>
      <c r="AM918" s="29"/>
      <c r="AN918" s="29"/>
      <c r="AO918" s="29"/>
    </row>
    <row r="919" ht="15.75" customHeight="1">
      <c r="AE919" s="29"/>
      <c r="AF919" s="29"/>
      <c r="AG919" s="29"/>
      <c r="AH919" s="29"/>
      <c r="AI919" s="29"/>
      <c r="AJ919" s="29"/>
      <c r="AK919" s="29"/>
      <c r="AL919" s="29"/>
      <c r="AM919" s="29"/>
      <c r="AN919" s="29"/>
      <c r="AO919" s="29"/>
    </row>
    <row r="920" ht="15.75" customHeight="1">
      <c r="AE920" s="29"/>
      <c r="AF920" s="29"/>
      <c r="AG920" s="29"/>
      <c r="AH920" s="29"/>
      <c r="AI920" s="29"/>
      <c r="AJ920" s="29"/>
      <c r="AK920" s="29"/>
      <c r="AL920" s="29"/>
      <c r="AM920" s="29"/>
      <c r="AN920" s="29"/>
      <c r="AO920" s="29"/>
    </row>
    <row r="921" ht="15.75" customHeight="1">
      <c r="AE921" s="29"/>
      <c r="AF921" s="29"/>
      <c r="AG921" s="29"/>
      <c r="AH921" s="29"/>
      <c r="AI921" s="29"/>
      <c r="AJ921" s="29"/>
      <c r="AK921" s="29"/>
      <c r="AL921" s="29"/>
      <c r="AM921" s="29"/>
      <c r="AN921" s="29"/>
      <c r="AO921" s="29"/>
    </row>
    <row r="922" ht="15.75" customHeight="1">
      <c r="AE922" s="29"/>
      <c r="AF922" s="29"/>
      <c r="AG922" s="29"/>
      <c r="AH922" s="29"/>
      <c r="AI922" s="29"/>
      <c r="AJ922" s="29"/>
      <c r="AK922" s="29"/>
      <c r="AL922" s="29"/>
      <c r="AM922" s="29"/>
      <c r="AN922" s="29"/>
      <c r="AO922" s="29"/>
    </row>
    <row r="923" ht="15.75" customHeight="1">
      <c r="AE923" s="29"/>
      <c r="AF923" s="29"/>
      <c r="AG923" s="29"/>
      <c r="AH923" s="29"/>
      <c r="AI923" s="29"/>
      <c r="AJ923" s="29"/>
      <c r="AK923" s="29"/>
      <c r="AL923" s="29"/>
      <c r="AM923" s="29"/>
      <c r="AN923" s="29"/>
      <c r="AO923" s="29"/>
    </row>
    <row r="924" ht="15.75" customHeight="1">
      <c r="AE924" s="29"/>
      <c r="AF924" s="29"/>
      <c r="AG924" s="29"/>
      <c r="AH924" s="29"/>
      <c r="AI924" s="29"/>
      <c r="AJ924" s="29"/>
      <c r="AK924" s="29"/>
      <c r="AL924" s="29"/>
      <c r="AM924" s="29"/>
      <c r="AN924" s="29"/>
      <c r="AO924" s="29"/>
    </row>
    <row r="925" ht="15.75" customHeight="1">
      <c r="AE925" s="29"/>
      <c r="AF925" s="29"/>
      <c r="AG925" s="29"/>
      <c r="AH925" s="29"/>
      <c r="AI925" s="29"/>
      <c r="AJ925" s="29"/>
      <c r="AK925" s="29"/>
      <c r="AL925" s="29"/>
      <c r="AM925" s="29"/>
      <c r="AN925" s="29"/>
      <c r="AO925" s="29"/>
    </row>
    <row r="926" ht="15.75" customHeight="1">
      <c r="AE926" s="29"/>
      <c r="AF926" s="29"/>
      <c r="AG926" s="29"/>
      <c r="AH926" s="29"/>
      <c r="AI926" s="29"/>
      <c r="AJ926" s="29"/>
      <c r="AK926" s="29"/>
      <c r="AL926" s="29"/>
      <c r="AM926" s="29"/>
      <c r="AN926" s="29"/>
      <c r="AO926" s="29"/>
    </row>
    <row r="927" ht="15.75" customHeight="1">
      <c r="AE927" s="29"/>
      <c r="AF927" s="29"/>
      <c r="AG927" s="29"/>
      <c r="AH927" s="29"/>
      <c r="AI927" s="29"/>
      <c r="AJ927" s="29"/>
      <c r="AK927" s="29"/>
      <c r="AL927" s="29"/>
      <c r="AM927" s="29"/>
      <c r="AN927" s="29"/>
      <c r="AO927" s="29"/>
    </row>
    <row r="928" ht="15.75" customHeight="1">
      <c r="AE928" s="29"/>
      <c r="AF928" s="29"/>
      <c r="AG928" s="29"/>
      <c r="AH928" s="29"/>
      <c r="AI928" s="29"/>
      <c r="AJ928" s="29"/>
      <c r="AK928" s="29"/>
      <c r="AL928" s="29"/>
      <c r="AM928" s="29"/>
      <c r="AN928" s="29"/>
      <c r="AO928" s="29"/>
    </row>
    <row r="929" ht="15.75" customHeight="1">
      <c r="AE929" s="29"/>
      <c r="AF929" s="29"/>
      <c r="AG929" s="29"/>
      <c r="AH929" s="29"/>
      <c r="AI929" s="29"/>
      <c r="AJ929" s="29"/>
      <c r="AK929" s="29"/>
      <c r="AL929" s="29"/>
      <c r="AM929" s="29"/>
      <c r="AN929" s="29"/>
      <c r="AO929" s="29"/>
    </row>
    <row r="930" ht="15.75" customHeight="1">
      <c r="AE930" s="29"/>
      <c r="AF930" s="29"/>
      <c r="AG930" s="29"/>
      <c r="AH930" s="29"/>
      <c r="AI930" s="29"/>
      <c r="AJ930" s="29"/>
      <c r="AK930" s="29"/>
      <c r="AL930" s="29"/>
      <c r="AM930" s="29"/>
      <c r="AN930" s="29"/>
      <c r="AO930" s="29"/>
    </row>
    <row r="931" ht="15.75" customHeight="1">
      <c r="AE931" s="29"/>
      <c r="AF931" s="29"/>
      <c r="AG931" s="29"/>
      <c r="AH931" s="29"/>
      <c r="AI931" s="29"/>
      <c r="AJ931" s="29"/>
      <c r="AK931" s="29"/>
      <c r="AL931" s="29"/>
      <c r="AM931" s="29"/>
      <c r="AN931" s="29"/>
      <c r="AO931" s="29"/>
    </row>
    <row r="932" ht="15.75" customHeight="1">
      <c r="AE932" s="29"/>
      <c r="AF932" s="29"/>
      <c r="AG932" s="29"/>
      <c r="AH932" s="29"/>
      <c r="AI932" s="29"/>
      <c r="AJ932" s="29"/>
      <c r="AK932" s="29"/>
      <c r="AL932" s="29"/>
      <c r="AM932" s="29"/>
      <c r="AN932" s="29"/>
      <c r="AO932" s="29"/>
    </row>
    <row r="933" ht="15.75" customHeight="1">
      <c r="AE933" s="29"/>
      <c r="AF933" s="29"/>
      <c r="AG933" s="29"/>
      <c r="AH933" s="29"/>
      <c r="AI933" s="29"/>
      <c r="AJ933" s="29"/>
      <c r="AK933" s="29"/>
      <c r="AL933" s="29"/>
      <c r="AM933" s="29"/>
      <c r="AN933" s="29"/>
      <c r="AO933" s="29"/>
    </row>
    <row r="934" ht="15.75" customHeight="1">
      <c r="AE934" s="29"/>
      <c r="AF934" s="29"/>
      <c r="AG934" s="29"/>
      <c r="AH934" s="29"/>
      <c r="AI934" s="29"/>
      <c r="AJ934" s="29"/>
      <c r="AK934" s="29"/>
      <c r="AL934" s="29"/>
      <c r="AM934" s="29"/>
      <c r="AN934" s="29"/>
      <c r="AO934" s="29"/>
    </row>
    <row r="935" ht="15.75" customHeight="1">
      <c r="AE935" s="29"/>
      <c r="AF935" s="29"/>
      <c r="AG935" s="29"/>
      <c r="AH935" s="29"/>
      <c r="AI935" s="29"/>
      <c r="AJ935" s="29"/>
      <c r="AK935" s="29"/>
      <c r="AL935" s="29"/>
      <c r="AM935" s="29"/>
      <c r="AN935" s="29"/>
      <c r="AO935" s="29"/>
    </row>
    <row r="936" ht="15.75" customHeight="1">
      <c r="AE936" s="29"/>
      <c r="AF936" s="29"/>
      <c r="AG936" s="29"/>
      <c r="AH936" s="29"/>
      <c r="AI936" s="29"/>
      <c r="AJ936" s="29"/>
      <c r="AK936" s="29"/>
      <c r="AL936" s="29"/>
      <c r="AM936" s="29"/>
      <c r="AN936" s="29"/>
      <c r="AO936" s="29"/>
    </row>
    <row r="937" ht="15.75" customHeight="1">
      <c r="AE937" s="29"/>
      <c r="AF937" s="29"/>
      <c r="AG937" s="29"/>
      <c r="AH937" s="29"/>
      <c r="AI937" s="29"/>
      <c r="AJ937" s="29"/>
      <c r="AK937" s="29"/>
      <c r="AL937" s="29"/>
      <c r="AM937" s="29"/>
      <c r="AN937" s="29"/>
      <c r="AO937" s="29"/>
    </row>
    <row r="938" ht="15.75" customHeight="1">
      <c r="AE938" s="29"/>
      <c r="AF938" s="29"/>
      <c r="AG938" s="29"/>
      <c r="AH938" s="29"/>
      <c r="AI938" s="29"/>
      <c r="AJ938" s="29"/>
      <c r="AK938" s="29"/>
      <c r="AL938" s="29"/>
      <c r="AM938" s="29"/>
      <c r="AN938" s="29"/>
      <c r="AO938" s="29"/>
    </row>
    <row r="939" ht="15.75" customHeight="1">
      <c r="AE939" s="29"/>
      <c r="AF939" s="29"/>
      <c r="AG939" s="29"/>
      <c r="AH939" s="29"/>
      <c r="AI939" s="29"/>
      <c r="AJ939" s="29"/>
      <c r="AK939" s="29"/>
      <c r="AL939" s="29"/>
      <c r="AM939" s="29"/>
      <c r="AN939" s="29"/>
      <c r="AO939" s="29"/>
    </row>
    <row r="940" ht="15.75" customHeight="1">
      <c r="AE940" s="29"/>
      <c r="AF940" s="29"/>
      <c r="AG940" s="29"/>
      <c r="AH940" s="29"/>
      <c r="AI940" s="29"/>
      <c r="AJ940" s="29"/>
      <c r="AK940" s="29"/>
      <c r="AL940" s="29"/>
      <c r="AM940" s="29"/>
      <c r="AN940" s="29"/>
      <c r="AO940" s="29"/>
    </row>
    <row r="941" ht="15.75" customHeight="1">
      <c r="AE941" s="29"/>
      <c r="AF941" s="29"/>
      <c r="AG941" s="29"/>
      <c r="AH941" s="29"/>
      <c r="AI941" s="29"/>
      <c r="AJ941" s="29"/>
      <c r="AK941" s="29"/>
      <c r="AL941" s="29"/>
      <c r="AM941" s="29"/>
      <c r="AN941" s="29"/>
      <c r="AO941" s="29"/>
    </row>
    <row r="942" ht="15.75" customHeight="1">
      <c r="AE942" s="29"/>
      <c r="AF942" s="29"/>
      <c r="AG942" s="29"/>
      <c r="AH942" s="29"/>
      <c r="AI942" s="29"/>
      <c r="AJ942" s="29"/>
      <c r="AK942" s="29"/>
      <c r="AL942" s="29"/>
      <c r="AM942" s="29"/>
      <c r="AN942" s="29"/>
      <c r="AO942" s="29"/>
    </row>
    <row r="943" ht="15.75" customHeight="1">
      <c r="AE943" s="29"/>
      <c r="AF943" s="29"/>
      <c r="AG943" s="29"/>
      <c r="AH943" s="29"/>
      <c r="AI943" s="29"/>
      <c r="AJ943" s="29"/>
      <c r="AK943" s="29"/>
      <c r="AL943" s="29"/>
      <c r="AM943" s="29"/>
      <c r="AN943" s="29"/>
      <c r="AO943" s="29"/>
    </row>
    <row r="944" ht="15.75" customHeight="1">
      <c r="AE944" s="29"/>
      <c r="AF944" s="29"/>
      <c r="AG944" s="29"/>
      <c r="AH944" s="29"/>
      <c r="AI944" s="29"/>
      <c r="AJ944" s="29"/>
      <c r="AK944" s="29"/>
      <c r="AL944" s="29"/>
      <c r="AM944" s="29"/>
      <c r="AN944" s="29"/>
      <c r="AO944" s="29"/>
    </row>
    <row r="945" ht="15.75" customHeight="1">
      <c r="AE945" s="29"/>
      <c r="AF945" s="29"/>
      <c r="AG945" s="29"/>
      <c r="AH945" s="29"/>
      <c r="AI945" s="29"/>
      <c r="AJ945" s="29"/>
      <c r="AK945" s="29"/>
      <c r="AL945" s="29"/>
      <c r="AM945" s="29"/>
      <c r="AN945" s="29"/>
      <c r="AO945" s="29"/>
    </row>
    <row r="946" ht="15.75" customHeight="1">
      <c r="AE946" s="29"/>
      <c r="AF946" s="29"/>
      <c r="AG946" s="29"/>
      <c r="AH946" s="29"/>
      <c r="AI946" s="29"/>
      <c r="AJ946" s="29"/>
      <c r="AK946" s="29"/>
      <c r="AL946" s="29"/>
      <c r="AM946" s="29"/>
      <c r="AN946" s="29"/>
      <c r="AO946" s="29"/>
    </row>
    <row r="947" ht="15.75" customHeight="1">
      <c r="AE947" s="29"/>
      <c r="AF947" s="29"/>
      <c r="AG947" s="29"/>
      <c r="AH947" s="29"/>
      <c r="AI947" s="29"/>
      <c r="AJ947" s="29"/>
      <c r="AK947" s="29"/>
      <c r="AL947" s="29"/>
      <c r="AM947" s="29"/>
      <c r="AN947" s="29"/>
      <c r="AO947" s="29"/>
    </row>
    <row r="948" ht="15.75" customHeight="1">
      <c r="AE948" s="29"/>
      <c r="AF948" s="29"/>
      <c r="AG948" s="29"/>
      <c r="AH948" s="29"/>
      <c r="AI948" s="29"/>
      <c r="AJ948" s="29"/>
      <c r="AK948" s="29"/>
      <c r="AL948" s="29"/>
      <c r="AM948" s="29"/>
      <c r="AN948" s="29"/>
      <c r="AO948" s="29"/>
    </row>
    <row r="949" ht="15.75" customHeight="1">
      <c r="AE949" s="29"/>
      <c r="AF949" s="29"/>
      <c r="AG949" s="29"/>
      <c r="AH949" s="29"/>
      <c r="AI949" s="29"/>
      <c r="AJ949" s="29"/>
      <c r="AK949" s="29"/>
      <c r="AL949" s="29"/>
      <c r="AM949" s="29"/>
      <c r="AN949" s="29"/>
      <c r="AO949" s="29"/>
    </row>
    <row r="950" ht="15.75" customHeight="1">
      <c r="AE950" s="29"/>
      <c r="AF950" s="29"/>
      <c r="AG950" s="29"/>
      <c r="AH950" s="29"/>
      <c r="AI950" s="29"/>
      <c r="AJ950" s="29"/>
      <c r="AK950" s="29"/>
      <c r="AL950" s="29"/>
      <c r="AM950" s="29"/>
      <c r="AN950" s="29"/>
      <c r="AO950" s="29"/>
    </row>
    <row r="951" ht="15.75" customHeight="1">
      <c r="AE951" s="29"/>
      <c r="AF951" s="29"/>
      <c r="AG951" s="29"/>
      <c r="AH951" s="29"/>
      <c r="AI951" s="29"/>
      <c r="AJ951" s="29"/>
      <c r="AK951" s="29"/>
      <c r="AL951" s="29"/>
      <c r="AM951" s="29"/>
      <c r="AN951" s="29"/>
      <c r="AO951" s="29"/>
    </row>
    <row r="952" ht="15.75" customHeight="1">
      <c r="AE952" s="29"/>
      <c r="AF952" s="29"/>
      <c r="AG952" s="29"/>
      <c r="AH952" s="29"/>
      <c r="AI952" s="29"/>
      <c r="AJ952" s="29"/>
      <c r="AK952" s="29"/>
      <c r="AL952" s="29"/>
      <c r="AM952" s="29"/>
      <c r="AN952" s="29"/>
      <c r="AO952" s="29"/>
    </row>
    <row r="953" ht="15.75" customHeight="1">
      <c r="AE953" s="29"/>
      <c r="AF953" s="29"/>
      <c r="AG953" s="29"/>
      <c r="AH953" s="29"/>
      <c r="AI953" s="29"/>
      <c r="AJ953" s="29"/>
      <c r="AK953" s="29"/>
      <c r="AL953" s="29"/>
      <c r="AM953" s="29"/>
      <c r="AN953" s="29"/>
      <c r="AO953" s="29"/>
    </row>
    <row r="954" ht="15.75" customHeight="1">
      <c r="AE954" s="29"/>
      <c r="AF954" s="29"/>
      <c r="AG954" s="29"/>
      <c r="AH954" s="29"/>
      <c r="AI954" s="29"/>
      <c r="AJ954" s="29"/>
      <c r="AK954" s="29"/>
      <c r="AL954" s="29"/>
      <c r="AM954" s="29"/>
      <c r="AN954" s="29"/>
      <c r="AO954" s="29"/>
    </row>
    <row r="955" ht="15.75" customHeight="1">
      <c r="AE955" s="29"/>
      <c r="AF955" s="29"/>
      <c r="AG955" s="29"/>
      <c r="AH955" s="29"/>
      <c r="AI955" s="29"/>
      <c r="AJ955" s="29"/>
      <c r="AK955" s="29"/>
      <c r="AL955" s="29"/>
      <c r="AM955" s="29"/>
      <c r="AN955" s="29"/>
      <c r="AO955" s="29"/>
    </row>
    <row r="956" ht="15.75" customHeight="1">
      <c r="AE956" s="29"/>
      <c r="AF956" s="29"/>
      <c r="AG956" s="29"/>
      <c r="AH956" s="29"/>
      <c r="AI956" s="29"/>
      <c r="AJ956" s="29"/>
      <c r="AK956" s="29"/>
      <c r="AL956" s="29"/>
      <c r="AM956" s="29"/>
      <c r="AN956" s="29"/>
      <c r="AO956" s="29"/>
    </row>
    <row r="957" ht="15.75" customHeight="1">
      <c r="AE957" s="29"/>
      <c r="AF957" s="29"/>
      <c r="AG957" s="29"/>
      <c r="AH957" s="29"/>
      <c r="AI957" s="29"/>
      <c r="AJ957" s="29"/>
      <c r="AK957" s="29"/>
      <c r="AL957" s="29"/>
      <c r="AM957" s="29"/>
      <c r="AN957" s="29"/>
      <c r="AO957" s="29"/>
    </row>
    <row r="958" ht="15.75" customHeight="1">
      <c r="AE958" s="29"/>
      <c r="AF958" s="29"/>
      <c r="AG958" s="29"/>
      <c r="AH958" s="29"/>
      <c r="AI958" s="29"/>
      <c r="AJ958" s="29"/>
      <c r="AK958" s="29"/>
      <c r="AL958" s="29"/>
      <c r="AM958" s="29"/>
      <c r="AN958" s="29"/>
      <c r="AO958" s="29"/>
    </row>
    <row r="959" ht="15.75" customHeight="1">
      <c r="AE959" s="29"/>
      <c r="AF959" s="29"/>
      <c r="AG959" s="29"/>
      <c r="AH959" s="29"/>
      <c r="AI959" s="29"/>
      <c r="AJ959" s="29"/>
      <c r="AK959" s="29"/>
      <c r="AL959" s="29"/>
      <c r="AM959" s="29"/>
      <c r="AN959" s="29"/>
      <c r="AO959" s="29"/>
    </row>
    <row r="960" ht="15.75" customHeight="1">
      <c r="AE960" s="29"/>
      <c r="AF960" s="29"/>
      <c r="AG960" s="29"/>
      <c r="AH960" s="29"/>
      <c r="AI960" s="29"/>
      <c r="AJ960" s="29"/>
      <c r="AK960" s="29"/>
      <c r="AL960" s="29"/>
      <c r="AM960" s="29"/>
      <c r="AN960" s="29"/>
      <c r="AO960" s="29"/>
    </row>
    <row r="961" ht="15.75" customHeight="1">
      <c r="AE961" s="29"/>
      <c r="AF961" s="29"/>
      <c r="AG961" s="29"/>
      <c r="AH961" s="29"/>
      <c r="AI961" s="29"/>
      <c r="AJ961" s="29"/>
      <c r="AK961" s="29"/>
      <c r="AL961" s="29"/>
      <c r="AM961" s="29"/>
      <c r="AN961" s="29"/>
      <c r="AO961" s="29"/>
    </row>
    <row r="962" ht="15.75" customHeight="1">
      <c r="AE962" s="29"/>
      <c r="AF962" s="29"/>
      <c r="AG962" s="29"/>
      <c r="AH962" s="29"/>
      <c r="AI962" s="29"/>
      <c r="AJ962" s="29"/>
      <c r="AK962" s="29"/>
      <c r="AL962" s="29"/>
      <c r="AM962" s="29"/>
      <c r="AN962" s="29"/>
      <c r="AO962" s="29"/>
    </row>
    <row r="963" ht="15.75" customHeight="1">
      <c r="AE963" s="29"/>
      <c r="AF963" s="29"/>
      <c r="AG963" s="29"/>
      <c r="AH963" s="29"/>
      <c r="AI963" s="29"/>
      <c r="AJ963" s="29"/>
      <c r="AK963" s="29"/>
      <c r="AL963" s="29"/>
      <c r="AM963" s="29"/>
      <c r="AN963" s="29"/>
      <c r="AO963" s="29"/>
    </row>
    <row r="964" ht="15.75" customHeight="1">
      <c r="AE964" s="29"/>
      <c r="AF964" s="29"/>
      <c r="AG964" s="29"/>
      <c r="AH964" s="29"/>
      <c r="AI964" s="29"/>
      <c r="AJ964" s="29"/>
      <c r="AK964" s="29"/>
      <c r="AL964" s="29"/>
      <c r="AM964" s="29"/>
      <c r="AN964" s="29"/>
      <c r="AO964" s="29"/>
    </row>
    <row r="965" ht="15.75" customHeight="1">
      <c r="AE965" s="29"/>
      <c r="AF965" s="29"/>
      <c r="AG965" s="29"/>
      <c r="AH965" s="29"/>
      <c r="AI965" s="29"/>
      <c r="AJ965" s="29"/>
      <c r="AK965" s="29"/>
      <c r="AL965" s="29"/>
      <c r="AM965" s="29"/>
      <c r="AN965" s="29"/>
      <c r="AO965" s="29"/>
    </row>
    <row r="966" ht="15.75" customHeight="1">
      <c r="AE966" s="29"/>
      <c r="AF966" s="29"/>
      <c r="AG966" s="29"/>
      <c r="AH966" s="29"/>
      <c r="AI966" s="29"/>
      <c r="AJ966" s="29"/>
      <c r="AK966" s="29"/>
      <c r="AL966" s="29"/>
      <c r="AM966" s="29"/>
      <c r="AN966" s="29"/>
      <c r="AO966" s="29"/>
    </row>
    <row r="967" ht="15.75" customHeight="1">
      <c r="AE967" s="29"/>
      <c r="AF967" s="29"/>
      <c r="AG967" s="29"/>
      <c r="AH967" s="29"/>
      <c r="AI967" s="29"/>
      <c r="AJ967" s="29"/>
      <c r="AK967" s="29"/>
      <c r="AL967" s="29"/>
      <c r="AM967" s="29"/>
      <c r="AN967" s="29"/>
      <c r="AO967" s="29"/>
    </row>
    <row r="968" ht="15.75" customHeight="1">
      <c r="AE968" s="29"/>
      <c r="AF968" s="29"/>
      <c r="AG968" s="29"/>
      <c r="AH968" s="29"/>
      <c r="AI968" s="29"/>
      <c r="AJ968" s="29"/>
      <c r="AK968" s="29"/>
      <c r="AL968" s="29"/>
      <c r="AM968" s="29"/>
      <c r="AN968" s="29"/>
      <c r="AO968" s="29"/>
    </row>
    <row r="969" ht="15.75" customHeight="1">
      <c r="AE969" s="29"/>
      <c r="AF969" s="29"/>
      <c r="AG969" s="29"/>
      <c r="AH969" s="29"/>
      <c r="AI969" s="29"/>
      <c r="AJ969" s="29"/>
      <c r="AK969" s="29"/>
      <c r="AL969" s="29"/>
      <c r="AM969" s="29"/>
      <c r="AN969" s="29"/>
      <c r="AO969" s="29"/>
    </row>
    <row r="970" ht="15.75" customHeight="1">
      <c r="AE970" s="29"/>
      <c r="AF970" s="29"/>
      <c r="AG970" s="29"/>
      <c r="AH970" s="29"/>
      <c r="AI970" s="29"/>
      <c r="AJ970" s="29"/>
      <c r="AK970" s="29"/>
      <c r="AL970" s="29"/>
      <c r="AM970" s="29"/>
      <c r="AN970" s="29"/>
      <c r="AO970" s="29"/>
    </row>
    <row r="971" ht="15.75" customHeight="1">
      <c r="AE971" s="29"/>
      <c r="AF971" s="29"/>
      <c r="AG971" s="29"/>
      <c r="AH971" s="29"/>
      <c r="AI971" s="29"/>
      <c r="AJ971" s="29"/>
      <c r="AK971" s="29"/>
      <c r="AL971" s="29"/>
      <c r="AM971" s="29"/>
      <c r="AN971" s="29"/>
      <c r="AO971" s="29"/>
    </row>
    <row r="972" ht="15.75" customHeight="1">
      <c r="AE972" s="29"/>
      <c r="AF972" s="29"/>
      <c r="AG972" s="29"/>
      <c r="AH972" s="29"/>
      <c r="AI972" s="29"/>
      <c r="AJ972" s="29"/>
      <c r="AK972" s="29"/>
      <c r="AL972" s="29"/>
      <c r="AM972" s="29"/>
      <c r="AN972" s="29"/>
      <c r="AO972" s="29"/>
    </row>
    <row r="973" ht="15.75" customHeight="1">
      <c r="AE973" s="29"/>
      <c r="AF973" s="29"/>
      <c r="AG973" s="29"/>
      <c r="AH973" s="29"/>
      <c r="AI973" s="29"/>
      <c r="AJ973" s="29"/>
      <c r="AK973" s="29"/>
      <c r="AL973" s="29"/>
      <c r="AM973" s="29"/>
      <c r="AN973" s="29"/>
      <c r="AO973" s="29"/>
    </row>
    <row r="974" ht="15.75" customHeight="1">
      <c r="AE974" s="29"/>
      <c r="AF974" s="29"/>
      <c r="AG974" s="29"/>
      <c r="AH974" s="29"/>
      <c r="AI974" s="29"/>
      <c r="AJ974" s="29"/>
      <c r="AK974" s="29"/>
      <c r="AL974" s="29"/>
      <c r="AM974" s="29"/>
      <c r="AN974" s="29"/>
      <c r="AO974" s="29"/>
    </row>
    <row r="975" ht="15.75" customHeight="1">
      <c r="AE975" s="29"/>
      <c r="AF975" s="29"/>
      <c r="AG975" s="29"/>
      <c r="AH975" s="29"/>
      <c r="AI975" s="29"/>
      <c r="AJ975" s="29"/>
      <c r="AK975" s="29"/>
      <c r="AL975" s="29"/>
      <c r="AM975" s="29"/>
      <c r="AN975" s="29"/>
      <c r="AO975" s="29"/>
    </row>
    <row r="976" ht="15.75" customHeight="1">
      <c r="AE976" s="29"/>
      <c r="AF976" s="29"/>
      <c r="AG976" s="29"/>
      <c r="AH976" s="29"/>
      <c r="AI976" s="29"/>
      <c r="AJ976" s="29"/>
      <c r="AK976" s="29"/>
      <c r="AL976" s="29"/>
      <c r="AM976" s="29"/>
      <c r="AN976" s="29"/>
      <c r="AO976" s="29"/>
    </row>
    <row r="977" ht="15.75" customHeight="1">
      <c r="AE977" s="29"/>
      <c r="AF977" s="29"/>
      <c r="AG977" s="29"/>
      <c r="AH977" s="29"/>
      <c r="AI977" s="29"/>
      <c r="AJ977" s="29"/>
      <c r="AK977" s="29"/>
      <c r="AL977" s="29"/>
      <c r="AM977" s="29"/>
      <c r="AN977" s="29"/>
      <c r="AO977" s="29"/>
    </row>
    <row r="978" ht="15.75" customHeight="1">
      <c r="AE978" s="29"/>
      <c r="AF978" s="29"/>
      <c r="AG978" s="29"/>
      <c r="AH978" s="29"/>
      <c r="AI978" s="29"/>
      <c r="AJ978" s="29"/>
      <c r="AK978" s="29"/>
      <c r="AL978" s="29"/>
      <c r="AM978" s="29"/>
      <c r="AN978" s="29"/>
      <c r="AO978" s="29"/>
    </row>
    <row r="979" ht="15.75" customHeight="1">
      <c r="AE979" s="29"/>
      <c r="AF979" s="29"/>
      <c r="AG979" s="29"/>
      <c r="AH979" s="29"/>
      <c r="AI979" s="29"/>
      <c r="AJ979" s="29"/>
      <c r="AK979" s="29"/>
      <c r="AL979" s="29"/>
      <c r="AM979" s="29"/>
      <c r="AN979" s="29"/>
      <c r="AO979" s="29"/>
    </row>
    <row r="980" ht="15.75" customHeight="1">
      <c r="AE980" s="29"/>
      <c r="AF980" s="29"/>
      <c r="AG980" s="29"/>
      <c r="AH980" s="29"/>
      <c r="AI980" s="29"/>
      <c r="AJ980" s="29"/>
      <c r="AK980" s="29"/>
      <c r="AL980" s="29"/>
      <c r="AM980" s="29"/>
      <c r="AN980" s="29"/>
      <c r="AO980" s="29"/>
    </row>
    <row r="981" ht="15.75" customHeight="1">
      <c r="AE981" s="29"/>
      <c r="AF981" s="29"/>
      <c r="AG981" s="29"/>
      <c r="AH981" s="29"/>
      <c r="AI981" s="29"/>
      <c r="AJ981" s="29"/>
      <c r="AK981" s="29"/>
      <c r="AL981" s="29"/>
      <c r="AM981" s="29"/>
      <c r="AN981" s="29"/>
      <c r="AO981" s="29"/>
    </row>
    <row r="982" ht="15.75" customHeight="1">
      <c r="AE982" s="29"/>
      <c r="AF982" s="29"/>
      <c r="AG982" s="29"/>
      <c r="AH982" s="29"/>
      <c r="AI982" s="29"/>
      <c r="AJ982" s="29"/>
      <c r="AK982" s="29"/>
      <c r="AL982" s="29"/>
      <c r="AM982" s="29"/>
      <c r="AN982" s="29"/>
      <c r="AO982" s="29"/>
    </row>
    <row r="983" ht="15.75" customHeight="1">
      <c r="AE983" s="29"/>
      <c r="AF983" s="29"/>
      <c r="AG983" s="29"/>
      <c r="AH983" s="29"/>
      <c r="AI983" s="29"/>
      <c r="AJ983" s="29"/>
      <c r="AK983" s="29"/>
      <c r="AL983" s="29"/>
      <c r="AM983" s="29"/>
      <c r="AN983" s="29"/>
      <c r="AO983" s="29"/>
    </row>
    <row r="984" ht="15.75" customHeight="1">
      <c r="AE984" s="29"/>
      <c r="AF984" s="29"/>
      <c r="AG984" s="29"/>
      <c r="AH984" s="29"/>
      <c r="AI984" s="29"/>
      <c r="AJ984" s="29"/>
      <c r="AK984" s="29"/>
      <c r="AL984" s="29"/>
      <c r="AM984" s="29"/>
      <c r="AN984" s="29"/>
      <c r="AO984" s="29"/>
    </row>
    <row r="985" ht="15.75" customHeight="1">
      <c r="AE985" s="29"/>
      <c r="AF985" s="29"/>
      <c r="AG985" s="29"/>
      <c r="AH985" s="29"/>
      <c r="AI985" s="29"/>
      <c r="AJ985" s="29"/>
      <c r="AK985" s="29"/>
      <c r="AL985" s="29"/>
      <c r="AM985" s="29"/>
      <c r="AN985" s="29"/>
      <c r="AO985" s="29"/>
    </row>
    <row r="986" ht="15.75" customHeight="1">
      <c r="AE986" s="29"/>
      <c r="AF986" s="29"/>
      <c r="AG986" s="29"/>
      <c r="AH986" s="29"/>
      <c r="AI986" s="29"/>
      <c r="AJ986" s="29"/>
      <c r="AK986" s="29"/>
      <c r="AL986" s="29"/>
      <c r="AM986" s="29"/>
      <c r="AN986" s="29"/>
      <c r="AO986" s="29"/>
    </row>
    <row r="987" ht="15.75" customHeight="1">
      <c r="AE987" s="29"/>
      <c r="AF987" s="29"/>
      <c r="AG987" s="29"/>
      <c r="AH987" s="29"/>
      <c r="AI987" s="29"/>
      <c r="AJ987" s="29"/>
      <c r="AK987" s="29"/>
      <c r="AL987" s="29"/>
      <c r="AM987" s="29"/>
      <c r="AN987" s="29"/>
      <c r="AO987" s="29"/>
    </row>
    <row r="988" ht="15.75" customHeight="1">
      <c r="AE988" s="29"/>
      <c r="AF988" s="29"/>
      <c r="AG988" s="29"/>
      <c r="AH988" s="29"/>
      <c r="AI988" s="29"/>
      <c r="AJ988" s="29"/>
      <c r="AK988" s="29"/>
      <c r="AL988" s="29"/>
      <c r="AM988" s="29"/>
      <c r="AN988" s="29"/>
      <c r="AO988" s="29"/>
    </row>
    <row r="989" ht="15.75" customHeight="1">
      <c r="AE989" s="29"/>
      <c r="AF989" s="29"/>
      <c r="AG989" s="29"/>
      <c r="AH989" s="29"/>
      <c r="AI989" s="29"/>
      <c r="AJ989" s="29"/>
      <c r="AK989" s="29"/>
      <c r="AL989" s="29"/>
      <c r="AM989" s="29"/>
      <c r="AN989" s="29"/>
      <c r="AO989" s="29"/>
    </row>
    <row r="990" ht="15.75" customHeight="1">
      <c r="AE990" s="29"/>
      <c r="AF990" s="29"/>
      <c r="AG990" s="29"/>
      <c r="AH990" s="29"/>
      <c r="AI990" s="29"/>
      <c r="AJ990" s="29"/>
      <c r="AK990" s="29"/>
      <c r="AL990" s="29"/>
      <c r="AM990" s="29"/>
      <c r="AN990" s="29"/>
      <c r="AO990" s="29"/>
    </row>
    <row r="991" ht="15.75" customHeight="1">
      <c r="AE991" s="29"/>
      <c r="AF991" s="29"/>
      <c r="AG991" s="29"/>
      <c r="AH991" s="29"/>
      <c r="AI991" s="29"/>
      <c r="AJ991" s="29"/>
      <c r="AK991" s="29"/>
      <c r="AL991" s="29"/>
      <c r="AM991" s="29"/>
      <c r="AN991" s="29"/>
      <c r="AO991" s="29"/>
    </row>
    <row r="992" ht="15.75" customHeight="1">
      <c r="AE992" s="29"/>
      <c r="AF992" s="29"/>
      <c r="AG992" s="29"/>
      <c r="AH992" s="29"/>
      <c r="AI992" s="29"/>
      <c r="AJ992" s="29"/>
      <c r="AK992" s="29"/>
      <c r="AL992" s="29"/>
      <c r="AM992" s="29"/>
      <c r="AN992" s="29"/>
      <c r="AO992" s="29"/>
    </row>
    <row r="993" ht="15.75" customHeight="1">
      <c r="AE993" s="29"/>
      <c r="AF993" s="29"/>
      <c r="AG993" s="29"/>
      <c r="AH993" s="29"/>
      <c r="AI993" s="29"/>
      <c r="AJ993" s="29"/>
      <c r="AK993" s="29"/>
      <c r="AL993" s="29"/>
      <c r="AM993" s="29"/>
      <c r="AN993" s="29"/>
      <c r="AO993" s="29"/>
    </row>
    <row r="994" ht="15.75" customHeight="1">
      <c r="AE994" s="29"/>
      <c r="AF994" s="29"/>
      <c r="AG994" s="29"/>
      <c r="AH994" s="29"/>
      <c r="AI994" s="29"/>
      <c r="AJ994" s="29"/>
      <c r="AK994" s="29"/>
      <c r="AL994" s="29"/>
      <c r="AM994" s="29"/>
      <c r="AN994" s="29"/>
      <c r="AO994" s="29"/>
    </row>
    <row r="995" ht="15.75" customHeight="1">
      <c r="AE995" s="29"/>
      <c r="AF995" s="29"/>
      <c r="AG995" s="29"/>
      <c r="AH995" s="29"/>
      <c r="AI995" s="29"/>
      <c r="AJ995" s="29"/>
      <c r="AK995" s="29"/>
      <c r="AL995" s="29"/>
      <c r="AM995" s="29"/>
      <c r="AN995" s="29"/>
      <c r="AO995" s="29"/>
    </row>
    <row r="996" ht="15.75" customHeight="1">
      <c r="AE996" s="29"/>
      <c r="AF996" s="29"/>
      <c r="AG996" s="29"/>
      <c r="AH996" s="29"/>
      <c r="AI996" s="29"/>
      <c r="AJ996" s="29"/>
      <c r="AK996" s="29"/>
      <c r="AL996" s="29"/>
      <c r="AM996" s="29"/>
      <c r="AN996" s="29"/>
      <c r="AO996" s="29"/>
    </row>
    <row r="997" ht="15.75" customHeight="1">
      <c r="AE997" s="29"/>
      <c r="AF997" s="29"/>
      <c r="AG997" s="29"/>
      <c r="AH997" s="29"/>
      <c r="AI997" s="29"/>
      <c r="AJ997" s="29"/>
      <c r="AK997" s="29"/>
      <c r="AL997" s="29"/>
      <c r="AM997" s="29"/>
      <c r="AN997" s="29"/>
      <c r="AO997" s="29"/>
    </row>
    <row r="998" ht="15.75" customHeight="1">
      <c r="AE998" s="29"/>
      <c r="AF998" s="29"/>
      <c r="AG998" s="29"/>
      <c r="AH998" s="29"/>
      <c r="AI998" s="29"/>
      <c r="AJ998" s="29"/>
      <c r="AK998" s="29"/>
      <c r="AL998" s="29"/>
      <c r="AM998" s="29"/>
      <c r="AN998" s="29"/>
      <c r="AO998" s="29"/>
    </row>
    <row r="999" ht="15.75" customHeight="1">
      <c r="AE999" s="29"/>
      <c r="AF999" s="29"/>
      <c r="AG999" s="29"/>
      <c r="AH999" s="29"/>
      <c r="AI999" s="29"/>
      <c r="AJ999" s="29"/>
      <c r="AK999" s="29"/>
      <c r="AL999" s="29"/>
      <c r="AM999" s="29"/>
      <c r="AN999" s="29"/>
      <c r="AO999" s="29"/>
    </row>
    <row r="1000" ht="15.75" customHeight="1">
      <c r="AE1000" s="29"/>
      <c r="AF1000" s="29"/>
      <c r="AG1000" s="29"/>
      <c r="AH1000" s="29"/>
      <c r="AI1000" s="29"/>
      <c r="AJ1000" s="29"/>
      <c r="AK1000" s="29"/>
      <c r="AL1000" s="29"/>
      <c r="AM1000" s="29"/>
      <c r="AN1000" s="29"/>
      <c r="AO1000" s="29"/>
    </row>
  </sheetData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5.75"/>
    <col customWidth="1" min="2" max="2" width="18.63"/>
    <col customWidth="1" min="3" max="3" width="14.75"/>
    <col customWidth="1" min="4" max="6" width="9.38"/>
    <col customWidth="1" min="7" max="26" width="8.63"/>
    <col customWidth="1" min="27" max="29" width="10.25"/>
    <col customWidth="1" min="30" max="30" width="8.63"/>
    <col customWidth="1" min="31" max="33" width="10.25"/>
    <col customWidth="1" min="34" max="35" width="8.63"/>
    <col customWidth="1" min="36" max="38" width="10.25"/>
    <col customWidth="1" min="39" max="42" width="8.63"/>
    <col customWidth="1" min="43" max="45" width="10.25"/>
    <col customWidth="1" min="46" max="47" width="9.38"/>
    <col customWidth="1" min="48" max="50" width="10.38"/>
    <col customWidth="1" min="51" max="51" width="8.63"/>
    <col customWidth="1" min="52" max="54" width="10.38"/>
  </cols>
  <sheetData>
    <row r="1">
      <c r="A1" s="1" t="s">
        <v>0</v>
      </c>
      <c r="B1" s="2" t="s">
        <v>1</v>
      </c>
      <c r="C1" s="4">
        <v>45662.0</v>
      </c>
      <c r="D1" s="4">
        <v>45669.0</v>
      </c>
      <c r="E1" s="4">
        <v>45676.0</v>
      </c>
      <c r="F1" s="4">
        <v>45683.0</v>
      </c>
      <c r="G1" s="4">
        <v>45690.0</v>
      </c>
      <c r="H1" s="4">
        <v>45697.0</v>
      </c>
      <c r="I1" s="4">
        <v>45704.0</v>
      </c>
      <c r="J1" s="4">
        <v>45711.0</v>
      </c>
      <c r="K1" s="4">
        <v>45718.0</v>
      </c>
      <c r="L1" s="4">
        <v>45725.0</v>
      </c>
      <c r="M1" s="4">
        <v>45732.0</v>
      </c>
      <c r="N1" s="4">
        <v>45739.0</v>
      </c>
      <c r="O1" s="4">
        <v>45746.0</v>
      </c>
      <c r="P1" s="4">
        <v>45753.0</v>
      </c>
      <c r="Q1" s="4">
        <v>45760.0</v>
      </c>
      <c r="R1" s="4">
        <v>45767.0</v>
      </c>
      <c r="S1" s="4">
        <v>45774.0</v>
      </c>
      <c r="T1" s="4">
        <v>45781.0</v>
      </c>
      <c r="U1" s="4">
        <v>45788.0</v>
      </c>
      <c r="V1" s="4">
        <v>45795.0</v>
      </c>
      <c r="W1" s="4">
        <v>45802.0</v>
      </c>
      <c r="X1" s="4">
        <v>45809.0</v>
      </c>
      <c r="Y1" s="4">
        <v>45816.0</v>
      </c>
      <c r="Z1" s="4">
        <v>45823.0</v>
      </c>
      <c r="AA1" s="4">
        <v>45830.0</v>
      </c>
      <c r="AB1" s="4">
        <v>45837.0</v>
      </c>
      <c r="AC1" s="4">
        <v>45844.0</v>
      </c>
      <c r="AD1" s="4">
        <v>45851.0</v>
      </c>
      <c r="AE1" s="4">
        <v>45858.0</v>
      </c>
      <c r="AF1" s="4">
        <v>45865.0</v>
      </c>
      <c r="AG1" s="4">
        <v>45872.0</v>
      </c>
      <c r="AH1" s="4">
        <v>45879.0</v>
      </c>
      <c r="AI1" s="4">
        <v>45886.0</v>
      </c>
      <c r="AJ1" s="4">
        <v>45893.0</v>
      </c>
      <c r="AK1" s="4">
        <v>45900.0</v>
      </c>
      <c r="AL1" s="4">
        <v>45907.0</v>
      </c>
      <c r="AM1" s="4">
        <v>45914.0</v>
      </c>
      <c r="AN1" s="4">
        <v>45921.0</v>
      </c>
      <c r="AO1" s="4">
        <v>45928.0</v>
      </c>
      <c r="AP1" s="4">
        <v>45935.0</v>
      </c>
      <c r="AQ1" s="4">
        <v>45942.0</v>
      </c>
      <c r="AR1" s="9">
        <v>45949.0</v>
      </c>
      <c r="AS1" s="9">
        <v>45956.0</v>
      </c>
      <c r="AT1" s="9">
        <v>45963.0</v>
      </c>
      <c r="AU1" s="9">
        <v>45970.0</v>
      </c>
      <c r="AV1" s="9">
        <v>45977.0</v>
      </c>
      <c r="AW1" s="9">
        <v>45984.0</v>
      </c>
      <c r="AX1" s="9">
        <v>45991.0</v>
      </c>
      <c r="AY1" s="9">
        <v>45998.0</v>
      </c>
      <c r="AZ1" s="9">
        <v>46005.0</v>
      </c>
      <c r="BA1" s="9">
        <v>46012.0</v>
      </c>
      <c r="BB1" s="9">
        <v>46019.0</v>
      </c>
    </row>
    <row r="2">
      <c r="A2" s="1">
        <v>16.0</v>
      </c>
      <c r="B2" s="7">
        <f>SUM(B3:B317)</f>
        <v>1042.75</v>
      </c>
      <c r="C2" s="8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</row>
    <row r="3">
      <c r="A3" s="11" t="s">
        <v>3</v>
      </c>
      <c r="B3" s="8">
        <f t="shared" ref="B3:B28" si="1">SUM(C3:CA3)</f>
        <v>84</v>
      </c>
      <c r="C3" s="8"/>
      <c r="D3" s="8">
        <v>2.0</v>
      </c>
      <c r="E3" s="8">
        <v>3.0</v>
      </c>
      <c r="F3" s="8">
        <v>3.0</v>
      </c>
      <c r="G3" s="8">
        <v>3.0</v>
      </c>
      <c r="H3" s="8">
        <v>3.0</v>
      </c>
      <c r="I3" s="8">
        <v>3.0</v>
      </c>
      <c r="J3" s="8"/>
      <c r="K3" s="8">
        <v>3.0</v>
      </c>
      <c r="L3" s="8">
        <v>3.0</v>
      </c>
      <c r="M3" s="8">
        <v>3.0</v>
      </c>
      <c r="N3" s="8">
        <v>3.0</v>
      </c>
      <c r="O3" s="8">
        <v>3.0</v>
      </c>
      <c r="P3" s="8"/>
      <c r="Q3" s="8"/>
      <c r="R3" s="8">
        <v>2.5</v>
      </c>
      <c r="S3" s="8">
        <v>3.0</v>
      </c>
      <c r="T3" s="8">
        <v>3.5</v>
      </c>
      <c r="U3" s="8">
        <v>5.0</v>
      </c>
      <c r="V3" s="8">
        <v>4.0</v>
      </c>
      <c r="W3" s="8">
        <v>2.0</v>
      </c>
      <c r="X3" s="8">
        <v>2.5</v>
      </c>
      <c r="Y3" s="8">
        <v>2.25</v>
      </c>
      <c r="Z3" s="8">
        <v>2.5</v>
      </c>
      <c r="AA3" s="8"/>
      <c r="AB3" s="8">
        <v>2.0</v>
      </c>
      <c r="AC3" s="8"/>
      <c r="AD3" s="8">
        <v>2.0</v>
      </c>
      <c r="AE3" s="8"/>
      <c r="AF3" s="8"/>
      <c r="AG3" s="8">
        <v>2.5</v>
      </c>
      <c r="AH3" s="8">
        <v>1.0</v>
      </c>
      <c r="AI3" s="8"/>
      <c r="AJ3" s="8">
        <v>1.5</v>
      </c>
      <c r="AK3" s="8">
        <v>3.0</v>
      </c>
      <c r="AL3" s="8">
        <v>2.0</v>
      </c>
      <c r="AM3" s="8">
        <v>1.0</v>
      </c>
      <c r="AN3" s="8">
        <v>2.0</v>
      </c>
      <c r="AO3" s="8">
        <v>2.75</v>
      </c>
      <c r="AP3" s="8"/>
      <c r="AQ3" s="20">
        <v>2.5</v>
      </c>
      <c r="AR3" s="8"/>
      <c r="AS3" s="8"/>
      <c r="AT3" s="8"/>
      <c r="AU3" s="8"/>
      <c r="AV3" s="8"/>
      <c r="AW3" s="8"/>
      <c r="AX3" s="20">
        <v>2.5</v>
      </c>
      <c r="AY3" s="8"/>
      <c r="AZ3" s="8"/>
      <c r="BA3" s="20" t="s">
        <v>236</v>
      </c>
      <c r="BB3" s="8"/>
    </row>
    <row r="4">
      <c r="A4" s="11" t="s">
        <v>6</v>
      </c>
      <c r="B4" s="8">
        <f t="shared" si="1"/>
        <v>45</v>
      </c>
      <c r="C4" s="8">
        <v>3.0</v>
      </c>
      <c r="D4" s="8">
        <v>3.0</v>
      </c>
      <c r="E4" s="8">
        <v>3.0</v>
      </c>
      <c r="F4" s="8">
        <v>3.0</v>
      </c>
      <c r="G4" s="8">
        <v>3.0</v>
      </c>
      <c r="H4" s="8"/>
      <c r="I4" s="8">
        <v>3.0</v>
      </c>
      <c r="J4" s="8">
        <v>3.0</v>
      </c>
      <c r="K4" s="8">
        <v>3.0</v>
      </c>
      <c r="L4" s="8">
        <v>3.0</v>
      </c>
      <c r="M4" s="8">
        <v>3.0</v>
      </c>
      <c r="N4" s="8">
        <v>3.0</v>
      </c>
      <c r="O4" s="8"/>
      <c r="P4" s="8">
        <v>3.0</v>
      </c>
      <c r="Q4" s="8">
        <v>3.0</v>
      </c>
      <c r="R4" s="8"/>
      <c r="S4" s="8"/>
      <c r="T4" s="8"/>
      <c r="U4" s="8">
        <v>5.0</v>
      </c>
      <c r="V4" s="8"/>
      <c r="W4" s="8"/>
      <c r="X4" s="8"/>
      <c r="Y4" s="8"/>
      <c r="Z4" s="8">
        <v>1.0</v>
      </c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8"/>
      <c r="AR4" s="8"/>
      <c r="AS4" s="8"/>
      <c r="AT4" s="8"/>
      <c r="AU4" s="8"/>
      <c r="AV4" s="8"/>
      <c r="AW4" s="8"/>
      <c r="AX4" s="8"/>
      <c r="AY4" s="8"/>
      <c r="AZ4" s="20"/>
      <c r="BA4" s="20"/>
      <c r="BB4" s="8"/>
    </row>
    <row r="5">
      <c r="A5" s="11" t="s">
        <v>7</v>
      </c>
      <c r="B5" s="8">
        <f t="shared" si="1"/>
        <v>39.75</v>
      </c>
      <c r="C5" s="8">
        <v>3.0</v>
      </c>
      <c r="D5" s="8">
        <v>3.0</v>
      </c>
      <c r="E5" s="8">
        <v>2.0</v>
      </c>
      <c r="F5" s="8">
        <v>2.0</v>
      </c>
      <c r="G5" s="8">
        <v>3.0</v>
      </c>
      <c r="H5" s="8"/>
      <c r="I5" s="8">
        <v>2.0</v>
      </c>
      <c r="J5" s="8">
        <v>3.0</v>
      </c>
      <c r="K5" s="8">
        <v>2.0</v>
      </c>
      <c r="L5" s="8">
        <v>2.0</v>
      </c>
      <c r="M5" s="8">
        <v>2.0</v>
      </c>
      <c r="N5" s="8"/>
      <c r="O5" s="8"/>
      <c r="P5" s="8">
        <v>3.0</v>
      </c>
      <c r="Q5" s="8">
        <v>2.0</v>
      </c>
      <c r="R5" s="8"/>
      <c r="S5" s="8"/>
      <c r="T5" s="8">
        <v>3.0</v>
      </c>
      <c r="U5" s="8"/>
      <c r="V5" s="8"/>
      <c r="W5" s="8">
        <v>2.0</v>
      </c>
      <c r="X5" s="8">
        <v>1.75</v>
      </c>
      <c r="Y5" s="8"/>
      <c r="Z5" s="8">
        <v>1.0</v>
      </c>
      <c r="AA5" s="8"/>
      <c r="AB5" s="8"/>
      <c r="AC5" s="8"/>
      <c r="AD5" s="8"/>
      <c r="AE5" s="8">
        <v>1.0</v>
      </c>
      <c r="AF5" s="8"/>
      <c r="AG5" s="8"/>
      <c r="AH5" s="8"/>
      <c r="AI5" s="8"/>
      <c r="AJ5" s="8">
        <v>2.0</v>
      </c>
      <c r="AK5" s="8"/>
      <c r="AL5" s="8"/>
      <c r="AM5" s="8"/>
      <c r="AN5" s="8"/>
      <c r="AO5" s="8"/>
      <c r="AP5" s="8"/>
      <c r="AQ5" s="8"/>
      <c r="AR5" s="8"/>
      <c r="AS5" s="8"/>
      <c r="AT5" s="8"/>
      <c r="AU5" s="8"/>
      <c r="AV5" s="8"/>
      <c r="AW5" s="8"/>
      <c r="AX5" s="8"/>
      <c r="AY5" s="8"/>
      <c r="AZ5" s="8"/>
      <c r="BA5" s="8"/>
      <c r="BB5" s="8"/>
    </row>
    <row r="6">
      <c r="A6" s="11" t="s">
        <v>51</v>
      </c>
      <c r="B6" s="8">
        <f t="shared" si="1"/>
        <v>14</v>
      </c>
      <c r="C6" s="8">
        <v>2.0</v>
      </c>
      <c r="D6" s="8">
        <v>2.0</v>
      </c>
      <c r="E6" s="8">
        <v>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>
        <v>2.0</v>
      </c>
      <c r="Q6" s="8"/>
      <c r="R6" s="8"/>
      <c r="S6" s="8"/>
      <c r="T6" s="8"/>
      <c r="U6" s="8"/>
      <c r="V6" s="8">
        <v>2.0</v>
      </c>
      <c r="W6" s="8"/>
      <c r="X6" s="8">
        <v>2.5</v>
      </c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20">
        <v>1.5</v>
      </c>
      <c r="BA6" s="8"/>
      <c r="BB6" s="8"/>
    </row>
    <row r="7">
      <c r="A7" s="11" t="s">
        <v>13</v>
      </c>
      <c r="B7" s="8">
        <f t="shared" si="1"/>
        <v>2</v>
      </c>
      <c r="C7" s="8"/>
      <c r="D7" s="8">
        <v>2.0</v>
      </c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  <c r="AJ7" s="8"/>
      <c r="AK7" s="8"/>
      <c r="AL7" s="8"/>
      <c r="AM7" s="8"/>
      <c r="AN7" s="8"/>
      <c r="AO7" s="8"/>
      <c r="AP7" s="8"/>
      <c r="AQ7" s="8"/>
      <c r="AR7" s="8"/>
      <c r="AS7" s="8"/>
      <c r="AT7" s="8"/>
      <c r="AU7" s="8"/>
      <c r="AV7" s="8"/>
      <c r="AW7" s="8"/>
      <c r="AX7" s="8"/>
      <c r="AY7" s="8"/>
      <c r="AZ7" s="8"/>
      <c r="BA7" s="8"/>
      <c r="BB7" s="8"/>
    </row>
    <row r="8">
      <c r="A8" s="11" t="s">
        <v>55</v>
      </c>
      <c r="B8" s="8">
        <f t="shared" si="1"/>
        <v>2</v>
      </c>
      <c r="C8" s="8">
        <v>2.0</v>
      </c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  <c r="AO8" s="8"/>
      <c r="AP8" s="8"/>
      <c r="AQ8" s="8"/>
      <c r="AR8" s="8"/>
      <c r="AS8" s="8"/>
      <c r="AT8" s="8"/>
      <c r="AU8" s="8"/>
      <c r="AV8" s="8"/>
      <c r="AW8" s="8"/>
      <c r="AX8" s="8"/>
      <c r="AY8" s="8"/>
      <c r="AZ8" s="8"/>
      <c r="BA8" s="8"/>
      <c r="BB8" s="8"/>
    </row>
    <row r="9">
      <c r="A9" s="11" t="s">
        <v>17</v>
      </c>
      <c r="B9" s="8">
        <f t="shared" si="1"/>
        <v>2</v>
      </c>
      <c r="C9" s="8">
        <v>2.0</v>
      </c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8"/>
      <c r="AM9" s="8"/>
      <c r="AN9" s="8"/>
      <c r="AO9" s="8"/>
      <c r="AP9" s="8"/>
      <c r="AQ9" s="8"/>
      <c r="AR9" s="8"/>
      <c r="AS9" s="8"/>
      <c r="AT9" s="8"/>
      <c r="AU9" s="8"/>
      <c r="AV9" s="8"/>
      <c r="AW9" s="8"/>
      <c r="AX9" s="8"/>
      <c r="AY9" s="8"/>
      <c r="AZ9" s="8"/>
      <c r="BA9" s="8"/>
      <c r="BB9" s="8"/>
    </row>
    <row r="10">
      <c r="A10" s="11" t="s">
        <v>64</v>
      </c>
      <c r="B10" s="8">
        <f t="shared" si="1"/>
        <v>2</v>
      </c>
      <c r="C10" s="8">
        <v>2.0</v>
      </c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  <c r="AJ10" s="8"/>
      <c r="AK10" s="8"/>
      <c r="AL10" s="8"/>
      <c r="AM10" s="8"/>
      <c r="AN10" s="8"/>
      <c r="AO10" s="8"/>
      <c r="AP10" s="8"/>
      <c r="AQ10" s="8"/>
      <c r="AR10" s="8"/>
      <c r="AS10" s="8"/>
      <c r="AT10" s="8"/>
      <c r="AU10" s="8"/>
      <c r="AV10" s="8"/>
      <c r="AW10" s="8"/>
      <c r="AX10" s="8"/>
      <c r="AY10" s="8"/>
      <c r="AZ10" s="8"/>
      <c r="BA10" s="8"/>
      <c r="BB10" s="8"/>
    </row>
    <row r="11">
      <c r="A11" s="11" t="s">
        <v>65</v>
      </c>
      <c r="B11" s="8">
        <f t="shared" si="1"/>
        <v>2</v>
      </c>
      <c r="C11" s="8">
        <v>2.0</v>
      </c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  <c r="AN11" s="8"/>
      <c r="AO11" s="8"/>
      <c r="AP11" s="8"/>
      <c r="AQ11" s="8"/>
      <c r="AR11" s="8"/>
      <c r="AS11" s="8"/>
      <c r="AT11" s="8"/>
      <c r="AU11" s="8"/>
      <c r="AV11" s="8"/>
      <c r="AW11" s="8"/>
      <c r="AX11" s="8"/>
      <c r="AY11" s="8"/>
      <c r="AZ11" s="8"/>
      <c r="BA11" s="8"/>
      <c r="BB11" s="8"/>
    </row>
    <row r="12">
      <c r="A12" s="11" t="s">
        <v>66</v>
      </c>
      <c r="B12" s="8">
        <f t="shared" si="1"/>
        <v>2</v>
      </c>
      <c r="C12" s="8">
        <v>2.0</v>
      </c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  <c r="AO12" s="8"/>
      <c r="AP12" s="8"/>
      <c r="AQ12" s="8"/>
      <c r="AR12" s="8"/>
      <c r="AS12" s="8"/>
      <c r="AT12" s="8"/>
      <c r="AU12" s="8"/>
      <c r="AV12" s="8"/>
      <c r="AW12" s="8"/>
      <c r="AX12" s="8"/>
      <c r="AY12" s="8"/>
      <c r="AZ12" s="8"/>
      <c r="BA12" s="8"/>
      <c r="BB12" s="8"/>
    </row>
    <row r="13">
      <c r="A13" s="11" t="s">
        <v>23</v>
      </c>
      <c r="B13" s="8">
        <f t="shared" si="1"/>
        <v>100.25</v>
      </c>
      <c r="C13" s="8"/>
      <c r="D13" s="8">
        <v>2.0</v>
      </c>
      <c r="E13" s="8"/>
      <c r="F13" s="8">
        <v>2.0</v>
      </c>
      <c r="G13" s="8">
        <v>2.0</v>
      </c>
      <c r="H13" s="8">
        <v>2.0</v>
      </c>
      <c r="I13" s="8">
        <v>2.0</v>
      </c>
      <c r="J13" s="8">
        <v>2.0</v>
      </c>
      <c r="K13" s="8">
        <v>2.0</v>
      </c>
      <c r="L13" s="8">
        <v>2.0</v>
      </c>
      <c r="M13" s="8">
        <v>2.0</v>
      </c>
      <c r="N13" s="8">
        <v>2.0</v>
      </c>
      <c r="O13" s="8">
        <v>2.0</v>
      </c>
      <c r="P13" s="8">
        <v>2.0</v>
      </c>
      <c r="Q13" s="8">
        <v>2.0</v>
      </c>
      <c r="R13" s="8">
        <v>2.5</v>
      </c>
      <c r="S13" s="8">
        <v>2.5</v>
      </c>
      <c r="T13" s="8">
        <v>3.0</v>
      </c>
      <c r="U13" s="8">
        <v>2.5</v>
      </c>
      <c r="V13" s="8">
        <v>4.0</v>
      </c>
      <c r="W13" s="8"/>
      <c r="X13" s="8"/>
      <c r="Y13" s="8">
        <v>2.25</v>
      </c>
      <c r="Z13" s="8">
        <v>2.5</v>
      </c>
      <c r="AA13" s="8">
        <v>2.0</v>
      </c>
      <c r="AB13" s="8">
        <v>2.0</v>
      </c>
      <c r="AC13" s="8">
        <v>1.75</v>
      </c>
      <c r="AD13" s="8">
        <v>2.0</v>
      </c>
      <c r="AE13" s="8">
        <v>2.0</v>
      </c>
      <c r="AF13" s="8">
        <v>2.5</v>
      </c>
      <c r="AG13" s="8">
        <v>2.5</v>
      </c>
      <c r="AH13" s="8">
        <v>2.5</v>
      </c>
      <c r="AI13" s="8">
        <v>2.0</v>
      </c>
      <c r="AJ13" s="8">
        <v>2.0</v>
      </c>
      <c r="AK13" s="8"/>
      <c r="AL13" s="8">
        <v>1.5</v>
      </c>
      <c r="AM13" s="8">
        <v>2.0</v>
      </c>
      <c r="AN13" s="8">
        <v>2.0</v>
      </c>
      <c r="AO13" s="8">
        <v>2.25</v>
      </c>
      <c r="AP13" s="8">
        <v>2.5</v>
      </c>
      <c r="AQ13" s="20">
        <v>2.5</v>
      </c>
      <c r="AR13" s="20">
        <v>2.0</v>
      </c>
      <c r="AS13" s="20">
        <v>2.0</v>
      </c>
      <c r="AT13" s="20">
        <v>2.5</v>
      </c>
      <c r="AU13" s="20">
        <v>2.25</v>
      </c>
      <c r="AV13" s="8"/>
      <c r="AW13" s="20">
        <v>1.0</v>
      </c>
      <c r="AX13" s="20">
        <v>2.5</v>
      </c>
      <c r="AY13" s="21">
        <v>2.5</v>
      </c>
      <c r="AZ13" s="20">
        <v>2.25</v>
      </c>
      <c r="BA13" s="20">
        <v>2.0</v>
      </c>
      <c r="BB13" s="20">
        <v>2.0</v>
      </c>
    </row>
    <row r="14">
      <c r="A14" s="11" t="s">
        <v>24</v>
      </c>
      <c r="B14" s="8">
        <f t="shared" si="1"/>
        <v>6</v>
      </c>
      <c r="C14" s="8"/>
      <c r="D14" s="8">
        <v>2.0</v>
      </c>
      <c r="E14" s="8">
        <v>2.0</v>
      </c>
      <c r="F14" s="8">
        <v>2.0</v>
      </c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8"/>
      <c r="AW14" s="8"/>
      <c r="AX14" s="8"/>
      <c r="AY14" s="8"/>
      <c r="AZ14" s="8"/>
      <c r="BA14" s="8"/>
      <c r="BB14" s="8"/>
    </row>
    <row r="15">
      <c r="A15" s="11" t="s">
        <v>33</v>
      </c>
      <c r="B15" s="8">
        <f t="shared" si="1"/>
        <v>4</v>
      </c>
      <c r="C15" s="8"/>
      <c r="D15" s="8"/>
      <c r="E15" s="8">
        <v>2.0</v>
      </c>
      <c r="F15" s="8"/>
      <c r="G15" s="8"/>
      <c r="H15" s="8">
        <v>2.0</v>
      </c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  <c r="AO15" s="8"/>
      <c r="AP15" s="8"/>
      <c r="AQ15" s="8"/>
      <c r="AR15" s="8"/>
      <c r="AS15" s="8"/>
      <c r="AT15" s="8"/>
      <c r="AU15" s="8"/>
      <c r="AV15" s="8"/>
      <c r="AW15" s="8"/>
      <c r="AX15" s="8"/>
      <c r="AY15" s="8"/>
      <c r="AZ15" s="8"/>
      <c r="BA15" s="8"/>
      <c r="BB15" s="8"/>
    </row>
    <row r="16">
      <c r="A16" s="11" t="s">
        <v>61</v>
      </c>
      <c r="B16" s="8">
        <f t="shared" si="1"/>
        <v>2</v>
      </c>
      <c r="C16" s="8"/>
      <c r="D16" s="8"/>
      <c r="E16" s="8">
        <v>2.0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</row>
    <row r="17">
      <c r="A17" s="11" t="s">
        <v>67</v>
      </c>
      <c r="B17" s="8">
        <f t="shared" si="1"/>
        <v>2</v>
      </c>
      <c r="C17" s="8"/>
      <c r="D17" s="8"/>
      <c r="E17" s="8">
        <v>2.0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  <c r="AL17" s="8"/>
      <c r="AM17" s="8"/>
      <c r="AN17" s="8"/>
      <c r="AO17" s="8"/>
      <c r="AP17" s="8"/>
      <c r="AQ17" s="8"/>
      <c r="AR17" s="8"/>
      <c r="AS17" s="8"/>
      <c r="AT17" s="8"/>
      <c r="AU17" s="8"/>
      <c r="AV17" s="8"/>
      <c r="AW17" s="8"/>
      <c r="AX17" s="8"/>
      <c r="AY17" s="8"/>
      <c r="AZ17" s="8"/>
      <c r="BA17" s="8"/>
      <c r="BB17" s="8"/>
    </row>
    <row r="18">
      <c r="A18" s="11" t="s">
        <v>68</v>
      </c>
      <c r="B18" s="8">
        <f t="shared" si="1"/>
        <v>2</v>
      </c>
      <c r="C18" s="8"/>
      <c r="D18" s="8"/>
      <c r="E18" s="8">
        <v>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/>
    </row>
    <row r="19">
      <c r="A19" s="11" t="s">
        <v>69</v>
      </c>
      <c r="B19" s="8">
        <f t="shared" si="1"/>
        <v>8.5</v>
      </c>
      <c r="C19" s="8"/>
      <c r="D19" s="8"/>
      <c r="E19" s="8"/>
      <c r="F19" s="8"/>
      <c r="G19" s="8">
        <v>2.0</v>
      </c>
      <c r="H19" s="8">
        <v>2.0</v>
      </c>
      <c r="I19" s="8"/>
      <c r="J19" s="8"/>
      <c r="K19" s="8"/>
      <c r="L19" s="8"/>
      <c r="M19" s="8"/>
      <c r="N19" s="8"/>
      <c r="O19" s="8">
        <v>2.0</v>
      </c>
      <c r="P19" s="8"/>
      <c r="Q19" s="8"/>
      <c r="R19" s="8">
        <v>2.5</v>
      </c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S19" s="8"/>
      <c r="AT19" s="8"/>
      <c r="AU19" s="8"/>
      <c r="AV19" s="8"/>
      <c r="AW19" s="8"/>
      <c r="AX19" s="8"/>
      <c r="AY19" s="8"/>
      <c r="AZ19" s="8"/>
      <c r="BA19" s="8"/>
      <c r="BB19" s="8"/>
    </row>
    <row r="20">
      <c r="A20" s="11" t="s">
        <v>70</v>
      </c>
      <c r="B20" s="8">
        <f t="shared" si="1"/>
        <v>10.25</v>
      </c>
      <c r="C20" s="8"/>
      <c r="D20" s="8"/>
      <c r="E20" s="8"/>
      <c r="F20" s="8"/>
      <c r="G20" s="8">
        <v>2.0</v>
      </c>
      <c r="H20" s="8"/>
      <c r="I20" s="8">
        <v>2.0</v>
      </c>
      <c r="J20" s="8"/>
      <c r="K20" s="8"/>
      <c r="L20" s="8">
        <v>2.0</v>
      </c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>
        <v>2.0</v>
      </c>
      <c r="AI20" s="8"/>
      <c r="AJ20" s="8"/>
      <c r="AK20" s="8"/>
      <c r="AL20" s="8"/>
      <c r="AM20" s="8">
        <v>2.25</v>
      </c>
      <c r="AN20" s="8"/>
      <c r="AO20" s="8"/>
      <c r="AP20" s="8"/>
      <c r="AQ20" s="8"/>
      <c r="AR20" s="8"/>
      <c r="AS20" s="8"/>
      <c r="AT20" s="8"/>
      <c r="AU20" s="8"/>
      <c r="AV20" s="8"/>
      <c r="AW20" s="8"/>
      <c r="AX20" s="8"/>
      <c r="AY20" s="8"/>
      <c r="AZ20" s="8"/>
      <c r="BA20" s="8"/>
      <c r="BB20" s="8"/>
    </row>
    <row r="21" ht="15.75" customHeight="1">
      <c r="A21" s="11" t="s">
        <v>52</v>
      </c>
      <c r="B21" s="8">
        <f t="shared" si="1"/>
        <v>19.75</v>
      </c>
      <c r="C21" s="8"/>
      <c r="D21" s="8"/>
      <c r="E21" s="8"/>
      <c r="F21" s="8"/>
      <c r="G21" s="8">
        <v>2.0</v>
      </c>
      <c r="H21" s="8"/>
      <c r="I21" s="8"/>
      <c r="J21" s="8">
        <v>2.0</v>
      </c>
      <c r="K21" s="8"/>
      <c r="L21" s="8">
        <v>2.0</v>
      </c>
      <c r="M21" s="8">
        <v>2.0</v>
      </c>
      <c r="N21" s="8"/>
      <c r="O21" s="8"/>
      <c r="P21" s="8"/>
      <c r="Q21" s="8">
        <v>2.0</v>
      </c>
      <c r="R21" s="8">
        <v>2.5</v>
      </c>
      <c r="S21" s="8">
        <v>2.5</v>
      </c>
      <c r="T21" s="8"/>
      <c r="U21" s="8"/>
      <c r="V21" s="8"/>
      <c r="W21" s="8"/>
      <c r="X21" s="8"/>
      <c r="Y21" s="8"/>
      <c r="Z21" s="8"/>
      <c r="AA21" s="8"/>
      <c r="AB21" s="8">
        <v>2.0</v>
      </c>
      <c r="AC21" s="8">
        <v>1.75</v>
      </c>
      <c r="AD21" s="8"/>
      <c r="AE21" s="8">
        <v>1.0</v>
      </c>
      <c r="AF21" s="8"/>
      <c r="AG21" s="8"/>
      <c r="AH21" s="8"/>
      <c r="AI21" s="8"/>
      <c r="AJ21" s="8"/>
      <c r="AK21" s="8"/>
      <c r="AL21" s="8"/>
      <c r="AM21" s="8"/>
      <c r="AN21" s="8"/>
      <c r="AO21" s="8"/>
      <c r="AP21" s="8"/>
      <c r="AQ21" s="8"/>
      <c r="AR21" s="8"/>
      <c r="AS21" s="8"/>
      <c r="AT21" s="8"/>
      <c r="AU21" s="8"/>
      <c r="AV21" s="8"/>
      <c r="AW21" s="8"/>
      <c r="AX21" s="8"/>
      <c r="AY21" s="8"/>
      <c r="AZ21" s="8"/>
      <c r="BA21" s="8"/>
      <c r="BB21" s="8"/>
    </row>
    <row r="22" ht="15.75" customHeight="1">
      <c r="A22" s="11" t="s">
        <v>16</v>
      </c>
      <c r="B22" s="8">
        <f t="shared" si="1"/>
        <v>5.5</v>
      </c>
      <c r="C22" s="8"/>
      <c r="D22" s="8"/>
      <c r="E22" s="8"/>
      <c r="F22" s="8"/>
      <c r="G22" s="8"/>
      <c r="H22" s="8">
        <v>2.0</v>
      </c>
      <c r="I22" s="8"/>
      <c r="J22" s="8"/>
      <c r="K22" s="8"/>
      <c r="L22" s="8"/>
      <c r="M22" s="8"/>
      <c r="N22" s="8"/>
      <c r="O22" s="8"/>
      <c r="P22" s="8"/>
      <c r="Q22" s="8"/>
      <c r="R22" s="8">
        <v>1.5</v>
      </c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>
        <v>2.0</v>
      </c>
      <c r="AJ22" s="8"/>
      <c r="AK22" s="8"/>
      <c r="AL22" s="8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</row>
    <row r="23" ht="15.75" customHeight="1">
      <c r="A23" s="11" t="s">
        <v>46</v>
      </c>
      <c r="B23" s="8">
        <f t="shared" si="1"/>
        <v>2</v>
      </c>
      <c r="C23" s="8"/>
      <c r="D23" s="8"/>
      <c r="E23" s="8"/>
      <c r="F23" s="8"/>
      <c r="G23" s="8"/>
      <c r="H23" s="8">
        <v>2.0</v>
      </c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  <c r="AJ23" s="8"/>
      <c r="AK23" s="8"/>
      <c r="AL23" s="8"/>
      <c r="AM23" s="8"/>
      <c r="AN23" s="8"/>
      <c r="AO23" s="8"/>
      <c r="AP23" s="8"/>
      <c r="AQ23" s="8"/>
      <c r="AR23" s="8"/>
      <c r="AS23" s="8"/>
      <c r="AT23" s="8"/>
      <c r="AU23" s="8"/>
      <c r="AV23" s="8"/>
      <c r="AW23" s="8"/>
      <c r="AX23" s="8"/>
      <c r="AY23" s="8"/>
      <c r="AZ23" s="8"/>
      <c r="BA23" s="8"/>
      <c r="BB23" s="8"/>
    </row>
    <row r="24" ht="15.75" customHeight="1">
      <c r="A24" s="11" t="s">
        <v>71</v>
      </c>
      <c r="B24" s="8">
        <f t="shared" si="1"/>
        <v>3</v>
      </c>
      <c r="C24" s="8"/>
      <c r="D24" s="8"/>
      <c r="E24" s="8"/>
      <c r="F24" s="8"/>
      <c r="G24" s="8"/>
      <c r="H24" s="8"/>
      <c r="I24" s="8">
        <v>3.0</v>
      </c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  <c r="AO24" s="8"/>
      <c r="AP24" s="8"/>
      <c r="AQ24" s="8"/>
      <c r="AR24" s="8"/>
      <c r="AS24" s="8"/>
      <c r="AT24" s="8"/>
      <c r="AU24" s="8"/>
      <c r="AV24" s="8"/>
      <c r="AW24" s="8"/>
      <c r="AX24" s="8"/>
      <c r="AY24" s="8"/>
      <c r="AZ24" s="8"/>
      <c r="BA24" s="8"/>
      <c r="BB24" s="8"/>
    </row>
    <row r="25" ht="15.75" customHeight="1">
      <c r="A25" s="11" t="s">
        <v>72</v>
      </c>
      <c r="B25" s="8">
        <f t="shared" si="1"/>
        <v>2</v>
      </c>
      <c r="C25" s="8"/>
      <c r="D25" s="8"/>
      <c r="E25" s="8"/>
      <c r="F25" s="8"/>
      <c r="G25" s="8"/>
      <c r="H25" s="8"/>
      <c r="I25" s="8">
        <v>2.0</v>
      </c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  <c r="AT25" s="8"/>
      <c r="AU25" s="8"/>
      <c r="AV25" s="8"/>
      <c r="AW25" s="8"/>
      <c r="AX25" s="8"/>
      <c r="AY25" s="8"/>
      <c r="AZ25" s="8"/>
      <c r="BA25" s="8"/>
      <c r="BB25" s="8"/>
    </row>
    <row r="26" ht="15.75" customHeight="1">
      <c r="A26" s="11" t="s">
        <v>48</v>
      </c>
      <c r="B26" s="8">
        <f t="shared" si="1"/>
        <v>47.25</v>
      </c>
      <c r="C26" s="8"/>
      <c r="D26" s="8"/>
      <c r="E26" s="8"/>
      <c r="F26" s="8"/>
      <c r="G26" s="8"/>
      <c r="H26" s="8"/>
      <c r="I26" s="8">
        <v>2.0</v>
      </c>
      <c r="J26" s="8">
        <v>2.0</v>
      </c>
      <c r="K26" s="8"/>
      <c r="L26" s="8"/>
      <c r="M26" s="8"/>
      <c r="N26" s="8"/>
      <c r="O26" s="8"/>
      <c r="P26" s="8">
        <v>2.0</v>
      </c>
      <c r="Q26" s="8"/>
      <c r="R26" s="8"/>
      <c r="S26" s="8"/>
      <c r="T26" s="8"/>
      <c r="U26" s="8"/>
      <c r="V26" s="8"/>
      <c r="W26" s="8"/>
      <c r="X26" s="8"/>
      <c r="Y26" s="8">
        <v>2.25</v>
      </c>
      <c r="Z26" s="8"/>
      <c r="AA26" s="8">
        <v>2.0</v>
      </c>
      <c r="AB26" s="8"/>
      <c r="AC26" s="8"/>
      <c r="AD26" s="8"/>
      <c r="AE26" s="8"/>
      <c r="AF26" s="8">
        <v>2.5</v>
      </c>
      <c r="AG26" s="8"/>
      <c r="AH26" s="8"/>
      <c r="AI26" s="8">
        <v>2.0</v>
      </c>
      <c r="AJ26" s="8">
        <v>2.0</v>
      </c>
      <c r="AK26" s="8"/>
      <c r="AL26" s="8">
        <v>2.0</v>
      </c>
      <c r="AM26" s="8">
        <v>2.25</v>
      </c>
      <c r="AN26" s="8">
        <v>2.0</v>
      </c>
      <c r="AO26" s="8">
        <v>2.75</v>
      </c>
      <c r="AP26" s="8">
        <v>2.0</v>
      </c>
      <c r="AQ26" s="20">
        <v>2.5</v>
      </c>
      <c r="AR26" s="20">
        <v>2.0</v>
      </c>
      <c r="AS26" s="20">
        <v>2.0</v>
      </c>
      <c r="AT26" s="20">
        <v>2.25</v>
      </c>
      <c r="AU26" s="20">
        <v>1.0</v>
      </c>
      <c r="AV26" s="21">
        <v>2.5</v>
      </c>
      <c r="AW26" s="20">
        <v>2.5</v>
      </c>
      <c r="AX26" s="8"/>
      <c r="AY26" s="21">
        <v>2.5</v>
      </c>
      <c r="AZ26" s="20">
        <v>2.25</v>
      </c>
      <c r="BA26" s="8"/>
      <c r="BB26" s="8"/>
    </row>
    <row r="27" ht="15.75" customHeight="1">
      <c r="A27" s="11" t="s">
        <v>41</v>
      </c>
      <c r="B27" s="8">
        <f t="shared" si="1"/>
        <v>4.5</v>
      </c>
      <c r="C27" s="8"/>
      <c r="D27" s="8"/>
      <c r="E27" s="8"/>
      <c r="F27" s="8"/>
      <c r="G27" s="8"/>
      <c r="H27" s="8"/>
      <c r="I27" s="8">
        <v>2.0</v>
      </c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>
        <v>2.5</v>
      </c>
      <c r="AA27" s="8"/>
      <c r="AB27" s="8"/>
      <c r="AC27" s="8"/>
      <c r="AD27" s="8"/>
      <c r="AE27" s="8"/>
      <c r="AF27" s="8"/>
      <c r="AG27" s="8"/>
      <c r="AH27" s="8"/>
      <c r="AI27" s="8"/>
      <c r="AJ27" s="8"/>
      <c r="AK27" s="8"/>
      <c r="AL27" s="8"/>
      <c r="AM27" s="8"/>
      <c r="AN27" s="8"/>
      <c r="AO27" s="8"/>
      <c r="AP27" s="8"/>
      <c r="AQ27" s="8"/>
      <c r="AR27" s="8"/>
      <c r="AS27" s="8"/>
      <c r="AT27" s="8"/>
      <c r="AU27" s="8"/>
      <c r="AV27" s="8"/>
      <c r="AW27" s="8"/>
      <c r="AX27" s="8"/>
      <c r="AY27" s="8"/>
      <c r="AZ27" s="8"/>
      <c r="BA27" s="8"/>
      <c r="BB27" s="8"/>
    </row>
    <row r="28" ht="15.75" customHeight="1">
      <c r="A28" s="11" t="s">
        <v>40</v>
      </c>
      <c r="B28" s="8">
        <f t="shared" si="1"/>
        <v>2</v>
      </c>
      <c r="C28" s="8"/>
      <c r="D28" s="8"/>
      <c r="E28" s="8"/>
      <c r="F28" s="8"/>
      <c r="G28" s="8"/>
      <c r="H28" s="8"/>
      <c r="I28" s="8"/>
      <c r="J28" s="8"/>
      <c r="K28" s="8">
        <v>2.0</v>
      </c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8"/>
      <c r="AK28" s="8"/>
      <c r="AL28" s="8"/>
      <c r="AM28" s="8"/>
      <c r="AN28" s="8"/>
      <c r="AO28" s="8"/>
      <c r="AP28" s="8"/>
      <c r="AQ28" s="8"/>
      <c r="AR28" s="8"/>
      <c r="AS28" s="8"/>
      <c r="AT28" s="8"/>
      <c r="AU28" s="8"/>
      <c r="AV28" s="8"/>
      <c r="AW28" s="8"/>
      <c r="AX28" s="8"/>
      <c r="AY28" s="8"/>
      <c r="AZ28" s="8"/>
      <c r="BA28" s="8"/>
      <c r="BB28" s="8"/>
    </row>
    <row r="29" ht="15.75" customHeight="1">
      <c r="A29" s="11" t="s">
        <v>237</v>
      </c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>
        <v>2.0</v>
      </c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8"/>
      <c r="AJ29" s="8"/>
      <c r="AK29" s="8"/>
      <c r="AL29" s="8"/>
      <c r="AM29" s="8"/>
      <c r="AN29" s="8"/>
      <c r="AO29" s="8"/>
      <c r="AP29" s="8"/>
      <c r="AQ29" s="8"/>
      <c r="AR29" s="8"/>
      <c r="AS29" s="8"/>
      <c r="AT29" s="8"/>
      <c r="AU29" s="8"/>
      <c r="AV29" s="8"/>
      <c r="AW29" s="8"/>
      <c r="AX29" s="8"/>
      <c r="AY29" s="8"/>
      <c r="AZ29" s="8"/>
      <c r="BA29" s="8"/>
      <c r="BB29" s="8"/>
    </row>
    <row r="30" ht="15.75" customHeight="1">
      <c r="A30" s="11" t="s">
        <v>10</v>
      </c>
      <c r="B30" s="8">
        <f t="shared" ref="B30:B162" si="2">SUM(C30:CA30)</f>
        <v>35.5</v>
      </c>
      <c r="C30" s="8"/>
      <c r="D30" s="8"/>
      <c r="E30" s="8"/>
      <c r="F30" s="8"/>
      <c r="G30" s="8"/>
      <c r="H30" s="8"/>
      <c r="I30" s="8"/>
      <c r="J30" s="8">
        <v>2.0</v>
      </c>
      <c r="K30" s="8"/>
      <c r="L30" s="8"/>
      <c r="M30" s="8"/>
      <c r="N30" s="8"/>
      <c r="O30" s="8"/>
      <c r="P30" s="8"/>
      <c r="Q30" s="8">
        <v>2.0</v>
      </c>
      <c r="R30" s="8"/>
      <c r="S30" s="8">
        <v>2.5</v>
      </c>
      <c r="T30" s="8">
        <v>3.0</v>
      </c>
      <c r="U30" s="8"/>
      <c r="V30" s="8"/>
      <c r="W30" s="8"/>
      <c r="X30" s="8"/>
      <c r="Y30" s="8"/>
      <c r="Z30" s="8"/>
      <c r="AA30" s="8"/>
      <c r="AB30" s="8"/>
      <c r="AC30" s="8">
        <v>1.75</v>
      </c>
      <c r="AD30" s="8">
        <v>2.0</v>
      </c>
      <c r="AE30" s="8">
        <v>2.0</v>
      </c>
      <c r="AF30" s="8">
        <v>2.5</v>
      </c>
      <c r="AG30" s="8">
        <v>2.5</v>
      </c>
      <c r="AH30" s="8">
        <v>2.5</v>
      </c>
      <c r="AI30" s="8">
        <v>2.0</v>
      </c>
      <c r="AJ30" s="8"/>
      <c r="AK30" s="8">
        <v>3.0</v>
      </c>
      <c r="AL30" s="8">
        <v>2.0</v>
      </c>
      <c r="AM30" s="8">
        <v>2.25</v>
      </c>
      <c r="AN30" s="8"/>
      <c r="AO30" s="8"/>
      <c r="AP30" s="8"/>
      <c r="AQ30" s="8"/>
      <c r="AR30" s="8"/>
      <c r="AS30" s="8"/>
      <c r="AT30" s="8"/>
      <c r="AU30" s="8"/>
      <c r="AV30" s="8"/>
      <c r="AW30" s="8"/>
      <c r="AX30" s="20">
        <v>2.5</v>
      </c>
      <c r="AY30" s="8"/>
      <c r="AZ30" s="8"/>
      <c r="BA30" s="20">
        <v>1.0</v>
      </c>
      <c r="BB30" s="8"/>
    </row>
    <row r="31" ht="15.75" customHeight="1">
      <c r="A31" s="11" t="s">
        <v>9</v>
      </c>
      <c r="B31" s="8">
        <f t="shared" si="2"/>
        <v>16.5</v>
      </c>
      <c r="C31" s="8"/>
      <c r="D31" s="8"/>
      <c r="E31" s="8"/>
      <c r="F31" s="8"/>
      <c r="G31" s="8"/>
      <c r="H31" s="8"/>
      <c r="I31" s="8"/>
      <c r="J31" s="8">
        <v>2.0</v>
      </c>
      <c r="K31" s="8"/>
      <c r="L31" s="8"/>
      <c r="M31" s="8"/>
      <c r="N31" s="8"/>
      <c r="O31" s="8"/>
      <c r="P31" s="8"/>
      <c r="Q31" s="8">
        <v>2.0</v>
      </c>
      <c r="R31" s="8">
        <v>2.5</v>
      </c>
      <c r="S31" s="8">
        <v>2.5</v>
      </c>
      <c r="T31" s="8">
        <v>3.0</v>
      </c>
      <c r="U31" s="8">
        <v>2.0</v>
      </c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>
        <v>2.5</v>
      </c>
      <c r="AH31" s="8"/>
      <c r="AI31" s="8"/>
      <c r="AJ31" s="8"/>
      <c r="AK31" s="8"/>
      <c r="AL31" s="8"/>
      <c r="AM31" s="8"/>
      <c r="AN31" s="8"/>
      <c r="AO31" s="8"/>
      <c r="AP31" s="8"/>
      <c r="AQ31" s="8"/>
      <c r="AR31" s="8"/>
      <c r="AS31" s="8"/>
      <c r="AT31" s="8"/>
      <c r="AU31" s="8"/>
      <c r="AV31" s="8"/>
      <c r="AW31" s="8"/>
      <c r="AX31" s="8"/>
      <c r="AY31" s="8"/>
      <c r="AZ31" s="8"/>
      <c r="BA31" s="8"/>
      <c r="BB31" s="8"/>
    </row>
    <row r="32" ht="15.75" customHeight="1">
      <c r="A32" s="11" t="s">
        <v>73</v>
      </c>
      <c r="B32" s="8">
        <f t="shared" si="2"/>
        <v>5</v>
      </c>
      <c r="C32" s="8"/>
      <c r="D32" s="8"/>
      <c r="E32" s="8"/>
      <c r="F32" s="8"/>
      <c r="G32" s="8"/>
      <c r="H32" s="8"/>
      <c r="I32" s="8"/>
      <c r="J32" s="8">
        <v>2.0</v>
      </c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  <c r="AJ32" s="8"/>
      <c r="AK32" s="8">
        <v>3.0</v>
      </c>
      <c r="AL32" s="8"/>
      <c r="AM32" s="8"/>
      <c r="AN32" s="8"/>
      <c r="AO32" s="8"/>
      <c r="AP32" s="8"/>
      <c r="AQ32" s="8"/>
      <c r="AR32" s="8"/>
      <c r="AS32" s="8"/>
      <c r="AT32" s="8"/>
      <c r="AU32" s="8"/>
      <c r="AV32" s="8"/>
      <c r="AW32" s="8"/>
      <c r="AX32" s="8"/>
      <c r="AY32" s="8"/>
      <c r="AZ32" s="8"/>
      <c r="BA32" s="8"/>
      <c r="BB32" s="8"/>
    </row>
    <row r="33" ht="15.75" customHeight="1">
      <c r="A33" s="11" t="s">
        <v>31</v>
      </c>
      <c r="B33" s="8">
        <f t="shared" si="2"/>
        <v>4.25</v>
      </c>
      <c r="C33" s="8"/>
      <c r="D33" s="8"/>
      <c r="E33" s="8"/>
      <c r="F33" s="8"/>
      <c r="G33" s="8"/>
      <c r="H33" s="8"/>
      <c r="I33" s="8"/>
      <c r="J33" s="8"/>
      <c r="K33" s="8">
        <v>2.0</v>
      </c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  <c r="AL33" s="8"/>
      <c r="AM33" s="8"/>
      <c r="AN33" s="8"/>
      <c r="AO33" s="8"/>
      <c r="AP33" s="8">
        <v>2.25</v>
      </c>
      <c r="AQ33" s="8"/>
      <c r="AR33" s="8"/>
      <c r="AS33" s="8"/>
      <c r="AT33" s="8"/>
      <c r="AU33" s="8"/>
      <c r="AV33" s="8"/>
      <c r="AW33" s="8"/>
      <c r="AX33" s="8"/>
      <c r="AY33" s="8"/>
      <c r="AZ33" s="8"/>
      <c r="BA33" s="8"/>
      <c r="BB33" s="8"/>
    </row>
    <row r="34" ht="15.75" customHeight="1">
      <c r="A34" s="11" t="s">
        <v>74</v>
      </c>
      <c r="B34" s="8">
        <f t="shared" si="2"/>
        <v>6.5</v>
      </c>
      <c r="C34" s="8"/>
      <c r="D34" s="8"/>
      <c r="E34" s="8"/>
      <c r="F34" s="8"/>
      <c r="G34" s="8"/>
      <c r="H34" s="8"/>
      <c r="I34" s="8"/>
      <c r="J34" s="8"/>
      <c r="K34" s="8">
        <v>2.0</v>
      </c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>
        <v>2.5</v>
      </c>
      <c r="AI34" s="8">
        <v>2.0</v>
      </c>
      <c r="AJ34" s="8"/>
      <c r="AK34" s="8"/>
      <c r="AL34" s="8"/>
      <c r="AM34" s="8"/>
      <c r="AN34" s="8"/>
      <c r="AO34" s="8"/>
      <c r="AP34" s="8"/>
      <c r="AQ34" s="8"/>
      <c r="AR34" s="8"/>
      <c r="AS34" s="8"/>
      <c r="AT34" s="8"/>
      <c r="AU34" s="8"/>
      <c r="AV34" s="8"/>
      <c r="AW34" s="8"/>
      <c r="AX34" s="8"/>
      <c r="AY34" s="8"/>
      <c r="AZ34" s="8"/>
      <c r="BA34" s="8"/>
      <c r="BB34" s="8"/>
    </row>
    <row r="35" ht="15.75" customHeight="1">
      <c r="A35" s="11" t="s">
        <v>75</v>
      </c>
      <c r="B35" s="8">
        <f t="shared" si="2"/>
        <v>2</v>
      </c>
      <c r="C35" s="8"/>
      <c r="D35" s="8"/>
      <c r="E35" s="8"/>
      <c r="F35" s="8"/>
      <c r="G35" s="8"/>
      <c r="H35" s="8"/>
      <c r="I35" s="8"/>
      <c r="J35" s="8"/>
      <c r="K35" s="8">
        <v>2.0</v>
      </c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8"/>
      <c r="AH35" s="8"/>
      <c r="AI35" s="8"/>
      <c r="AJ35" s="8"/>
      <c r="AK35" s="8"/>
      <c r="AL35" s="8"/>
      <c r="AM35" s="8"/>
      <c r="AN35" s="8"/>
      <c r="AO35" s="8"/>
      <c r="AP35" s="8"/>
      <c r="AQ35" s="8"/>
      <c r="AR35" s="8"/>
      <c r="AS35" s="8"/>
      <c r="AT35" s="8"/>
      <c r="AU35" s="8"/>
      <c r="AV35" s="8"/>
      <c r="AW35" s="8"/>
      <c r="AX35" s="8"/>
      <c r="AY35" s="8"/>
      <c r="AZ35" s="8"/>
      <c r="BA35" s="8"/>
      <c r="BB35" s="8"/>
    </row>
    <row r="36" ht="15.75" customHeight="1">
      <c r="A36" s="11" t="s">
        <v>15</v>
      </c>
      <c r="B36" s="8">
        <f t="shared" si="2"/>
        <v>7.75</v>
      </c>
      <c r="C36" s="8"/>
      <c r="D36" s="8"/>
      <c r="E36" s="8"/>
      <c r="F36" s="8"/>
      <c r="G36" s="8"/>
      <c r="H36" s="8"/>
      <c r="I36" s="8"/>
      <c r="J36" s="8"/>
      <c r="K36" s="8">
        <v>2.0</v>
      </c>
      <c r="L36" s="8">
        <v>2.0</v>
      </c>
      <c r="M36" s="8"/>
      <c r="N36" s="8">
        <v>2.0</v>
      </c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  <c r="AI36" s="8"/>
      <c r="AJ36" s="8"/>
      <c r="AK36" s="8"/>
      <c r="AL36" s="8">
        <v>1.75</v>
      </c>
      <c r="AM36" s="8"/>
      <c r="AN36" s="8"/>
      <c r="AO36" s="8"/>
      <c r="AP36" s="8"/>
      <c r="AQ36" s="8"/>
      <c r="AR36" s="8"/>
      <c r="AS36" s="8"/>
      <c r="AT36" s="8"/>
      <c r="AU36" s="8"/>
      <c r="AV36" s="8"/>
      <c r="AW36" s="8"/>
      <c r="AX36" s="8"/>
      <c r="AY36" s="8"/>
      <c r="AZ36" s="8"/>
      <c r="BA36" s="8"/>
      <c r="BB36" s="8"/>
    </row>
    <row r="37" ht="15.75" customHeight="1">
      <c r="A37" s="11" t="s">
        <v>12</v>
      </c>
      <c r="B37" s="8">
        <f t="shared" si="2"/>
        <v>18.5</v>
      </c>
      <c r="C37" s="8"/>
      <c r="D37" s="8"/>
      <c r="E37" s="8"/>
      <c r="F37" s="8"/>
      <c r="G37" s="8"/>
      <c r="H37" s="8"/>
      <c r="I37" s="8"/>
      <c r="J37" s="8"/>
      <c r="K37" s="8"/>
      <c r="L37" s="8">
        <v>2.0</v>
      </c>
      <c r="M37" s="8"/>
      <c r="N37" s="8">
        <v>2.0</v>
      </c>
      <c r="O37" s="8"/>
      <c r="P37" s="8">
        <v>2.0</v>
      </c>
      <c r="Q37" s="8"/>
      <c r="R37" s="8"/>
      <c r="S37" s="8">
        <v>2.5</v>
      </c>
      <c r="T37" s="8"/>
      <c r="U37" s="8"/>
      <c r="V37" s="8">
        <v>2.0</v>
      </c>
      <c r="W37" s="8">
        <v>2.0</v>
      </c>
      <c r="X37" s="8"/>
      <c r="Y37" s="8"/>
      <c r="Z37" s="8"/>
      <c r="AA37" s="8">
        <v>2.0</v>
      </c>
      <c r="AB37" s="8"/>
      <c r="AC37" s="8"/>
      <c r="AD37" s="8">
        <v>2.0</v>
      </c>
      <c r="AE37" s="8"/>
      <c r="AF37" s="8"/>
      <c r="AG37" s="8"/>
      <c r="AH37" s="8"/>
      <c r="AI37" s="8"/>
      <c r="AJ37" s="8"/>
      <c r="AK37" s="8"/>
      <c r="AL37" s="8"/>
      <c r="AM37" s="8"/>
      <c r="AN37" s="8"/>
      <c r="AO37" s="8"/>
      <c r="AP37" s="8"/>
      <c r="AQ37" s="8"/>
      <c r="AR37" s="8"/>
      <c r="AS37" s="8"/>
      <c r="AT37" s="8"/>
      <c r="AU37" s="20">
        <v>2.0</v>
      </c>
      <c r="AV37" s="8"/>
      <c r="AW37" s="8"/>
      <c r="AX37" s="8"/>
      <c r="AY37" s="8"/>
      <c r="AZ37" s="8"/>
      <c r="BA37" s="8"/>
      <c r="BB37" s="8"/>
    </row>
    <row r="38" ht="15.75" customHeight="1">
      <c r="A38" s="11" t="s">
        <v>76</v>
      </c>
      <c r="B38" s="8">
        <f t="shared" si="2"/>
        <v>4</v>
      </c>
      <c r="C38" s="8"/>
      <c r="D38" s="8"/>
      <c r="E38" s="8"/>
      <c r="F38" s="8"/>
      <c r="G38" s="8"/>
      <c r="H38" s="8"/>
      <c r="I38" s="8"/>
      <c r="J38" s="8"/>
      <c r="K38" s="8"/>
      <c r="L38" s="8"/>
      <c r="M38" s="8">
        <v>2.0</v>
      </c>
      <c r="N38" s="8"/>
      <c r="O38" s="8">
        <v>2.0</v>
      </c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I38" s="8"/>
      <c r="AJ38" s="8"/>
      <c r="AK38" s="8"/>
      <c r="AL38" s="8"/>
      <c r="AM38" s="8"/>
      <c r="AN38" s="8"/>
      <c r="AO38" s="8"/>
      <c r="AP38" s="8"/>
      <c r="AQ38" s="8"/>
      <c r="AR38" s="8"/>
      <c r="AS38" s="8"/>
      <c r="AT38" s="8"/>
      <c r="AU38" s="8"/>
      <c r="AV38" s="8"/>
      <c r="AW38" s="8"/>
      <c r="AX38" s="8"/>
      <c r="AY38" s="8"/>
      <c r="AZ38" s="8"/>
      <c r="BA38" s="8"/>
      <c r="BB38" s="8"/>
    </row>
    <row r="39" ht="15.75" customHeight="1">
      <c r="A39" s="11" t="s">
        <v>77</v>
      </c>
      <c r="B39" s="8">
        <f t="shared" si="2"/>
        <v>12.5</v>
      </c>
      <c r="C39" s="8"/>
      <c r="D39" s="8"/>
      <c r="E39" s="8"/>
      <c r="F39" s="8"/>
      <c r="G39" s="8"/>
      <c r="H39" s="8"/>
      <c r="I39" s="8"/>
      <c r="J39" s="8"/>
      <c r="K39" s="8"/>
      <c r="L39" s="8">
        <v>2.0</v>
      </c>
      <c r="M39" s="8">
        <v>2.0</v>
      </c>
      <c r="N39" s="8"/>
      <c r="O39" s="8"/>
      <c r="P39" s="8">
        <v>2.0</v>
      </c>
      <c r="Q39" s="8">
        <v>2.0</v>
      </c>
      <c r="R39" s="8">
        <v>2.5</v>
      </c>
      <c r="S39" s="8"/>
      <c r="T39" s="8"/>
      <c r="U39" s="8"/>
      <c r="V39" s="8">
        <v>2.0</v>
      </c>
      <c r="W39" s="8"/>
      <c r="X39" s="8"/>
      <c r="Y39" s="8"/>
      <c r="Z39" s="8"/>
      <c r="AA39" s="8"/>
      <c r="AB39" s="8"/>
      <c r="AC39" s="8"/>
      <c r="AD39" s="8"/>
      <c r="AE39" s="8"/>
      <c r="AF39" s="8"/>
      <c r="AG39" s="8"/>
      <c r="AH39" s="8"/>
      <c r="AI39" s="8"/>
      <c r="AJ39" s="8"/>
      <c r="AK39" s="8"/>
      <c r="AL39" s="8"/>
      <c r="AM39" s="8"/>
      <c r="AN39" s="8"/>
      <c r="AO39" s="8"/>
      <c r="AP39" s="8"/>
      <c r="AQ39" s="8"/>
      <c r="AR39" s="8"/>
      <c r="AS39" s="8"/>
      <c r="AT39" s="8"/>
      <c r="AU39" s="8"/>
      <c r="AV39" s="8"/>
      <c r="AW39" s="8"/>
      <c r="AX39" s="8"/>
      <c r="AY39" s="8"/>
      <c r="AZ39" s="8"/>
      <c r="BA39" s="8"/>
      <c r="BB39" s="8"/>
    </row>
    <row r="40" ht="15.75" customHeight="1">
      <c r="A40" s="11" t="s">
        <v>78</v>
      </c>
      <c r="B40" s="8">
        <f t="shared" si="2"/>
        <v>6.5</v>
      </c>
      <c r="C40" s="8"/>
      <c r="D40" s="8"/>
      <c r="E40" s="8"/>
      <c r="F40" s="8"/>
      <c r="G40" s="8"/>
      <c r="H40" s="8"/>
      <c r="I40" s="8"/>
      <c r="J40" s="8"/>
      <c r="K40" s="8"/>
      <c r="L40" s="8"/>
      <c r="M40" s="8">
        <v>2.0</v>
      </c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8"/>
      <c r="AG40" s="8">
        <v>2.5</v>
      </c>
      <c r="AH40" s="8"/>
      <c r="AI40" s="8"/>
      <c r="AJ40" s="8"/>
      <c r="AK40" s="8"/>
      <c r="AL40" s="8"/>
      <c r="AM40" s="8"/>
      <c r="AN40" s="8"/>
      <c r="AO40" s="8"/>
      <c r="AP40" s="8"/>
      <c r="AQ40" s="8"/>
      <c r="AR40" s="20">
        <v>2.0</v>
      </c>
      <c r="AS40" s="8"/>
      <c r="AT40" s="8"/>
      <c r="AU40" s="8"/>
      <c r="AV40" s="8"/>
      <c r="AW40" s="8"/>
      <c r="AX40" s="8"/>
      <c r="AY40" s="8"/>
      <c r="AZ40" s="8"/>
      <c r="BA40" s="8"/>
      <c r="BB40" s="8"/>
    </row>
    <row r="41" ht="15.75" customHeight="1">
      <c r="A41" s="11" t="s">
        <v>79</v>
      </c>
      <c r="B41" s="8">
        <f t="shared" si="2"/>
        <v>6.5</v>
      </c>
      <c r="C41" s="8"/>
      <c r="D41" s="8"/>
      <c r="E41" s="8"/>
      <c r="F41" s="8"/>
      <c r="G41" s="8"/>
      <c r="H41" s="8"/>
      <c r="I41" s="8"/>
      <c r="J41" s="8"/>
      <c r="K41" s="8"/>
      <c r="L41" s="8"/>
      <c r="M41" s="8">
        <v>2.0</v>
      </c>
      <c r="N41" s="8"/>
      <c r="O41" s="8">
        <v>2.0</v>
      </c>
      <c r="P41" s="8"/>
      <c r="Q41" s="8"/>
      <c r="R41" s="8"/>
      <c r="S41" s="8">
        <v>2.5</v>
      </c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I41" s="8"/>
      <c r="AJ41" s="8"/>
      <c r="AK41" s="8"/>
      <c r="AL41" s="8"/>
      <c r="AM41" s="8"/>
      <c r="AN41" s="8"/>
      <c r="AO41" s="8"/>
      <c r="AP41" s="8"/>
      <c r="AQ41" s="8"/>
      <c r="AR41" s="8"/>
      <c r="AS41" s="8"/>
      <c r="AT41" s="8"/>
      <c r="AU41" s="8"/>
      <c r="AV41" s="8"/>
      <c r="AW41" s="8"/>
      <c r="AX41" s="8"/>
      <c r="AY41" s="8"/>
      <c r="AZ41" s="8"/>
      <c r="BA41" s="8"/>
      <c r="BB41" s="8"/>
    </row>
    <row r="42" ht="15.75" customHeight="1">
      <c r="A42" s="11" t="s">
        <v>80</v>
      </c>
      <c r="B42" s="8">
        <f t="shared" si="2"/>
        <v>4</v>
      </c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>
        <v>2.0</v>
      </c>
      <c r="O42" s="8"/>
      <c r="P42" s="8"/>
      <c r="Q42" s="8"/>
      <c r="R42" s="8"/>
      <c r="S42" s="8"/>
      <c r="T42" s="8"/>
      <c r="U42" s="8"/>
      <c r="V42" s="8">
        <v>2.0</v>
      </c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I42" s="8"/>
      <c r="AJ42" s="8"/>
      <c r="AK42" s="8"/>
      <c r="AL42" s="8"/>
      <c r="AM42" s="8"/>
      <c r="AN42" s="8"/>
      <c r="AO42" s="8"/>
      <c r="AP42" s="8"/>
      <c r="AQ42" s="8"/>
      <c r="AR42" s="8"/>
      <c r="AS42" s="8"/>
      <c r="AT42" s="8"/>
      <c r="AU42" s="8"/>
      <c r="AV42" s="8"/>
      <c r="AW42" s="8"/>
      <c r="AX42" s="8"/>
      <c r="AY42" s="8"/>
      <c r="AZ42" s="8"/>
      <c r="BA42" s="8"/>
      <c r="BB42" s="8"/>
    </row>
    <row r="43" ht="15.75" customHeight="1">
      <c r="A43" s="11" t="s">
        <v>81</v>
      </c>
      <c r="B43" s="8">
        <f t="shared" si="2"/>
        <v>2</v>
      </c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>
        <v>2.0</v>
      </c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8"/>
      <c r="AH43" s="8"/>
      <c r="AI43" s="8"/>
      <c r="AJ43" s="8"/>
      <c r="AK43" s="8"/>
      <c r="AL43" s="8"/>
      <c r="AM43" s="8"/>
      <c r="AN43" s="8"/>
      <c r="AO43" s="8"/>
      <c r="AP43" s="8"/>
      <c r="AQ43" s="8"/>
      <c r="AR43" s="8"/>
      <c r="AS43" s="8"/>
      <c r="AT43" s="8"/>
      <c r="AU43" s="8"/>
      <c r="AV43" s="8"/>
      <c r="AW43" s="8"/>
      <c r="AX43" s="8"/>
      <c r="AY43" s="8"/>
      <c r="AZ43" s="8"/>
      <c r="BA43" s="8"/>
      <c r="BB43" s="8"/>
    </row>
    <row r="44" ht="15.75" customHeight="1">
      <c r="A44" s="11" t="s">
        <v>82</v>
      </c>
      <c r="B44" s="8">
        <f t="shared" si="2"/>
        <v>2</v>
      </c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>
        <v>2.0</v>
      </c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8"/>
      <c r="AJ44" s="8"/>
      <c r="AK44" s="8"/>
      <c r="AL44" s="8"/>
      <c r="AM44" s="8"/>
      <c r="AN44" s="8"/>
      <c r="AO44" s="8"/>
      <c r="AP44" s="8"/>
      <c r="AQ44" s="8"/>
      <c r="AR44" s="8"/>
      <c r="AS44" s="8"/>
      <c r="AT44" s="8"/>
      <c r="AU44" s="8"/>
      <c r="AV44" s="8"/>
      <c r="AW44" s="8"/>
      <c r="AX44" s="8"/>
      <c r="AY44" s="8"/>
      <c r="AZ44" s="8"/>
      <c r="BA44" s="8"/>
      <c r="BB44" s="8"/>
    </row>
    <row r="45" ht="15.75" customHeight="1">
      <c r="A45" s="11" t="s">
        <v>238</v>
      </c>
      <c r="B45" s="8">
        <f t="shared" si="2"/>
        <v>2</v>
      </c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>
        <v>2.0</v>
      </c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8"/>
      <c r="AJ45" s="8"/>
      <c r="AK45" s="8"/>
      <c r="AL45" s="8"/>
      <c r="AM45" s="8"/>
      <c r="AN45" s="8"/>
      <c r="AO45" s="8"/>
      <c r="AP45" s="8"/>
      <c r="AQ45" s="8"/>
      <c r="AR45" s="8"/>
      <c r="AS45" s="8"/>
      <c r="AT45" s="8"/>
      <c r="AU45" s="8"/>
      <c r="AV45" s="8"/>
      <c r="AW45" s="8"/>
      <c r="AX45" s="8"/>
      <c r="AY45" s="8"/>
      <c r="AZ45" s="8"/>
      <c r="BA45" s="8"/>
      <c r="BB45" s="8"/>
    </row>
    <row r="46" ht="15.75" customHeight="1">
      <c r="A46" s="11" t="s">
        <v>96</v>
      </c>
      <c r="B46" s="8">
        <f t="shared" si="2"/>
        <v>8.5</v>
      </c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>
        <v>2.0</v>
      </c>
      <c r="Q46" s="8"/>
      <c r="R46" s="8"/>
      <c r="S46" s="8"/>
      <c r="T46" s="8"/>
      <c r="U46" s="8"/>
      <c r="V46" s="8"/>
      <c r="W46" s="8">
        <v>2.0</v>
      </c>
      <c r="X46" s="8"/>
      <c r="Y46" s="8"/>
      <c r="Z46" s="8"/>
      <c r="AA46" s="8"/>
      <c r="AB46" s="8">
        <v>2.0</v>
      </c>
      <c r="AC46" s="8"/>
      <c r="AD46" s="8"/>
      <c r="AE46" s="8"/>
      <c r="AF46" s="8"/>
      <c r="AG46" s="8"/>
      <c r="AH46" s="8"/>
      <c r="AI46" s="8"/>
      <c r="AJ46" s="8"/>
      <c r="AK46" s="8"/>
      <c r="AL46" s="8"/>
      <c r="AM46" s="8"/>
      <c r="AN46" s="8"/>
      <c r="AO46" s="8"/>
      <c r="AP46" s="8"/>
      <c r="AQ46" s="8"/>
      <c r="AR46" s="8"/>
      <c r="AS46" s="8"/>
      <c r="AT46" s="20">
        <v>2.5</v>
      </c>
      <c r="AU46" s="8"/>
      <c r="AV46" s="8"/>
      <c r="AW46" s="8"/>
      <c r="AX46" s="8"/>
      <c r="AY46" s="8"/>
      <c r="AZ46" s="8"/>
      <c r="BA46" s="8"/>
      <c r="BB46" s="8"/>
    </row>
    <row r="47" ht="15.75" customHeight="1">
      <c r="A47" s="11" t="s">
        <v>239</v>
      </c>
      <c r="B47" s="8">
        <f t="shared" si="2"/>
        <v>2</v>
      </c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>
        <v>2.0</v>
      </c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8"/>
      <c r="AJ47" s="8"/>
      <c r="AK47" s="8"/>
      <c r="AL47" s="8"/>
      <c r="AM47" s="8"/>
      <c r="AN47" s="8"/>
      <c r="AO47" s="8"/>
      <c r="AP47" s="8"/>
      <c r="AQ47" s="8"/>
      <c r="AR47" s="8"/>
      <c r="AS47" s="8"/>
      <c r="AT47" s="8"/>
      <c r="AU47" s="8"/>
      <c r="AV47" s="8"/>
      <c r="AW47" s="8"/>
      <c r="AX47" s="8"/>
      <c r="AY47" s="8"/>
      <c r="AZ47" s="8"/>
      <c r="BA47" s="8"/>
      <c r="BB47" s="8"/>
    </row>
    <row r="48" ht="15.75" customHeight="1">
      <c r="A48" s="11" t="s">
        <v>240</v>
      </c>
      <c r="B48" s="8">
        <f t="shared" si="2"/>
        <v>4.75</v>
      </c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>
        <v>2.5</v>
      </c>
      <c r="S48" s="8"/>
      <c r="T48" s="8"/>
      <c r="U48" s="8"/>
      <c r="V48" s="8"/>
      <c r="W48" s="8"/>
      <c r="X48" s="8"/>
      <c r="Y48" s="8">
        <v>2.25</v>
      </c>
      <c r="Z48" s="8"/>
      <c r="AA48" s="8"/>
      <c r="AB48" s="8"/>
      <c r="AC48" s="8"/>
      <c r="AD48" s="8"/>
      <c r="AE48" s="8"/>
      <c r="AF48" s="8"/>
      <c r="AG48" s="8"/>
      <c r="AH48" s="8"/>
      <c r="AI48" s="8"/>
      <c r="AJ48" s="8"/>
      <c r="AK48" s="8"/>
      <c r="AL48" s="8"/>
      <c r="AM48" s="8"/>
      <c r="AN48" s="8"/>
      <c r="AO48" s="8"/>
      <c r="AP48" s="8"/>
      <c r="AQ48" s="8"/>
      <c r="AR48" s="8"/>
      <c r="AS48" s="8"/>
      <c r="AT48" s="8"/>
      <c r="AU48" s="8"/>
      <c r="AV48" s="8"/>
      <c r="AW48" s="8"/>
      <c r="AX48" s="8"/>
      <c r="AY48" s="8"/>
      <c r="AZ48" s="8"/>
      <c r="BA48" s="8"/>
      <c r="BB48" s="8"/>
    </row>
    <row r="49" ht="15.75" customHeight="1">
      <c r="A49" s="11" t="s">
        <v>37</v>
      </c>
      <c r="B49" s="8">
        <f t="shared" si="2"/>
        <v>7</v>
      </c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>
        <v>3.0</v>
      </c>
      <c r="U49" s="8">
        <v>1.5</v>
      </c>
      <c r="V49" s="8"/>
      <c r="W49" s="8"/>
      <c r="X49" s="8"/>
      <c r="Y49" s="8"/>
      <c r="Z49" s="8"/>
      <c r="AA49" s="8"/>
      <c r="AB49" s="8"/>
      <c r="AC49" s="8"/>
      <c r="AD49" s="8"/>
      <c r="AE49" s="8"/>
      <c r="AF49" s="8"/>
      <c r="AG49" s="8"/>
      <c r="AH49" s="8"/>
      <c r="AI49" s="8"/>
      <c r="AJ49" s="8"/>
      <c r="AK49" s="8"/>
      <c r="AL49" s="8"/>
      <c r="AM49" s="8"/>
      <c r="AN49" s="8"/>
      <c r="AO49" s="8"/>
      <c r="AP49" s="8"/>
      <c r="AQ49" s="20">
        <v>2.5</v>
      </c>
      <c r="AR49" s="8"/>
      <c r="AS49" s="8"/>
      <c r="AT49" s="8"/>
      <c r="AU49" s="8"/>
      <c r="AV49" s="8"/>
      <c r="AW49" s="8"/>
      <c r="AX49" s="8"/>
      <c r="AY49" s="8"/>
      <c r="AZ49" s="8"/>
      <c r="BA49" s="8"/>
      <c r="BB49" s="8"/>
    </row>
    <row r="50" ht="15.75" customHeight="1">
      <c r="A50" s="11" t="s">
        <v>83</v>
      </c>
      <c r="B50" s="8">
        <f t="shared" si="2"/>
        <v>2.5</v>
      </c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>
        <v>2.5</v>
      </c>
      <c r="V50" s="8"/>
      <c r="W50" s="8"/>
      <c r="X50" s="8"/>
      <c r="Y50" s="8"/>
      <c r="Z50" s="8"/>
      <c r="AA50" s="8"/>
      <c r="AB50" s="8"/>
      <c r="AC50" s="8"/>
      <c r="AD50" s="8"/>
      <c r="AE50" s="8"/>
      <c r="AF50" s="8"/>
      <c r="AG50" s="8"/>
      <c r="AH50" s="8"/>
      <c r="AI50" s="8"/>
      <c r="AJ50" s="8"/>
      <c r="AK50" s="8"/>
      <c r="AL50" s="8"/>
      <c r="AM50" s="8"/>
      <c r="AN50" s="8"/>
      <c r="AO50" s="8"/>
      <c r="AP50" s="8"/>
      <c r="AQ50" s="8"/>
      <c r="AR50" s="8"/>
      <c r="AS50" s="8"/>
      <c r="AT50" s="8"/>
      <c r="AU50" s="8"/>
      <c r="AV50" s="8"/>
      <c r="AW50" s="8"/>
      <c r="AX50" s="8"/>
      <c r="AY50" s="8"/>
      <c r="AZ50" s="8"/>
      <c r="BA50" s="8"/>
      <c r="BB50" s="8"/>
    </row>
    <row r="51" ht="15.75" customHeight="1">
      <c r="A51" s="11" t="s">
        <v>109</v>
      </c>
      <c r="B51" s="8">
        <f t="shared" si="2"/>
        <v>21.75</v>
      </c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>
        <v>2.5</v>
      </c>
      <c r="V51" s="8">
        <v>2.0</v>
      </c>
      <c r="W51" s="8"/>
      <c r="X51" s="8">
        <v>2.5</v>
      </c>
      <c r="Y51" s="8"/>
      <c r="Z51" s="8">
        <v>2.5</v>
      </c>
      <c r="AA51" s="8">
        <v>2.0</v>
      </c>
      <c r="AB51" s="8">
        <v>2.0</v>
      </c>
      <c r="AC51" s="8"/>
      <c r="AD51" s="8"/>
      <c r="AE51" s="8">
        <v>2.0</v>
      </c>
      <c r="AF51" s="8"/>
      <c r="AG51" s="8"/>
      <c r="AH51" s="8"/>
      <c r="AI51" s="8"/>
      <c r="AJ51" s="8">
        <v>2.0</v>
      </c>
      <c r="AK51" s="8"/>
      <c r="AL51" s="8"/>
      <c r="AM51" s="8"/>
      <c r="AN51" s="8"/>
      <c r="AO51" s="8"/>
      <c r="AP51" s="8">
        <v>2.0</v>
      </c>
      <c r="AQ51" s="8"/>
      <c r="AR51" s="8"/>
      <c r="AS51" s="8"/>
      <c r="AT51" s="8"/>
      <c r="AU51" s="8"/>
      <c r="AV51" s="8"/>
      <c r="AW51" s="8"/>
      <c r="AX51" s="8"/>
      <c r="AY51" s="21">
        <v>2.25</v>
      </c>
      <c r="AZ51" s="8"/>
      <c r="BA51" s="8"/>
      <c r="BB51" s="8"/>
    </row>
    <row r="52" ht="15.75" customHeight="1">
      <c r="A52" s="11" t="s">
        <v>90</v>
      </c>
      <c r="B52" s="8">
        <f t="shared" si="2"/>
        <v>11.25</v>
      </c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>
        <v>2.5</v>
      </c>
      <c r="V52" s="8"/>
      <c r="W52" s="8">
        <v>2.0</v>
      </c>
      <c r="X52" s="8">
        <v>2.5</v>
      </c>
      <c r="Y52" s="8"/>
      <c r="Z52" s="8">
        <v>2.5</v>
      </c>
      <c r="AA52" s="8"/>
      <c r="AB52" s="8"/>
      <c r="AC52" s="8">
        <v>1.75</v>
      </c>
      <c r="AD52" s="8"/>
      <c r="AE52" s="8"/>
      <c r="AF52" s="8"/>
      <c r="AG52" s="8"/>
      <c r="AH52" s="8"/>
      <c r="AI52" s="8"/>
      <c r="AJ52" s="8"/>
      <c r="AK52" s="8"/>
      <c r="AL52" s="8"/>
      <c r="AM52" s="8"/>
      <c r="AN52" s="8"/>
      <c r="AO52" s="8"/>
      <c r="AP52" s="8"/>
      <c r="AQ52" s="8"/>
      <c r="AR52" s="8"/>
      <c r="AS52" s="8"/>
      <c r="AT52" s="8"/>
      <c r="AU52" s="8"/>
      <c r="AV52" s="8"/>
      <c r="AW52" s="8"/>
      <c r="AX52" s="8"/>
      <c r="AY52" s="8"/>
      <c r="AZ52" s="8"/>
      <c r="BA52" s="8"/>
      <c r="BB52" s="8"/>
    </row>
    <row r="53" ht="15.75" customHeight="1">
      <c r="A53" s="11" t="s">
        <v>241</v>
      </c>
      <c r="B53" s="8">
        <f t="shared" si="2"/>
        <v>2.5</v>
      </c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>
        <v>2.5</v>
      </c>
      <c r="V53" s="8"/>
      <c r="W53" s="8"/>
      <c r="X53" s="8"/>
      <c r="Y53" s="8"/>
      <c r="Z53" s="8"/>
      <c r="AA53" s="8"/>
      <c r="AB53" s="8"/>
      <c r="AC53" s="8"/>
      <c r="AD53" s="8"/>
      <c r="AE53" s="8"/>
      <c r="AF53" s="8"/>
      <c r="AG53" s="8"/>
      <c r="AH53" s="8"/>
      <c r="AI53" s="8"/>
      <c r="AJ53" s="8"/>
      <c r="AK53" s="8"/>
      <c r="AL53" s="8"/>
      <c r="AM53" s="8"/>
      <c r="AN53" s="8"/>
      <c r="AO53" s="8"/>
      <c r="AP53" s="8"/>
      <c r="AQ53" s="8"/>
      <c r="AR53" s="8"/>
      <c r="AS53" s="8"/>
      <c r="AT53" s="8"/>
      <c r="AU53" s="8"/>
      <c r="AV53" s="8"/>
      <c r="AW53" s="8"/>
      <c r="AX53" s="8"/>
      <c r="AY53" s="8"/>
      <c r="AZ53" s="8"/>
      <c r="BA53" s="8"/>
      <c r="BB53" s="8"/>
    </row>
    <row r="54" ht="15.75" customHeight="1">
      <c r="A54" s="11" t="s">
        <v>119</v>
      </c>
      <c r="B54" s="8">
        <f t="shared" si="2"/>
        <v>27.75</v>
      </c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>
        <v>2.5</v>
      </c>
      <c r="V54" s="8"/>
      <c r="W54" s="8">
        <v>2.0</v>
      </c>
      <c r="X54" s="8">
        <v>2.5</v>
      </c>
      <c r="Y54" s="8">
        <v>2.25</v>
      </c>
      <c r="Z54" s="8">
        <v>2.5</v>
      </c>
      <c r="AA54" s="8">
        <v>2.0</v>
      </c>
      <c r="AB54" s="8">
        <v>2.0</v>
      </c>
      <c r="AC54" s="8">
        <v>1.75</v>
      </c>
      <c r="AD54" s="8">
        <v>2.0</v>
      </c>
      <c r="AE54" s="8">
        <v>2.0</v>
      </c>
      <c r="AF54" s="8"/>
      <c r="AG54" s="8"/>
      <c r="AH54" s="8"/>
      <c r="AI54" s="8">
        <v>2.0</v>
      </c>
      <c r="AJ54" s="8"/>
      <c r="AK54" s="8"/>
      <c r="AL54" s="8"/>
      <c r="AM54" s="8"/>
      <c r="AN54" s="8"/>
      <c r="AO54" s="8"/>
      <c r="AP54" s="8"/>
      <c r="AQ54" s="8"/>
      <c r="AR54" s="8"/>
      <c r="AS54" s="8"/>
      <c r="AT54" s="8"/>
      <c r="AU54" s="8"/>
      <c r="AV54" s="8"/>
      <c r="AW54" s="8"/>
      <c r="AX54" s="8"/>
      <c r="AY54" s="8"/>
      <c r="AZ54" s="20">
        <v>2.25</v>
      </c>
      <c r="BA54" s="20">
        <v>2.0</v>
      </c>
      <c r="BB54" s="8"/>
    </row>
    <row r="55" ht="15.75" customHeight="1">
      <c r="A55" s="11" t="s">
        <v>117</v>
      </c>
      <c r="B55" s="8">
        <f t="shared" si="2"/>
        <v>23.5</v>
      </c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>
        <v>4.0</v>
      </c>
      <c r="W55" s="8"/>
      <c r="X55" s="8"/>
      <c r="Y55" s="8"/>
      <c r="Z55" s="8"/>
      <c r="AA55" s="8"/>
      <c r="AB55" s="8"/>
      <c r="AC55" s="8">
        <v>1.75</v>
      </c>
      <c r="AD55" s="8"/>
      <c r="AE55" s="8"/>
      <c r="AF55" s="8">
        <v>2.5</v>
      </c>
      <c r="AG55" s="8"/>
      <c r="AH55" s="8">
        <v>2.5</v>
      </c>
      <c r="AI55" s="8">
        <v>2.0</v>
      </c>
      <c r="AJ55" s="8"/>
      <c r="AK55" s="8">
        <v>3.0</v>
      </c>
      <c r="AL55" s="8">
        <v>2.0</v>
      </c>
      <c r="AM55" s="8">
        <v>2.25</v>
      </c>
      <c r="AN55" s="8"/>
      <c r="AO55" s="8"/>
      <c r="AP55" s="8"/>
      <c r="AQ55" s="8"/>
      <c r="AR55" s="8"/>
      <c r="AS55" s="8"/>
      <c r="AT55" s="8"/>
      <c r="AU55" s="8"/>
      <c r="AV55" s="8"/>
      <c r="AW55" s="8"/>
      <c r="AX55" s="20">
        <v>2.5</v>
      </c>
      <c r="AY55" s="8"/>
      <c r="AZ55" s="8"/>
      <c r="BA55" s="20">
        <v>1.0</v>
      </c>
      <c r="BB55" s="8"/>
    </row>
    <row r="56" ht="15.75" customHeight="1">
      <c r="A56" s="11" t="s">
        <v>32</v>
      </c>
      <c r="B56" s="8">
        <f t="shared" si="2"/>
        <v>2</v>
      </c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>
        <v>2.0</v>
      </c>
      <c r="X56" s="8"/>
      <c r="Y56" s="8"/>
      <c r="Z56" s="8"/>
      <c r="AA56" s="8"/>
      <c r="AB56" s="8"/>
      <c r="AC56" s="8"/>
      <c r="AD56" s="8"/>
      <c r="AE56" s="8"/>
      <c r="AF56" s="8"/>
      <c r="AG56" s="8"/>
      <c r="AH56" s="8"/>
      <c r="AI56" s="8"/>
      <c r="AJ56" s="8"/>
      <c r="AK56" s="8"/>
      <c r="AL56" s="8"/>
      <c r="AM56" s="8"/>
      <c r="AN56" s="8"/>
      <c r="AO56" s="8"/>
      <c r="AP56" s="8"/>
      <c r="AQ56" s="8"/>
      <c r="AR56" s="8"/>
      <c r="AS56" s="8"/>
      <c r="AT56" s="8"/>
      <c r="AU56" s="8"/>
      <c r="AV56" s="8"/>
      <c r="AW56" s="8"/>
      <c r="AX56" s="8"/>
      <c r="AY56" s="8"/>
      <c r="AZ56" s="8"/>
      <c r="BA56" s="8"/>
      <c r="BB56" s="8"/>
    </row>
    <row r="57" ht="15.75" customHeight="1">
      <c r="A57" s="11" t="s">
        <v>29</v>
      </c>
      <c r="B57" s="8">
        <f t="shared" si="2"/>
        <v>9.75</v>
      </c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>
        <v>2.5</v>
      </c>
      <c r="Y57" s="8">
        <v>2.25</v>
      </c>
      <c r="Z57" s="8"/>
      <c r="AA57" s="8">
        <v>2.0</v>
      </c>
      <c r="AB57" s="8">
        <v>2.0</v>
      </c>
      <c r="AC57" s="8"/>
      <c r="AD57" s="8"/>
      <c r="AE57" s="8">
        <v>1.0</v>
      </c>
      <c r="AF57" s="8"/>
      <c r="AG57" s="8"/>
      <c r="AH57" s="8"/>
      <c r="AI57" s="8"/>
      <c r="AJ57" s="8"/>
      <c r="AK57" s="8"/>
      <c r="AL57" s="8"/>
      <c r="AM57" s="8"/>
      <c r="AN57" s="8"/>
      <c r="AO57" s="8"/>
      <c r="AP57" s="8"/>
      <c r="AQ57" s="8"/>
      <c r="AR57" s="8"/>
      <c r="AS57" s="8"/>
      <c r="AT57" s="8"/>
      <c r="AU57" s="8"/>
      <c r="AV57" s="8"/>
      <c r="AW57" s="8"/>
      <c r="AX57" s="8"/>
      <c r="AY57" s="8"/>
      <c r="AZ57" s="8"/>
      <c r="BA57" s="8"/>
      <c r="BB57" s="8"/>
    </row>
    <row r="58" ht="15.75" customHeight="1">
      <c r="A58" s="11" t="s">
        <v>242</v>
      </c>
      <c r="B58" s="8">
        <f t="shared" si="2"/>
        <v>1</v>
      </c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>
        <v>1.0</v>
      </c>
      <c r="Z58" s="8"/>
      <c r="AA58" s="8"/>
      <c r="AB58" s="8"/>
      <c r="AC58" s="8"/>
      <c r="AD58" s="8"/>
      <c r="AE58" s="8"/>
      <c r="AF58" s="8"/>
      <c r="AG58" s="8"/>
      <c r="AH58" s="8"/>
      <c r="AI58" s="8"/>
      <c r="AJ58" s="8"/>
      <c r="AK58" s="8"/>
      <c r="AL58" s="8"/>
      <c r="AM58" s="8"/>
      <c r="AN58" s="8"/>
      <c r="AO58" s="8"/>
      <c r="AP58" s="8"/>
      <c r="AQ58" s="8"/>
      <c r="AR58" s="8"/>
      <c r="AS58" s="8"/>
      <c r="AT58" s="8"/>
      <c r="AU58" s="8"/>
      <c r="AV58" s="8"/>
      <c r="AW58" s="8"/>
      <c r="AX58" s="8"/>
      <c r="AY58" s="8"/>
      <c r="AZ58" s="8"/>
      <c r="BA58" s="8"/>
      <c r="BB58" s="8"/>
    </row>
    <row r="59" ht="15.75" customHeight="1">
      <c r="A59" s="11" t="s">
        <v>243</v>
      </c>
      <c r="B59" s="8">
        <f t="shared" si="2"/>
        <v>4.25</v>
      </c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>
        <v>2.25</v>
      </c>
      <c r="Z59" s="8"/>
      <c r="AA59" s="8">
        <v>2.0</v>
      </c>
      <c r="AB59" s="8"/>
      <c r="AC59" s="8"/>
      <c r="AD59" s="8"/>
      <c r="AE59" s="8"/>
      <c r="AF59" s="8"/>
      <c r="AG59" s="8"/>
      <c r="AH59" s="8"/>
      <c r="AI59" s="8"/>
      <c r="AJ59" s="8"/>
      <c r="AK59" s="8"/>
      <c r="AL59" s="8"/>
      <c r="AM59" s="8"/>
      <c r="AN59" s="8"/>
      <c r="AO59" s="8"/>
      <c r="AP59" s="8"/>
      <c r="AQ59" s="8"/>
      <c r="AR59" s="8"/>
      <c r="AS59" s="8"/>
      <c r="AT59" s="8"/>
      <c r="AU59" s="8"/>
      <c r="AV59" s="8"/>
      <c r="AW59" s="8"/>
      <c r="AX59" s="8"/>
      <c r="AY59" s="8"/>
      <c r="AZ59" s="8"/>
      <c r="BA59" s="8"/>
      <c r="BB59" s="8"/>
    </row>
    <row r="60" ht="15.75" customHeight="1">
      <c r="A60" s="11" t="s">
        <v>100</v>
      </c>
      <c r="B60" s="8">
        <f t="shared" si="2"/>
        <v>7.25</v>
      </c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>
        <v>2.25</v>
      </c>
      <c r="Z60" s="8"/>
      <c r="AA60" s="8"/>
      <c r="AB60" s="8"/>
      <c r="AC60" s="8"/>
      <c r="AD60" s="8"/>
      <c r="AE60" s="8"/>
      <c r="AF60" s="8"/>
      <c r="AG60" s="8">
        <v>1.0</v>
      </c>
      <c r="AH60" s="8"/>
      <c r="AI60" s="8"/>
      <c r="AJ60" s="8"/>
      <c r="AK60" s="8"/>
      <c r="AL60" s="8"/>
      <c r="AM60" s="8">
        <v>2.25</v>
      </c>
      <c r="AN60" s="8"/>
      <c r="AO60" s="8"/>
      <c r="AP60" s="8"/>
      <c r="AQ60" s="8"/>
      <c r="AR60" s="20">
        <v>1.75</v>
      </c>
      <c r="AS60" s="8"/>
      <c r="AT60" s="8"/>
      <c r="AU60" s="8"/>
      <c r="AV60" s="8"/>
      <c r="AW60" s="8"/>
      <c r="AX60" s="8"/>
      <c r="AY60" s="8"/>
      <c r="AZ60" s="8"/>
      <c r="BA60" s="8"/>
      <c r="BB60" s="8"/>
    </row>
    <row r="61" ht="15.75" customHeight="1">
      <c r="A61" s="11" t="s">
        <v>110</v>
      </c>
      <c r="B61" s="8">
        <f t="shared" si="2"/>
        <v>6.5</v>
      </c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>
        <v>2.5</v>
      </c>
      <c r="AA61" s="8">
        <v>2.0</v>
      </c>
      <c r="AB61" s="8"/>
      <c r="AC61" s="8"/>
      <c r="AD61" s="8">
        <v>2.0</v>
      </c>
      <c r="AE61" s="8"/>
      <c r="AF61" s="8"/>
      <c r="AG61" s="8"/>
      <c r="AH61" s="8"/>
      <c r="AI61" s="8"/>
      <c r="AJ61" s="8"/>
      <c r="AK61" s="8"/>
      <c r="AL61" s="8"/>
      <c r="AM61" s="8"/>
      <c r="AN61" s="8"/>
      <c r="AO61" s="8"/>
      <c r="AP61" s="8"/>
      <c r="AQ61" s="8"/>
      <c r="AR61" s="8"/>
      <c r="AS61" s="8"/>
      <c r="AT61" s="8"/>
      <c r="AU61" s="8"/>
      <c r="AV61" s="8"/>
      <c r="AW61" s="8"/>
      <c r="AX61" s="8"/>
      <c r="AY61" s="8"/>
      <c r="AZ61" s="8"/>
      <c r="BA61" s="8"/>
      <c r="BB61" s="8"/>
    </row>
    <row r="62" ht="15.75" customHeight="1">
      <c r="A62" s="11" t="s">
        <v>244</v>
      </c>
      <c r="B62" s="8">
        <f t="shared" si="2"/>
        <v>0</v>
      </c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  <c r="AC62" s="8"/>
      <c r="AD62" s="8"/>
      <c r="AE62" s="8"/>
      <c r="AF62" s="8"/>
      <c r="AG62" s="8"/>
      <c r="AH62" s="8"/>
      <c r="AI62" s="8"/>
      <c r="AJ62" s="8"/>
      <c r="AK62" s="8"/>
      <c r="AL62" s="8"/>
      <c r="AM62" s="8"/>
      <c r="AN62" s="8"/>
      <c r="AO62" s="8"/>
      <c r="AP62" s="8"/>
      <c r="AQ62" s="8"/>
      <c r="AR62" s="8"/>
      <c r="AS62" s="8"/>
      <c r="AT62" s="8"/>
      <c r="AU62" s="8"/>
      <c r="AV62" s="8"/>
      <c r="AW62" s="8"/>
      <c r="AX62" s="8"/>
      <c r="AY62" s="8"/>
      <c r="AZ62" s="8"/>
      <c r="BA62" s="8"/>
      <c r="BB62" s="8"/>
    </row>
    <row r="63" ht="15.75" customHeight="1">
      <c r="A63" s="11" t="s">
        <v>245</v>
      </c>
      <c r="B63" s="8">
        <f t="shared" si="2"/>
        <v>25.25</v>
      </c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>
        <v>2.0</v>
      </c>
      <c r="AB63" s="8"/>
      <c r="AC63" s="8"/>
      <c r="AD63" s="8"/>
      <c r="AE63" s="8"/>
      <c r="AF63" s="8"/>
      <c r="AG63" s="8"/>
      <c r="AH63" s="8"/>
      <c r="AI63" s="8"/>
      <c r="AJ63" s="8"/>
      <c r="AK63" s="8"/>
      <c r="AL63" s="8"/>
      <c r="AM63" s="8"/>
      <c r="AN63" s="8"/>
      <c r="AO63" s="8"/>
      <c r="AP63" s="8">
        <v>2.5</v>
      </c>
      <c r="AQ63" s="20">
        <v>2.5</v>
      </c>
      <c r="AR63" s="20">
        <v>2.0</v>
      </c>
      <c r="AS63" s="8"/>
      <c r="AT63" s="8"/>
      <c r="AU63" s="8"/>
      <c r="AV63" s="21">
        <v>2.5</v>
      </c>
      <c r="AW63" s="20">
        <v>2.5</v>
      </c>
      <c r="AX63" s="20">
        <v>2.5</v>
      </c>
      <c r="AY63" s="21">
        <v>2.5</v>
      </c>
      <c r="AZ63" s="20">
        <v>2.25</v>
      </c>
      <c r="BA63" s="20">
        <v>2.0</v>
      </c>
      <c r="BB63" s="20">
        <v>2.0</v>
      </c>
    </row>
    <row r="64" ht="15.75" customHeight="1">
      <c r="A64" s="11" t="s">
        <v>246</v>
      </c>
      <c r="B64" s="8">
        <f t="shared" si="2"/>
        <v>2</v>
      </c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>
        <v>2.0</v>
      </c>
      <c r="AB64" s="8"/>
      <c r="AC64" s="8"/>
      <c r="AD64" s="8"/>
      <c r="AE64" s="8"/>
      <c r="AF64" s="8"/>
      <c r="AG64" s="8"/>
      <c r="AH64" s="8"/>
      <c r="AI64" s="8"/>
      <c r="AJ64" s="8"/>
      <c r="AK64" s="8"/>
      <c r="AL64" s="8"/>
      <c r="AM64" s="8"/>
      <c r="AN64" s="8"/>
      <c r="AO64" s="8"/>
      <c r="AP64" s="8"/>
      <c r="AQ64" s="8"/>
      <c r="AR64" s="8"/>
      <c r="AS64" s="8"/>
      <c r="AT64" s="8"/>
      <c r="AU64" s="8"/>
      <c r="AV64" s="8"/>
      <c r="AW64" s="8"/>
      <c r="AX64" s="8"/>
      <c r="AY64" s="8"/>
      <c r="AZ64" s="8"/>
      <c r="BA64" s="8"/>
      <c r="BB64" s="8"/>
    </row>
    <row r="65" ht="15.75" customHeight="1">
      <c r="A65" s="11" t="s">
        <v>142</v>
      </c>
      <c r="B65" s="8">
        <f t="shared" si="2"/>
        <v>12</v>
      </c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>
        <v>2.0</v>
      </c>
      <c r="AC65" s="8">
        <v>1.75</v>
      </c>
      <c r="AD65" s="8"/>
      <c r="AE65" s="8"/>
      <c r="AF65" s="8"/>
      <c r="AG65" s="8">
        <v>2.25</v>
      </c>
      <c r="AH65" s="8">
        <v>2.5</v>
      </c>
      <c r="AI65" s="8"/>
      <c r="AJ65" s="8"/>
      <c r="AK65" s="8">
        <v>1.5</v>
      </c>
      <c r="AL65" s="8"/>
      <c r="AM65" s="8"/>
      <c r="AN65" s="8"/>
      <c r="AO65" s="8"/>
      <c r="AP65" s="8">
        <v>2.0</v>
      </c>
      <c r="AQ65" s="8"/>
      <c r="AR65" s="8"/>
      <c r="AS65" s="8"/>
      <c r="AT65" s="8"/>
      <c r="AU65" s="8"/>
      <c r="AV65" s="8"/>
      <c r="AW65" s="8"/>
      <c r="AX65" s="8"/>
      <c r="AY65" s="8"/>
      <c r="AZ65" s="8"/>
      <c r="BA65" s="8"/>
      <c r="BB65" s="8"/>
    </row>
    <row r="66" ht="15.75" customHeight="1">
      <c r="A66" s="11" t="s">
        <v>247</v>
      </c>
      <c r="B66" s="8">
        <f t="shared" si="2"/>
        <v>2</v>
      </c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>
        <v>2.0</v>
      </c>
      <c r="AC66" s="8"/>
      <c r="AD66" s="8"/>
      <c r="AE66" s="8"/>
      <c r="AF66" s="8"/>
      <c r="AG66" s="8"/>
      <c r="AH66" s="8"/>
      <c r="AI66" s="8"/>
      <c r="AJ66" s="8"/>
      <c r="AK66" s="8"/>
      <c r="AL66" s="8"/>
      <c r="AM66" s="8"/>
      <c r="AN66" s="8"/>
      <c r="AO66" s="8"/>
      <c r="AP66" s="8"/>
      <c r="AQ66" s="8"/>
      <c r="AR66" s="8"/>
      <c r="AS66" s="8"/>
      <c r="AT66" s="8"/>
      <c r="AU66" s="8"/>
      <c r="AV66" s="8"/>
      <c r="AW66" s="8"/>
      <c r="AX66" s="8"/>
      <c r="AY66" s="8"/>
      <c r="AZ66" s="8"/>
      <c r="BA66" s="8"/>
      <c r="BB66" s="8"/>
    </row>
    <row r="67" ht="15.75" customHeight="1">
      <c r="A67" s="11" t="s">
        <v>248</v>
      </c>
      <c r="B67" s="8">
        <f t="shared" si="2"/>
        <v>1.75</v>
      </c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  <c r="AC67" s="8">
        <v>1.75</v>
      </c>
      <c r="AD67" s="8"/>
      <c r="AE67" s="8"/>
      <c r="AF67" s="8"/>
      <c r="AG67" s="8"/>
      <c r="AH67" s="8"/>
      <c r="AI67" s="8"/>
      <c r="AJ67" s="8"/>
      <c r="AK67" s="8"/>
      <c r="AL67" s="8"/>
      <c r="AM67" s="8"/>
      <c r="AN67" s="8"/>
      <c r="AO67" s="8"/>
      <c r="AP67" s="8"/>
      <c r="AQ67" s="8"/>
      <c r="AR67" s="8"/>
      <c r="AS67" s="8"/>
      <c r="AT67" s="8"/>
      <c r="AU67" s="8"/>
      <c r="AV67" s="8"/>
      <c r="AW67" s="8"/>
      <c r="AX67" s="8"/>
      <c r="AY67" s="8"/>
      <c r="AZ67" s="8"/>
      <c r="BA67" s="8"/>
      <c r="BB67" s="8"/>
    </row>
    <row r="68" ht="15.75" customHeight="1">
      <c r="A68" s="11" t="s">
        <v>249</v>
      </c>
      <c r="B68" s="8">
        <f t="shared" si="2"/>
        <v>4.25</v>
      </c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  <c r="AC68" s="8">
        <v>1.75</v>
      </c>
      <c r="AD68" s="8"/>
      <c r="AE68" s="8"/>
      <c r="AF68" s="8"/>
      <c r="AG68" s="8"/>
      <c r="AH68" s="8"/>
      <c r="AI68" s="8"/>
      <c r="AJ68" s="8"/>
      <c r="AK68" s="8"/>
      <c r="AL68" s="8"/>
      <c r="AM68" s="8"/>
      <c r="AN68" s="8"/>
      <c r="AO68" s="8"/>
      <c r="AP68" s="8"/>
      <c r="AQ68" s="8"/>
      <c r="AR68" s="8"/>
      <c r="AS68" s="8"/>
      <c r="AT68" s="8"/>
      <c r="AU68" s="8"/>
      <c r="AV68" s="21">
        <v>2.5</v>
      </c>
      <c r="AW68" s="8"/>
      <c r="AX68" s="8"/>
      <c r="AY68" s="8"/>
      <c r="AZ68" s="8"/>
      <c r="BA68" s="8"/>
      <c r="BB68" s="8"/>
    </row>
    <row r="69" ht="15.75" customHeight="1">
      <c r="A69" s="11" t="s">
        <v>250</v>
      </c>
      <c r="B69" s="8">
        <f t="shared" si="2"/>
        <v>26.25</v>
      </c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>
        <v>2.0</v>
      </c>
      <c r="AE69" s="8">
        <v>2.0</v>
      </c>
      <c r="AF69" s="8">
        <v>2.5</v>
      </c>
      <c r="AG69" s="8">
        <v>2.25</v>
      </c>
      <c r="AH69" s="8">
        <v>2.0</v>
      </c>
      <c r="AI69" s="8">
        <v>2.0</v>
      </c>
      <c r="AJ69" s="8"/>
      <c r="AK69" s="8"/>
      <c r="AL69" s="8">
        <v>2.0</v>
      </c>
      <c r="AM69" s="8">
        <v>2.25</v>
      </c>
      <c r="AN69" s="8">
        <v>2.0</v>
      </c>
      <c r="AO69" s="8">
        <v>2.75</v>
      </c>
      <c r="AP69" s="8">
        <v>2.5</v>
      </c>
      <c r="AQ69" s="8"/>
      <c r="AR69" s="8"/>
      <c r="AS69" s="20">
        <v>2.0</v>
      </c>
      <c r="AT69" s="20"/>
      <c r="AU69" s="8"/>
      <c r="AV69" s="8"/>
      <c r="AW69" s="8"/>
      <c r="AX69" s="8"/>
      <c r="AY69" s="8"/>
      <c r="AZ69" s="8"/>
      <c r="BA69" s="8"/>
      <c r="BB69" s="8"/>
    </row>
    <row r="70" ht="15.75" customHeight="1">
      <c r="A70" s="11" t="s">
        <v>91</v>
      </c>
      <c r="B70" s="8">
        <f t="shared" si="2"/>
        <v>2</v>
      </c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>
        <v>2.0</v>
      </c>
      <c r="AF70" s="8"/>
      <c r="AG70" s="8"/>
      <c r="AH70" s="8"/>
      <c r="AI70" s="8"/>
      <c r="AJ70" s="8"/>
      <c r="AK70" s="8"/>
      <c r="AL70" s="8"/>
      <c r="AM70" s="8"/>
      <c r="AN70" s="8"/>
      <c r="AO70" s="8"/>
      <c r="AP70" s="8"/>
      <c r="AQ70" s="8"/>
      <c r="AR70" s="8"/>
      <c r="AS70" s="8"/>
      <c r="AT70" s="8"/>
      <c r="AU70" s="8"/>
      <c r="AV70" s="8"/>
      <c r="AW70" s="8"/>
      <c r="AX70" s="8"/>
      <c r="AY70" s="8"/>
      <c r="AZ70" s="8"/>
      <c r="BA70" s="8"/>
      <c r="BB70" s="8"/>
    </row>
    <row r="71" ht="15.75" customHeight="1">
      <c r="A71" s="11" t="s">
        <v>99</v>
      </c>
      <c r="B71" s="8">
        <f t="shared" si="2"/>
        <v>8.25</v>
      </c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  <c r="AE71" s="8">
        <v>2.0</v>
      </c>
      <c r="AF71" s="8"/>
      <c r="AG71" s="8"/>
      <c r="AH71" s="8"/>
      <c r="AI71" s="8"/>
      <c r="AJ71" s="8"/>
      <c r="AK71" s="8"/>
      <c r="AL71" s="8">
        <v>2.0</v>
      </c>
      <c r="AM71" s="8">
        <v>2.25</v>
      </c>
      <c r="AN71" s="8"/>
      <c r="AO71" s="8"/>
      <c r="AP71" s="8"/>
      <c r="AQ71" s="8"/>
      <c r="AR71" s="8"/>
      <c r="AS71" s="20">
        <v>2.0</v>
      </c>
      <c r="AT71" s="20"/>
      <c r="AU71" s="8"/>
      <c r="AV71" s="8"/>
      <c r="AW71" s="8"/>
      <c r="AX71" s="8"/>
      <c r="AY71" s="8"/>
      <c r="AZ71" s="8"/>
      <c r="BA71" s="8"/>
      <c r="BB71" s="8"/>
    </row>
    <row r="72" ht="15.75" customHeight="1">
      <c r="A72" s="11" t="s">
        <v>251</v>
      </c>
      <c r="B72" s="8">
        <f t="shared" si="2"/>
        <v>2</v>
      </c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  <c r="AD72" s="8"/>
      <c r="AE72" s="8">
        <v>2.0</v>
      </c>
      <c r="AF72" s="8"/>
      <c r="AG72" s="8"/>
      <c r="AH72" s="8"/>
      <c r="AI72" s="8"/>
      <c r="AJ72" s="8"/>
      <c r="AK72" s="8"/>
      <c r="AL72" s="8"/>
      <c r="AM72" s="8"/>
      <c r="AN72" s="8"/>
      <c r="AO72" s="8"/>
      <c r="AP72" s="8"/>
      <c r="AQ72" s="8"/>
      <c r="AR72" s="8"/>
      <c r="AS72" s="8"/>
      <c r="AT72" s="8"/>
      <c r="AU72" s="8"/>
      <c r="AV72" s="8"/>
      <c r="AW72" s="8"/>
      <c r="AX72" s="8"/>
      <c r="AY72" s="8"/>
      <c r="AZ72" s="8"/>
      <c r="BA72" s="8"/>
      <c r="BB72" s="8"/>
    </row>
    <row r="73" ht="15.75" customHeight="1">
      <c r="A73" s="11" t="s">
        <v>150</v>
      </c>
      <c r="B73" s="8">
        <f t="shared" si="2"/>
        <v>9.25</v>
      </c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  <c r="AD73" s="8"/>
      <c r="AE73" s="8"/>
      <c r="AF73" s="8"/>
      <c r="AG73" s="8">
        <v>2.5</v>
      </c>
      <c r="AH73" s="8"/>
      <c r="AI73" s="8"/>
      <c r="AJ73" s="8"/>
      <c r="AK73" s="8"/>
      <c r="AL73" s="8"/>
      <c r="AM73" s="8"/>
      <c r="AN73" s="8">
        <v>2.0</v>
      </c>
      <c r="AO73" s="8">
        <v>2.75</v>
      </c>
      <c r="AP73" s="8"/>
      <c r="AQ73" s="8"/>
      <c r="AR73" s="8"/>
      <c r="AS73" s="8"/>
      <c r="AT73" s="8"/>
      <c r="AU73" s="8"/>
      <c r="AV73" s="8"/>
      <c r="AW73" s="8"/>
      <c r="AX73" s="8"/>
      <c r="AY73" s="8"/>
      <c r="AZ73" s="8"/>
      <c r="BA73" s="8"/>
      <c r="BB73" s="20">
        <v>2.0</v>
      </c>
    </row>
    <row r="74" ht="15.75" customHeight="1">
      <c r="A74" s="11" t="s">
        <v>252</v>
      </c>
      <c r="B74" s="8">
        <f t="shared" si="2"/>
        <v>3</v>
      </c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  <c r="AD74" s="8"/>
      <c r="AE74" s="8"/>
      <c r="AF74" s="8"/>
      <c r="AG74" s="8">
        <v>1.0</v>
      </c>
      <c r="AH74" s="8"/>
      <c r="AI74" s="8"/>
      <c r="AJ74" s="8">
        <v>2.0</v>
      </c>
      <c r="AK74" s="8"/>
      <c r="AL74" s="8"/>
      <c r="AM74" s="8"/>
      <c r="AN74" s="8"/>
      <c r="AO74" s="8"/>
      <c r="AP74" s="8"/>
      <c r="AQ74" s="8"/>
      <c r="AR74" s="8"/>
      <c r="AS74" s="8"/>
      <c r="AT74" s="8"/>
      <c r="AU74" s="8"/>
      <c r="AV74" s="8"/>
      <c r="AW74" s="8"/>
      <c r="AX74" s="8"/>
      <c r="AY74" s="8"/>
      <c r="AZ74" s="8"/>
      <c r="BA74" s="8"/>
      <c r="BB74" s="8"/>
    </row>
    <row r="75" ht="15.75" customHeight="1">
      <c r="A75" s="11" t="s">
        <v>253</v>
      </c>
      <c r="B75" s="8">
        <f t="shared" si="2"/>
        <v>2.5</v>
      </c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  <c r="AD75" s="8"/>
      <c r="AE75" s="8"/>
      <c r="AF75" s="8"/>
      <c r="AG75" s="8">
        <v>2.5</v>
      </c>
      <c r="AH75" s="8"/>
      <c r="AI75" s="8"/>
      <c r="AJ75" s="8"/>
      <c r="AK75" s="8"/>
      <c r="AL75" s="8"/>
      <c r="AM75" s="8"/>
      <c r="AN75" s="8"/>
      <c r="AO75" s="8"/>
      <c r="AP75" s="8"/>
      <c r="AQ75" s="8"/>
      <c r="AR75" s="8"/>
      <c r="AS75" s="8"/>
      <c r="AT75" s="8"/>
      <c r="AU75" s="8"/>
      <c r="AV75" s="8"/>
      <c r="AW75" s="8"/>
      <c r="AX75" s="8"/>
      <c r="AY75" s="8"/>
      <c r="AZ75" s="8"/>
      <c r="BA75" s="8"/>
      <c r="BB75" s="8"/>
    </row>
    <row r="76" ht="15.75" customHeight="1">
      <c r="A76" s="11" t="s">
        <v>254</v>
      </c>
      <c r="B76" s="8">
        <f t="shared" si="2"/>
        <v>7.5</v>
      </c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  <c r="AE76" s="8"/>
      <c r="AF76" s="8"/>
      <c r="AG76" s="8">
        <v>2.5</v>
      </c>
      <c r="AH76" s="8">
        <v>2.5</v>
      </c>
      <c r="AI76" s="8"/>
      <c r="AJ76" s="8"/>
      <c r="AK76" s="8"/>
      <c r="AL76" s="8"/>
      <c r="AM76" s="8"/>
      <c r="AN76" s="8"/>
      <c r="AO76" s="8"/>
      <c r="AP76" s="8"/>
      <c r="AQ76" s="8"/>
      <c r="AR76" s="8"/>
      <c r="AS76" s="8"/>
      <c r="AT76" s="8"/>
      <c r="AU76" s="8"/>
      <c r="AV76" s="8"/>
      <c r="AW76" s="8"/>
      <c r="AX76" s="20">
        <v>2.5</v>
      </c>
      <c r="AY76" s="8"/>
      <c r="AZ76" s="8"/>
      <c r="BA76" s="8"/>
      <c r="BB76" s="8"/>
    </row>
    <row r="77" ht="15.75" customHeight="1">
      <c r="A77" s="11" t="s">
        <v>255</v>
      </c>
      <c r="B77" s="8">
        <f t="shared" si="2"/>
        <v>2.5</v>
      </c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  <c r="AE77" s="8"/>
      <c r="AF77" s="8"/>
      <c r="AG77" s="8"/>
      <c r="AH77" s="8">
        <v>2.5</v>
      </c>
      <c r="AI77" s="8"/>
      <c r="AJ77" s="8"/>
      <c r="AK77" s="8"/>
      <c r="AL77" s="8"/>
      <c r="AM77" s="8"/>
      <c r="AN77" s="8"/>
      <c r="AO77" s="8"/>
      <c r="AP77" s="8"/>
      <c r="AQ77" s="8"/>
      <c r="AR77" s="8"/>
      <c r="AS77" s="8"/>
      <c r="AT77" s="8"/>
      <c r="AU77" s="8"/>
      <c r="AV77" s="8"/>
      <c r="AW77" s="8"/>
      <c r="AX77" s="8"/>
      <c r="AY77" s="8"/>
      <c r="AZ77" s="8"/>
      <c r="BA77" s="8"/>
      <c r="BB77" s="8"/>
    </row>
    <row r="78" ht="15.75" customHeight="1">
      <c r="A78" s="11" t="s">
        <v>256</v>
      </c>
      <c r="B78" s="8">
        <f t="shared" si="2"/>
        <v>3</v>
      </c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  <c r="AD78" s="8"/>
      <c r="AE78" s="8"/>
      <c r="AF78" s="8"/>
      <c r="AG78" s="8"/>
      <c r="AH78" s="8"/>
      <c r="AI78" s="8">
        <v>2.0</v>
      </c>
      <c r="AJ78" s="8"/>
      <c r="AK78" s="8"/>
      <c r="AL78" s="8"/>
      <c r="AM78" s="8"/>
      <c r="AN78" s="8"/>
      <c r="AO78" s="8"/>
      <c r="AP78" s="8"/>
      <c r="AQ78" s="8"/>
      <c r="AR78" s="8"/>
      <c r="AS78" s="8"/>
      <c r="AT78" s="8"/>
      <c r="AU78" s="8"/>
      <c r="AV78" s="8"/>
      <c r="AW78" s="8"/>
      <c r="AX78" s="8"/>
      <c r="AY78" s="8"/>
      <c r="AZ78" s="20">
        <v>1.0</v>
      </c>
      <c r="BA78" s="8"/>
      <c r="BB78" s="8"/>
    </row>
    <row r="79" ht="15.75" customHeight="1">
      <c r="A79" s="11" t="s">
        <v>257</v>
      </c>
      <c r="B79" s="8">
        <f t="shared" si="2"/>
        <v>2</v>
      </c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  <c r="AD79" s="8"/>
      <c r="AE79" s="8"/>
      <c r="AF79" s="8"/>
      <c r="AG79" s="8"/>
      <c r="AH79" s="8"/>
      <c r="AI79" s="8"/>
      <c r="AJ79" s="8">
        <v>2.0</v>
      </c>
      <c r="AK79" s="8"/>
      <c r="AL79" s="8"/>
      <c r="AM79" s="8"/>
      <c r="AN79" s="8"/>
      <c r="AO79" s="8"/>
      <c r="AP79" s="8"/>
      <c r="AQ79" s="8"/>
      <c r="AR79" s="8"/>
      <c r="AS79" s="8"/>
      <c r="AT79" s="8"/>
      <c r="AU79" s="8"/>
      <c r="AV79" s="8"/>
      <c r="AW79" s="8"/>
      <c r="AX79" s="8"/>
      <c r="AY79" s="8"/>
      <c r="AZ79" s="8"/>
      <c r="BA79" s="8"/>
      <c r="BB79" s="8"/>
    </row>
    <row r="80" ht="15.75" customHeight="1">
      <c r="A80" s="11" t="s">
        <v>258</v>
      </c>
      <c r="B80" s="8">
        <f t="shared" si="2"/>
        <v>7.5</v>
      </c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  <c r="AE80" s="8"/>
      <c r="AF80" s="8"/>
      <c r="AG80" s="8"/>
      <c r="AH80" s="8"/>
      <c r="AI80" s="8"/>
      <c r="AJ80" s="8">
        <v>2.0</v>
      </c>
      <c r="AK80" s="8">
        <v>3.0</v>
      </c>
      <c r="AL80" s="8"/>
      <c r="AM80" s="8"/>
      <c r="AN80" s="8"/>
      <c r="AO80" s="8"/>
      <c r="AP80" s="8"/>
      <c r="AQ80" s="8"/>
      <c r="AR80" s="8"/>
      <c r="AS80" s="8"/>
      <c r="AT80" s="8"/>
      <c r="AU80" s="8"/>
      <c r="AV80" s="21">
        <v>2.5</v>
      </c>
      <c r="AW80" s="8"/>
      <c r="AX80" s="8"/>
      <c r="AY80" s="8"/>
      <c r="AZ80" s="8"/>
      <c r="BA80" s="8"/>
      <c r="BB80" s="8"/>
    </row>
    <row r="81" ht="15.75" customHeight="1">
      <c r="A81" s="11" t="s">
        <v>259</v>
      </c>
      <c r="B81" s="8">
        <f t="shared" si="2"/>
        <v>3</v>
      </c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  <c r="AD81" s="8"/>
      <c r="AE81" s="8"/>
      <c r="AF81" s="8"/>
      <c r="AG81" s="8"/>
      <c r="AH81" s="8"/>
      <c r="AI81" s="8"/>
      <c r="AJ81" s="8"/>
      <c r="AK81" s="8">
        <v>3.0</v>
      </c>
      <c r="AL81" s="8"/>
      <c r="AM81" s="8"/>
      <c r="AN81" s="8"/>
      <c r="AO81" s="8"/>
      <c r="AP81" s="8"/>
      <c r="AQ81" s="8"/>
      <c r="AR81" s="8"/>
      <c r="AS81" s="8"/>
      <c r="AT81" s="8"/>
      <c r="AU81" s="8"/>
      <c r="AV81" s="8"/>
      <c r="AW81" s="8"/>
      <c r="AX81" s="8"/>
      <c r="AY81" s="8"/>
      <c r="AZ81" s="8"/>
      <c r="BA81" s="8"/>
      <c r="BB81" s="8"/>
    </row>
    <row r="82" ht="15.75" customHeight="1">
      <c r="A82" s="11" t="s">
        <v>167</v>
      </c>
      <c r="B82" s="8">
        <f t="shared" si="2"/>
        <v>29.25</v>
      </c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  <c r="AD82" s="8"/>
      <c r="AE82" s="8"/>
      <c r="AF82" s="8"/>
      <c r="AG82" s="8"/>
      <c r="AH82" s="8"/>
      <c r="AI82" s="8"/>
      <c r="AJ82" s="8"/>
      <c r="AL82" s="8">
        <v>2.0</v>
      </c>
      <c r="AM82" s="8">
        <v>2.25</v>
      </c>
      <c r="AN82" s="8">
        <v>2.0</v>
      </c>
      <c r="AO82" s="8">
        <v>2.75</v>
      </c>
      <c r="AP82" s="8">
        <v>2.5</v>
      </c>
      <c r="AQ82" s="20">
        <v>2.5</v>
      </c>
      <c r="AR82" s="8"/>
      <c r="AS82" s="20">
        <v>2.0</v>
      </c>
      <c r="AT82" s="20"/>
      <c r="AU82" s="8"/>
      <c r="AV82" s="8"/>
      <c r="AW82" s="20">
        <v>2.5</v>
      </c>
      <c r="AX82" s="20">
        <v>2.5</v>
      </c>
      <c r="AY82" s="21">
        <v>2.0</v>
      </c>
      <c r="AZ82" s="20">
        <v>2.25</v>
      </c>
      <c r="BA82" s="20">
        <v>2.0</v>
      </c>
      <c r="BB82" s="20">
        <v>2.0</v>
      </c>
    </row>
    <row r="83" ht="15.75" customHeight="1">
      <c r="A83" s="11" t="s">
        <v>151</v>
      </c>
      <c r="B83" s="8">
        <f t="shared" si="2"/>
        <v>2.25</v>
      </c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  <c r="AE83" s="8"/>
      <c r="AF83" s="8"/>
      <c r="AG83" s="8"/>
      <c r="AH83" s="8"/>
      <c r="AI83" s="8"/>
      <c r="AJ83" s="8"/>
      <c r="AK83" s="8"/>
      <c r="AL83" s="8"/>
      <c r="AM83" s="8">
        <v>2.25</v>
      </c>
      <c r="AN83" s="8"/>
      <c r="AO83" s="8"/>
      <c r="AP83" s="8"/>
      <c r="AQ83" s="8"/>
      <c r="AR83" s="8"/>
      <c r="AS83" s="8"/>
      <c r="AT83" s="8"/>
      <c r="AU83" s="8"/>
      <c r="AV83" s="8"/>
      <c r="AW83" s="8"/>
      <c r="AX83" s="8"/>
      <c r="AY83" s="8"/>
      <c r="AZ83" s="8"/>
      <c r="BA83" s="8"/>
      <c r="BB83" s="8"/>
    </row>
    <row r="84" ht="15.75" customHeight="1">
      <c r="A84" s="11" t="s">
        <v>260</v>
      </c>
      <c r="B84" s="8">
        <f t="shared" si="2"/>
        <v>2.25</v>
      </c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  <c r="AE84" s="8"/>
      <c r="AF84" s="8"/>
      <c r="AG84" s="8"/>
      <c r="AH84" s="8"/>
      <c r="AI84" s="8"/>
      <c r="AJ84" s="8"/>
      <c r="AK84" s="8"/>
      <c r="AL84" s="8"/>
      <c r="AM84" s="8">
        <v>2.25</v>
      </c>
      <c r="AN84" s="8"/>
      <c r="AO84" s="8"/>
      <c r="AP84" s="8"/>
      <c r="AQ84" s="8"/>
      <c r="AR84" s="8"/>
      <c r="AS84" s="8"/>
      <c r="AT84" s="8"/>
      <c r="AU84" s="8"/>
      <c r="AV84" s="8"/>
      <c r="AW84" s="8"/>
      <c r="AX84" s="8"/>
      <c r="AY84" s="8"/>
      <c r="AZ84" s="8"/>
      <c r="BA84" s="8"/>
      <c r="BB84" s="8"/>
    </row>
    <row r="85" ht="15.75" customHeight="1">
      <c r="A85" s="11" t="s">
        <v>261</v>
      </c>
      <c r="B85" s="8">
        <f t="shared" si="2"/>
        <v>2.25</v>
      </c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  <c r="AE85" s="8"/>
      <c r="AF85" s="8"/>
      <c r="AG85" s="8"/>
      <c r="AH85" s="8"/>
      <c r="AI85" s="8"/>
      <c r="AJ85" s="8"/>
      <c r="AK85" s="8"/>
      <c r="AL85" s="8"/>
      <c r="AM85" s="8">
        <v>2.25</v>
      </c>
      <c r="AN85" s="8"/>
      <c r="AO85" s="8"/>
      <c r="AP85" s="8"/>
      <c r="AQ85" s="8"/>
      <c r="AR85" s="8"/>
      <c r="AS85" s="8"/>
      <c r="AT85" s="8"/>
      <c r="AU85" s="8"/>
      <c r="AV85" s="8"/>
      <c r="AW85" s="8"/>
      <c r="AX85" s="8"/>
      <c r="AY85" s="8"/>
      <c r="AZ85" s="8"/>
      <c r="BA85" s="8"/>
      <c r="BB85" s="8"/>
    </row>
    <row r="86" ht="15.75" customHeight="1">
      <c r="A86" s="11" t="s">
        <v>262</v>
      </c>
      <c r="B86" s="8">
        <f t="shared" si="2"/>
        <v>9</v>
      </c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  <c r="AE86" s="8"/>
      <c r="AF86" s="8"/>
      <c r="AG86" s="8"/>
      <c r="AH86" s="8"/>
      <c r="AI86" s="8"/>
      <c r="AJ86" s="8"/>
      <c r="AK86" s="8"/>
      <c r="AL86" s="8"/>
      <c r="AM86" s="8"/>
      <c r="AN86" s="8">
        <v>2.0</v>
      </c>
      <c r="AO86" s="8">
        <v>2.25</v>
      </c>
      <c r="AP86" s="8">
        <v>2.25</v>
      </c>
      <c r="AQ86" s="8"/>
      <c r="AR86" s="8"/>
      <c r="AS86" s="8"/>
      <c r="AT86" s="8"/>
      <c r="AU86" s="8"/>
      <c r="AV86" s="21">
        <v>2.5</v>
      </c>
      <c r="AW86" s="8"/>
      <c r="AX86" s="8"/>
      <c r="AY86" s="8"/>
      <c r="AZ86" s="8"/>
      <c r="BA86" s="8"/>
      <c r="BB86" s="8"/>
    </row>
    <row r="87" ht="15.75" customHeight="1">
      <c r="A87" s="11" t="s">
        <v>188</v>
      </c>
      <c r="B87" s="8">
        <f t="shared" si="2"/>
        <v>2</v>
      </c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  <c r="AD87" s="8"/>
      <c r="AE87" s="8"/>
      <c r="AF87" s="8"/>
      <c r="AG87" s="8"/>
      <c r="AH87" s="8"/>
      <c r="AI87" s="8"/>
      <c r="AJ87" s="8"/>
      <c r="AK87" s="8"/>
      <c r="AL87" s="8"/>
      <c r="AM87" s="8"/>
      <c r="AN87" s="8">
        <v>2.0</v>
      </c>
      <c r="AO87" s="8"/>
      <c r="AP87" s="8"/>
      <c r="AQ87" s="8"/>
      <c r="AR87" s="8"/>
      <c r="AS87" s="8"/>
      <c r="AT87" s="8"/>
      <c r="AU87" s="8"/>
      <c r="AV87" s="8"/>
      <c r="AW87" s="8"/>
      <c r="AX87" s="8"/>
      <c r="AY87" s="8"/>
      <c r="AZ87" s="8"/>
      <c r="BA87" s="8"/>
      <c r="BB87" s="8"/>
    </row>
    <row r="88" ht="15.75" customHeight="1">
      <c r="A88" s="11" t="s">
        <v>263</v>
      </c>
      <c r="B88" s="8">
        <f t="shared" si="2"/>
        <v>6.25</v>
      </c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  <c r="AE88" s="8"/>
      <c r="AF88" s="8"/>
      <c r="AG88" s="8"/>
      <c r="AH88" s="8"/>
      <c r="AI88" s="8"/>
      <c r="AJ88" s="8"/>
      <c r="AK88" s="8"/>
      <c r="AL88" s="8"/>
      <c r="AM88" s="8"/>
      <c r="AN88" s="8">
        <v>2.0</v>
      </c>
      <c r="AO88" s="8"/>
      <c r="AP88" s="8"/>
      <c r="AQ88" s="8"/>
      <c r="AR88" s="8"/>
      <c r="AS88" s="8"/>
      <c r="AT88" s="8"/>
      <c r="AU88" s="8"/>
      <c r="AV88" s="8"/>
      <c r="AW88" s="8"/>
      <c r="AX88" s="8"/>
      <c r="AY88" s="8"/>
      <c r="AZ88" s="20">
        <v>2.25</v>
      </c>
      <c r="BA88" s="20">
        <v>2.0</v>
      </c>
      <c r="BB88" s="8"/>
    </row>
    <row r="89" ht="15.75" customHeight="1">
      <c r="A89" s="11" t="s">
        <v>264</v>
      </c>
      <c r="B89" s="8">
        <f t="shared" si="2"/>
        <v>4.5</v>
      </c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  <c r="AE89" s="8"/>
      <c r="AF89" s="8"/>
      <c r="AG89" s="8"/>
      <c r="AH89" s="8"/>
      <c r="AI89" s="8"/>
      <c r="AJ89" s="8"/>
      <c r="AK89" s="8"/>
      <c r="AL89" s="8"/>
      <c r="AM89" s="8"/>
      <c r="AN89" s="8">
        <v>2.0</v>
      </c>
      <c r="AO89" s="8"/>
      <c r="AP89" s="8"/>
      <c r="AQ89" s="8"/>
      <c r="AR89" s="8"/>
      <c r="AS89" s="8"/>
      <c r="AT89" s="8"/>
      <c r="AU89" s="8"/>
      <c r="AV89" s="21">
        <v>2.5</v>
      </c>
      <c r="AW89" s="8"/>
      <c r="AX89" s="8"/>
      <c r="AY89" s="8"/>
      <c r="AZ89" s="8"/>
      <c r="BA89" s="8"/>
      <c r="BB89" s="8"/>
    </row>
    <row r="90" ht="15.75" customHeight="1">
      <c r="A90" s="11" t="s">
        <v>265</v>
      </c>
      <c r="B90" s="8">
        <f t="shared" si="2"/>
        <v>2</v>
      </c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  <c r="AD90" s="8"/>
      <c r="AE90" s="8"/>
      <c r="AF90" s="8"/>
      <c r="AG90" s="8"/>
      <c r="AH90" s="8"/>
      <c r="AI90" s="8"/>
      <c r="AJ90" s="8"/>
      <c r="AK90" s="8"/>
      <c r="AL90" s="8"/>
      <c r="AM90" s="8"/>
      <c r="AN90" s="8">
        <v>2.0</v>
      </c>
      <c r="AO90" s="8"/>
      <c r="AP90" s="8"/>
      <c r="AQ90" s="8"/>
      <c r="AR90" s="8"/>
      <c r="AS90" s="8"/>
      <c r="AT90" s="8"/>
      <c r="AU90" s="8"/>
      <c r="AV90" s="8"/>
      <c r="AW90" s="8"/>
      <c r="AX90" s="8"/>
      <c r="AY90" s="8"/>
      <c r="AZ90" s="8"/>
      <c r="BA90" s="8"/>
      <c r="BB90" s="8"/>
    </row>
    <row r="91" ht="15.75" customHeight="1">
      <c r="A91" s="11" t="s">
        <v>266</v>
      </c>
      <c r="B91" s="8">
        <f t="shared" si="2"/>
        <v>2.75</v>
      </c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  <c r="AE91" s="8"/>
      <c r="AF91" s="8"/>
      <c r="AG91" s="8"/>
      <c r="AH91" s="8"/>
      <c r="AI91" s="8"/>
      <c r="AJ91" s="8"/>
      <c r="AK91" s="8"/>
      <c r="AL91" s="8"/>
      <c r="AM91" s="8"/>
      <c r="AN91" s="8"/>
      <c r="AO91" s="8">
        <v>2.75</v>
      </c>
      <c r="AP91" s="8"/>
      <c r="AQ91" s="8"/>
      <c r="AR91" s="8"/>
      <c r="AS91" s="8"/>
      <c r="AT91" s="8"/>
      <c r="AU91" s="8"/>
      <c r="AV91" s="8"/>
      <c r="AW91" s="8"/>
      <c r="AX91" s="8"/>
      <c r="AY91" s="8"/>
      <c r="AZ91" s="20"/>
      <c r="BA91" s="8"/>
      <c r="BB91" s="8"/>
    </row>
    <row r="92" ht="15.75" customHeight="1">
      <c r="A92" s="11" t="s">
        <v>149</v>
      </c>
      <c r="B92" s="8">
        <f t="shared" si="2"/>
        <v>16.5</v>
      </c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  <c r="AE92" s="8"/>
      <c r="AF92" s="8"/>
      <c r="AG92" s="8"/>
      <c r="AH92" s="8"/>
      <c r="AI92" s="8"/>
      <c r="AJ92" s="8"/>
      <c r="AK92" s="8"/>
      <c r="AL92" s="8"/>
      <c r="AM92" s="8"/>
      <c r="AN92" s="8"/>
      <c r="AO92" s="8">
        <v>2.75</v>
      </c>
      <c r="AP92" s="8"/>
      <c r="AQ92" s="8"/>
      <c r="AR92" s="8"/>
      <c r="AS92" s="8"/>
      <c r="AT92" s="20">
        <v>2.5</v>
      </c>
      <c r="AU92" s="20">
        <v>2.25</v>
      </c>
      <c r="AV92" s="21">
        <v>2.5</v>
      </c>
      <c r="AW92" s="20">
        <v>2.5</v>
      </c>
      <c r="AX92" s="8"/>
      <c r="AY92" s="21">
        <v>2.0</v>
      </c>
      <c r="AZ92" s="8"/>
      <c r="BA92" s="8"/>
      <c r="BB92" s="20">
        <v>2.0</v>
      </c>
    </row>
    <row r="93" ht="15.75" customHeight="1">
      <c r="A93" s="11" t="s">
        <v>267</v>
      </c>
      <c r="B93" s="8">
        <f t="shared" si="2"/>
        <v>2.75</v>
      </c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  <c r="AE93" s="8"/>
      <c r="AF93" s="8"/>
      <c r="AG93" s="8"/>
      <c r="AH93" s="8"/>
      <c r="AI93" s="8"/>
      <c r="AJ93" s="8"/>
      <c r="AK93" s="8"/>
      <c r="AL93" s="8"/>
      <c r="AM93" s="8"/>
      <c r="AN93" s="8"/>
      <c r="AO93" s="8">
        <v>2.75</v>
      </c>
      <c r="AP93" s="8"/>
      <c r="AQ93" s="8"/>
      <c r="AR93" s="8"/>
      <c r="AS93" s="8"/>
      <c r="AT93" s="8"/>
      <c r="AU93" s="8"/>
      <c r="AV93" s="8"/>
      <c r="AW93" s="8"/>
      <c r="AX93" s="8"/>
      <c r="AY93" s="8"/>
      <c r="AZ93" s="8"/>
      <c r="BA93" s="8"/>
      <c r="BB93" s="8"/>
    </row>
    <row r="94" ht="15.75" customHeight="1">
      <c r="A94" s="11" t="s">
        <v>268</v>
      </c>
      <c r="B94" s="8">
        <f t="shared" si="2"/>
        <v>2.25</v>
      </c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  <c r="AE94" s="8"/>
      <c r="AF94" s="8"/>
      <c r="AG94" s="8"/>
      <c r="AH94" s="8"/>
      <c r="AI94" s="8"/>
      <c r="AJ94" s="8"/>
      <c r="AK94" s="8"/>
      <c r="AL94" s="8"/>
      <c r="AM94" s="8"/>
      <c r="AN94" s="8"/>
      <c r="AO94" s="8">
        <v>2.25</v>
      </c>
      <c r="AP94" s="8"/>
      <c r="AQ94" s="8"/>
      <c r="AR94" s="8"/>
      <c r="AS94" s="8"/>
      <c r="AT94" s="8"/>
      <c r="AU94" s="8"/>
      <c r="AV94" s="8"/>
      <c r="AW94" s="8"/>
      <c r="AX94" s="8"/>
      <c r="AY94" s="8"/>
      <c r="AZ94" s="8"/>
      <c r="BA94" s="8"/>
      <c r="BB94" s="8"/>
    </row>
    <row r="95" ht="15.75" customHeight="1">
      <c r="A95" s="11" t="s">
        <v>269</v>
      </c>
      <c r="B95" s="8">
        <f t="shared" si="2"/>
        <v>2.25</v>
      </c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  <c r="AE95" s="8"/>
      <c r="AF95" s="8"/>
      <c r="AG95" s="8"/>
      <c r="AH95" s="8"/>
      <c r="AI95" s="8"/>
      <c r="AJ95" s="8"/>
      <c r="AK95" s="8"/>
      <c r="AL95" s="8"/>
      <c r="AM95" s="8"/>
      <c r="AN95" s="8"/>
      <c r="AO95" s="8">
        <v>2.25</v>
      </c>
      <c r="AP95" s="8"/>
      <c r="AQ95" s="8"/>
      <c r="AR95" s="8"/>
      <c r="AS95" s="8"/>
      <c r="AT95" s="8"/>
      <c r="AU95" s="8"/>
      <c r="AV95" s="8"/>
      <c r="AW95" s="8"/>
      <c r="AX95" s="8"/>
      <c r="AY95" s="8"/>
      <c r="AZ95" s="8"/>
      <c r="BA95" s="8"/>
      <c r="BB95" s="8"/>
    </row>
    <row r="96" ht="15.75" customHeight="1">
      <c r="A96" s="11" t="s">
        <v>270</v>
      </c>
      <c r="B96" s="8">
        <f t="shared" si="2"/>
        <v>2.5</v>
      </c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  <c r="AE96" s="8"/>
      <c r="AF96" s="8"/>
      <c r="AG96" s="8"/>
      <c r="AH96" s="8"/>
      <c r="AI96" s="8"/>
      <c r="AJ96" s="8"/>
      <c r="AK96" s="8"/>
      <c r="AL96" s="8"/>
      <c r="AM96" s="8"/>
      <c r="AN96" s="8"/>
      <c r="AO96" s="8"/>
      <c r="AP96" s="8">
        <v>2.5</v>
      </c>
      <c r="AQ96" s="8"/>
      <c r="AR96" s="8"/>
      <c r="AS96" s="8"/>
      <c r="AT96" s="8"/>
      <c r="AU96" s="8"/>
      <c r="AV96" s="8"/>
      <c r="AW96" s="8"/>
      <c r="AX96" s="8"/>
      <c r="AY96" s="8"/>
      <c r="AZ96" s="8"/>
      <c r="BA96" s="8"/>
      <c r="BB96" s="8"/>
    </row>
    <row r="97" ht="15.75" customHeight="1">
      <c r="A97" s="11" t="s">
        <v>271</v>
      </c>
      <c r="B97" s="8">
        <f t="shared" si="2"/>
        <v>2.25</v>
      </c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  <c r="AE97" s="8"/>
      <c r="AF97" s="8"/>
      <c r="AG97" s="8"/>
      <c r="AH97" s="8"/>
      <c r="AI97" s="8"/>
      <c r="AJ97" s="8"/>
      <c r="AK97" s="8"/>
      <c r="AL97" s="8"/>
      <c r="AM97" s="8"/>
      <c r="AN97" s="8"/>
      <c r="AO97" s="8"/>
      <c r="AP97" s="8">
        <v>2.25</v>
      </c>
      <c r="AQ97" s="8"/>
      <c r="AR97" s="8"/>
      <c r="AS97" s="8"/>
      <c r="AT97" s="8"/>
      <c r="AU97" s="8"/>
      <c r="AV97" s="8"/>
      <c r="AW97" s="8"/>
      <c r="AX97" s="8"/>
      <c r="AY97" s="8"/>
      <c r="AZ97" s="8"/>
      <c r="BA97" s="8"/>
      <c r="BB97" s="8"/>
    </row>
    <row r="98" ht="15.75" customHeight="1">
      <c r="A98" s="12" t="s">
        <v>272</v>
      </c>
      <c r="B98" s="8">
        <f t="shared" si="2"/>
        <v>4.5</v>
      </c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  <c r="AE98" s="8"/>
      <c r="AF98" s="8"/>
      <c r="AG98" s="8"/>
      <c r="AH98" s="8"/>
      <c r="AI98" s="8"/>
      <c r="AJ98" s="8"/>
      <c r="AK98" s="8"/>
      <c r="AL98" s="8"/>
      <c r="AM98" s="8"/>
      <c r="AN98" s="8"/>
      <c r="AO98" s="8"/>
      <c r="AP98" s="8"/>
      <c r="AQ98" s="20">
        <v>2.5</v>
      </c>
      <c r="AR98" s="20">
        <v>2.0</v>
      </c>
      <c r="AS98" s="8"/>
      <c r="AT98" s="8"/>
      <c r="AU98" s="8"/>
      <c r="AV98" s="8"/>
      <c r="AW98" s="8"/>
      <c r="AX98" s="8"/>
      <c r="AY98" s="8"/>
      <c r="AZ98" s="8"/>
      <c r="BA98" s="8"/>
      <c r="BB98" s="8"/>
    </row>
    <row r="99" ht="15.75" customHeight="1">
      <c r="A99" s="12" t="s">
        <v>170</v>
      </c>
      <c r="B99" s="8">
        <f t="shared" si="2"/>
        <v>2.5</v>
      </c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  <c r="AE99" s="8"/>
      <c r="AF99" s="8"/>
      <c r="AG99" s="8"/>
      <c r="AH99" s="8"/>
      <c r="AI99" s="8"/>
      <c r="AJ99" s="8"/>
      <c r="AK99" s="8"/>
      <c r="AL99" s="8"/>
      <c r="AM99" s="8"/>
      <c r="AN99" s="8"/>
      <c r="AO99" s="8"/>
      <c r="AP99" s="8"/>
      <c r="AQ99" s="20">
        <v>2.5</v>
      </c>
      <c r="AR99" s="8"/>
      <c r="AS99" s="8"/>
      <c r="AT99" s="8"/>
      <c r="AU99" s="8"/>
      <c r="AV99" s="8"/>
      <c r="AW99" s="8"/>
      <c r="AX99" s="8"/>
      <c r="AY99" s="8"/>
      <c r="AZ99" s="8"/>
      <c r="BA99" s="8"/>
      <c r="BB99" s="8"/>
    </row>
    <row r="100" ht="15.75" customHeight="1">
      <c r="A100" s="12" t="s">
        <v>273</v>
      </c>
      <c r="B100" s="8">
        <f t="shared" si="2"/>
        <v>4</v>
      </c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  <c r="AE100" s="8"/>
      <c r="AF100" s="8"/>
      <c r="AG100" s="8"/>
      <c r="AH100" s="8"/>
      <c r="AI100" s="8"/>
      <c r="AJ100" s="8"/>
      <c r="AK100" s="8"/>
      <c r="AL100" s="8"/>
      <c r="AM100" s="8"/>
      <c r="AN100" s="8"/>
      <c r="AO100" s="8"/>
      <c r="AP100" s="8"/>
      <c r="AQ100" s="8"/>
      <c r="AR100" s="20">
        <v>2.0</v>
      </c>
      <c r="AS100" s="20">
        <v>2.0</v>
      </c>
      <c r="AT100" s="20"/>
      <c r="AU100" s="8"/>
      <c r="AV100" s="8"/>
      <c r="AW100" s="8"/>
      <c r="AX100" s="8"/>
      <c r="AY100" s="8"/>
      <c r="AZ100" s="8"/>
      <c r="BA100" s="8"/>
      <c r="BB100" s="8"/>
    </row>
    <row r="101" ht="15.75" customHeight="1">
      <c r="A101" s="12" t="s">
        <v>274</v>
      </c>
      <c r="B101" s="8">
        <f t="shared" si="2"/>
        <v>2</v>
      </c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  <c r="AE101" s="8"/>
      <c r="AF101" s="8"/>
      <c r="AG101" s="8"/>
      <c r="AH101" s="8"/>
      <c r="AI101" s="8"/>
      <c r="AJ101" s="8"/>
      <c r="AK101" s="8"/>
      <c r="AL101" s="8"/>
      <c r="AM101" s="8"/>
      <c r="AN101" s="8"/>
      <c r="AO101" s="8"/>
      <c r="AP101" s="8"/>
      <c r="AQ101" s="8"/>
      <c r="AR101" s="20">
        <v>2.0</v>
      </c>
      <c r="AS101" s="8"/>
      <c r="AT101" s="8"/>
      <c r="AU101" s="8"/>
      <c r="AV101" s="8"/>
      <c r="AW101" s="8"/>
      <c r="AX101" s="8"/>
      <c r="AY101" s="8"/>
      <c r="AZ101" s="8"/>
      <c r="BA101" s="8"/>
      <c r="BB101" s="8"/>
    </row>
    <row r="102" ht="15.75" customHeight="1">
      <c r="A102" s="12" t="s">
        <v>275</v>
      </c>
      <c r="B102" s="8">
        <f t="shared" si="2"/>
        <v>1.25</v>
      </c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  <c r="AE102" s="8"/>
      <c r="AF102" s="8"/>
      <c r="AG102" s="8"/>
      <c r="AH102" s="8"/>
      <c r="AI102" s="8"/>
      <c r="AJ102" s="8"/>
      <c r="AK102" s="8"/>
      <c r="AL102" s="8"/>
      <c r="AM102" s="8"/>
      <c r="AN102" s="8"/>
      <c r="AO102" s="8"/>
      <c r="AP102" s="8"/>
      <c r="AQ102" s="8"/>
      <c r="AR102" s="20">
        <v>1.25</v>
      </c>
      <c r="AS102" s="8"/>
      <c r="AT102" s="8"/>
      <c r="AU102" s="8"/>
      <c r="AV102" s="8"/>
      <c r="AW102" s="8"/>
      <c r="AX102" s="8"/>
      <c r="AY102" s="8"/>
      <c r="AZ102" s="8"/>
      <c r="BA102" s="8"/>
      <c r="BB102" s="8"/>
    </row>
    <row r="103" ht="15.75" customHeight="1">
      <c r="A103" s="12" t="s">
        <v>276</v>
      </c>
      <c r="B103" s="8">
        <f t="shared" si="2"/>
        <v>2</v>
      </c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  <c r="AE103" s="8"/>
      <c r="AF103" s="8"/>
      <c r="AG103" s="8"/>
      <c r="AH103" s="8"/>
      <c r="AI103" s="8"/>
      <c r="AJ103" s="8"/>
      <c r="AK103" s="8"/>
      <c r="AL103" s="8"/>
      <c r="AM103" s="8"/>
      <c r="AN103" s="8"/>
      <c r="AO103" s="8"/>
      <c r="AP103" s="8"/>
      <c r="AQ103" s="8"/>
      <c r="AR103" s="8"/>
      <c r="AS103" s="20">
        <v>2.0</v>
      </c>
      <c r="AT103" s="20"/>
      <c r="AU103" s="8"/>
      <c r="AV103" s="8"/>
      <c r="AW103" s="8"/>
      <c r="AX103" s="8"/>
      <c r="AY103" s="8"/>
      <c r="AZ103" s="8"/>
      <c r="BA103" s="8"/>
      <c r="BB103" s="8"/>
    </row>
    <row r="104" ht="15.75" customHeight="1">
      <c r="A104" s="12" t="s">
        <v>171</v>
      </c>
      <c r="B104" s="8">
        <f t="shared" si="2"/>
        <v>2</v>
      </c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  <c r="AE104" s="8"/>
      <c r="AF104" s="8"/>
      <c r="AG104" s="8"/>
      <c r="AH104" s="8"/>
      <c r="AI104" s="8"/>
      <c r="AJ104" s="8"/>
      <c r="AK104" s="8"/>
      <c r="AL104" s="8"/>
      <c r="AM104" s="8"/>
      <c r="AN104" s="8"/>
      <c r="AO104" s="8"/>
      <c r="AP104" s="8"/>
      <c r="AQ104" s="8"/>
      <c r="AR104" s="8"/>
      <c r="AS104" s="20">
        <v>2.0</v>
      </c>
      <c r="AT104" s="20"/>
      <c r="AU104" s="8"/>
      <c r="AV104" s="8"/>
      <c r="AW104" s="8"/>
      <c r="AX104" s="8"/>
      <c r="AY104" s="8"/>
      <c r="AZ104" s="8"/>
      <c r="BA104" s="8"/>
      <c r="BB104" s="8"/>
    </row>
    <row r="105" ht="15.75" customHeight="1">
      <c r="A105" s="12" t="s">
        <v>277</v>
      </c>
      <c r="B105" s="8">
        <f t="shared" si="2"/>
        <v>2</v>
      </c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  <c r="AE105" s="8"/>
      <c r="AF105" s="8"/>
      <c r="AG105" s="8"/>
      <c r="AH105" s="8"/>
      <c r="AI105" s="8"/>
      <c r="AJ105" s="8"/>
      <c r="AK105" s="8"/>
      <c r="AL105" s="8"/>
      <c r="AM105" s="8"/>
      <c r="AN105" s="8"/>
      <c r="AO105" s="8"/>
      <c r="AP105" s="8"/>
      <c r="AQ105" s="8"/>
      <c r="AR105" s="8"/>
      <c r="AS105" s="20">
        <v>2.0</v>
      </c>
      <c r="AT105" s="20"/>
      <c r="AU105" s="8"/>
      <c r="AV105" s="8"/>
      <c r="AW105" s="8"/>
      <c r="AX105" s="8"/>
      <c r="AY105" s="8"/>
      <c r="AZ105" s="8"/>
      <c r="BA105" s="8"/>
      <c r="BB105" s="8"/>
    </row>
    <row r="106" ht="15.75" customHeight="1">
      <c r="A106" s="12" t="s">
        <v>278</v>
      </c>
      <c r="B106" s="8">
        <f t="shared" si="2"/>
        <v>2</v>
      </c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  <c r="AE106" s="8"/>
      <c r="AF106" s="8"/>
      <c r="AG106" s="8"/>
      <c r="AH106" s="8"/>
      <c r="AI106" s="8"/>
      <c r="AJ106" s="8"/>
      <c r="AK106" s="8"/>
      <c r="AL106" s="8"/>
      <c r="AM106" s="8"/>
      <c r="AN106" s="8"/>
      <c r="AO106" s="8"/>
      <c r="AP106" s="8"/>
      <c r="AQ106" s="8"/>
      <c r="AR106" s="8"/>
      <c r="AS106" s="20">
        <v>2.0</v>
      </c>
      <c r="AT106" s="20"/>
      <c r="AU106" s="8"/>
      <c r="AV106" s="8"/>
      <c r="AW106" s="8"/>
      <c r="AX106" s="8"/>
      <c r="AY106" s="8"/>
      <c r="AZ106" s="8"/>
      <c r="BA106" s="8"/>
      <c r="BB106" s="8"/>
    </row>
    <row r="107" ht="15.75" customHeight="1">
      <c r="A107" s="12" t="s">
        <v>162</v>
      </c>
      <c r="B107" s="8">
        <f t="shared" si="2"/>
        <v>2</v>
      </c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  <c r="AE107" s="8"/>
      <c r="AF107" s="8"/>
      <c r="AG107" s="8"/>
      <c r="AH107" s="8"/>
      <c r="AI107" s="8"/>
      <c r="AJ107" s="8"/>
      <c r="AK107" s="8"/>
      <c r="AL107" s="8"/>
      <c r="AM107" s="8"/>
      <c r="AN107" s="8"/>
      <c r="AO107" s="8"/>
      <c r="AP107" s="8"/>
      <c r="AQ107" s="8"/>
      <c r="AR107" s="8"/>
      <c r="AS107" s="20">
        <v>2.0</v>
      </c>
      <c r="AT107" s="20"/>
      <c r="AU107" s="8"/>
      <c r="AV107" s="8"/>
      <c r="AW107" s="8"/>
      <c r="AX107" s="8"/>
      <c r="AY107" s="8"/>
      <c r="AZ107" s="8"/>
      <c r="BA107" s="8"/>
      <c r="BB107" s="8"/>
    </row>
    <row r="108" ht="15.75" customHeight="1">
      <c r="A108" s="12" t="s">
        <v>164</v>
      </c>
      <c r="B108" s="8">
        <f t="shared" si="2"/>
        <v>2.5</v>
      </c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  <c r="AE108" s="8"/>
      <c r="AF108" s="8"/>
      <c r="AG108" s="8"/>
      <c r="AH108" s="8"/>
      <c r="AI108" s="8"/>
      <c r="AJ108" s="8"/>
      <c r="AK108" s="8"/>
      <c r="AL108" s="8"/>
      <c r="AM108" s="8"/>
      <c r="AN108" s="8"/>
      <c r="AO108" s="8"/>
      <c r="AP108" s="8"/>
      <c r="AQ108" s="8"/>
      <c r="AR108" s="8"/>
      <c r="AS108" s="20"/>
      <c r="AT108" s="20">
        <v>2.5</v>
      </c>
      <c r="AU108" s="8"/>
      <c r="AV108" s="8"/>
      <c r="AW108" s="8"/>
      <c r="AX108" s="8"/>
      <c r="AY108" s="8"/>
      <c r="AZ108" s="8"/>
      <c r="BA108" s="8"/>
      <c r="BB108" s="8"/>
    </row>
    <row r="109" ht="15.75" customHeight="1">
      <c r="A109" s="12" t="s">
        <v>279</v>
      </c>
      <c r="B109" s="8">
        <f t="shared" si="2"/>
        <v>1</v>
      </c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  <c r="AE109" s="8"/>
      <c r="AF109" s="8"/>
      <c r="AG109" s="8"/>
      <c r="AH109" s="8"/>
      <c r="AI109" s="8"/>
      <c r="AJ109" s="8"/>
      <c r="AK109" s="8"/>
      <c r="AL109" s="8"/>
      <c r="AM109" s="8"/>
      <c r="AN109" s="8"/>
      <c r="AO109" s="8"/>
      <c r="AP109" s="8"/>
      <c r="AQ109" s="8"/>
      <c r="AR109" s="8"/>
      <c r="AS109" s="8"/>
      <c r="AT109" s="20">
        <v>1.0</v>
      </c>
      <c r="AU109" s="8"/>
      <c r="AV109" s="8"/>
      <c r="AW109" s="8"/>
      <c r="AX109" s="8"/>
      <c r="AY109" s="8"/>
      <c r="AZ109" s="8"/>
      <c r="BA109" s="8"/>
      <c r="BB109" s="8"/>
    </row>
    <row r="110" ht="15.75" customHeight="1">
      <c r="A110" s="12" t="s">
        <v>280</v>
      </c>
      <c r="B110" s="8">
        <f t="shared" si="2"/>
        <v>1</v>
      </c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  <c r="AE110" s="8"/>
      <c r="AF110" s="8"/>
      <c r="AG110" s="8"/>
      <c r="AH110" s="8"/>
      <c r="AI110" s="8"/>
      <c r="AJ110" s="8"/>
      <c r="AK110" s="8"/>
      <c r="AL110" s="8"/>
      <c r="AM110" s="8"/>
      <c r="AN110" s="8"/>
      <c r="AO110" s="8"/>
      <c r="AP110" s="8"/>
      <c r="AQ110" s="8"/>
      <c r="AR110" s="8"/>
      <c r="AS110" s="8"/>
      <c r="AT110" s="20">
        <v>1.0</v>
      </c>
      <c r="AU110" s="8"/>
      <c r="AV110" s="8"/>
      <c r="AW110" s="8"/>
      <c r="AX110" s="8"/>
      <c r="AY110" s="8"/>
      <c r="AZ110" s="8"/>
      <c r="BA110" s="8"/>
      <c r="BB110" s="8"/>
    </row>
    <row r="111" ht="15.75" customHeight="1">
      <c r="A111" s="12" t="s">
        <v>155</v>
      </c>
      <c r="B111" s="8">
        <f t="shared" si="2"/>
        <v>2.5</v>
      </c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  <c r="AE111" s="8"/>
      <c r="AF111" s="8"/>
      <c r="AG111" s="8"/>
      <c r="AH111" s="8"/>
      <c r="AI111" s="8"/>
      <c r="AJ111" s="8"/>
      <c r="AK111" s="8"/>
      <c r="AL111" s="8"/>
      <c r="AM111" s="8"/>
      <c r="AN111" s="8"/>
      <c r="AO111" s="8"/>
      <c r="AP111" s="8"/>
      <c r="AQ111" s="8"/>
      <c r="AR111" s="8"/>
      <c r="AS111" s="8"/>
      <c r="AT111" s="20">
        <v>2.5</v>
      </c>
      <c r="AU111" s="8"/>
      <c r="AV111" s="8"/>
      <c r="AW111" s="8"/>
      <c r="AX111" s="8"/>
      <c r="AY111" s="8"/>
      <c r="AZ111" s="8"/>
      <c r="BA111" s="8"/>
      <c r="BB111" s="8"/>
    </row>
    <row r="112" ht="15.75" customHeight="1">
      <c r="A112" s="12" t="s">
        <v>281</v>
      </c>
      <c r="B112" s="8">
        <f t="shared" si="2"/>
        <v>2</v>
      </c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  <c r="AE112" s="8"/>
      <c r="AF112" s="8"/>
      <c r="AG112" s="8"/>
      <c r="AH112" s="8"/>
      <c r="AI112" s="8"/>
      <c r="AJ112" s="8"/>
      <c r="AK112" s="8"/>
      <c r="AL112" s="8"/>
      <c r="AM112" s="8"/>
      <c r="AN112" s="8"/>
      <c r="AO112" s="8"/>
      <c r="AP112" s="8"/>
      <c r="AQ112" s="8"/>
      <c r="AR112" s="8"/>
      <c r="AS112" s="8"/>
      <c r="AT112" s="8"/>
      <c r="AU112" s="20">
        <v>2.0</v>
      </c>
      <c r="AV112" s="8"/>
      <c r="AW112" s="8"/>
      <c r="AX112" s="8"/>
      <c r="AY112" s="8"/>
      <c r="AZ112" s="8"/>
      <c r="BA112" s="8"/>
      <c r="BB112" s="8"/>
    </row>
    <row r="113" ht="15.75" customHeight="1">
      <c r="A113" s="12" t="s">
        <v>282</v>
      </c>
      <c r="B113" s="8">
        <f t="shared" si="2"/>
        <v>2.25</v>
      </c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  <c r="AE113" s="8"/>
      <c r="AF113" s="8"/>
      <c r="AG113" s="8"/>
      <c r="AH113" s="8"/>
      <c r="AI113" s="8"/>
      <c r="AJ113" s="8"/>
      <c r="AK113" s="8"/>
      <c r="AL113" s="8"/>
      <c r="AM113" s="8"/>
      <c r="AN113" s="8"/>
      <c r="AO113" s="8"/>
      <c r="AP113" s="8"/>
      <c r="AQ113" s="8"/>
      <c r="AR113" s="8"/>
      <c r="AS113" s="8"/>
      <c r="AT113" s="8"/>
      <c r="AU113" s="20">
        <v>2.25</v>
      </c>
      <c r="AV113" s="8"/>
      <c r="AW113" s="8"/>
      <c r="AX113" s="8"/>
      <c r="AY113" s="8"/>
      <c r="AZ113" s="8"/>
      <c r="BA113" s="8"/>
      <c r="BB113" s="8"/>
    </row>
    <row r="114" ht="15.75" customHeight="1">
      <c r="A114" s="12" t="s">
        <v>283</v>
      </c>
      <c r="B114" s="8">
        <f t="shared" si="2"/>
        <v>6.75</v>
      </c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  <c r="AE114" s="8"/>
      <c r="AF114" s="8"/>
      <c r="AG114" s="8"/>
      <c r="AH114" s="8"/>
      <c r="AI114" s="8"/>
      <c r="AJ114" s="8"/>
      <c r="AK114" s="8"/>
      <c r="AL114" s="8"/>
      <c r="AM114" s="8"/>
      <c r="AN114" s="8"/>
      <c r="AO114" s="8"/>
      <c r="AP114" s="8"/>
      <c r="AQ114" s="8"/>
      <c r="AR114" s="8"/>
      <c r="AS114" s="8"/>
      <c r="AT114" s="8"/>
      <c r="AU114" s="20">
        <v>2.25</v>
      </c>
      <c r="AV114" s="8"/>
      <c r="AW114" s="8"/>
      <c r="AX114" s="20">
        <v>2.5</v>
      </c>
      <c r="AY114" s="21">
        <v>2.0</v>
      </c>
      <c r="AZ114" s="8"/>
      <c r="BA114" s="8"/>
      <c r="BB114" s="8"/>
    </row>
    <row r="115" ht="15.75" customHeight="1">
      <c r="A115" s="12" t="s">
        <v>284</v>
      </c>
      <c r="B115" s="8">
        <f t="shared" si="2"/>
        <v>6.75</v>
      </c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  <c r="AE115" s="8"/>
      <c r="AF115" s="8"/>
      <c r="AG115" s="8"/>
      <c r="AH115" s="8"/>
      <c r="AI115" s="8"/>
      <c r="AJ115" s="8"/>
      <c r="AK115" s="8"/>
      <c r="AL115" s="8"/>
      <c r="AM115" s="8"/>
      <c r="AN115" s="8"/>
      <c r="AO115" s="8"/>
      <c r="AP115" s="8"/>
      <c r="AQ115" s="8"/>
      <c r="AR115" s="8"/>
      <c r="AS115" s="8"/>
      <c r="AT115" s="8"/>
      <c r="AU115" s="20">
        <v>2.25</v>
      </c>
      <c r="AV115" s="8"/>
      <c r="AW115" s="8"/>
      <c r="AX115" s="20">
        <v>2.5</v>
      </c>
      <c r="AY115" s="21">
        <v>2.0</v>
      </c>
      <c r="AZ115" s="8"/>
      <c r="BA115" s="8"/>
      <c r="BB115" s="8"/>
    </row>
    <row r="116" ht="15.75" customHeight="1">
      <c r="A116" s="12" t="s">
        <v>285</v>
      </c>
      <c r="B116" s="8">
        <f t="shared" si="2"/>
        <v>2.25</v>
      </c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  <c r="AE116" s="8"/>
      <c r="AF116" s="8"/>
      <c r="AG116" s="8"/>
      <c r="AH116" s="8"/>
      <c r="AI116" s="8"/>
      <c r="AJ116" s="8"/>
      <c r="AK116" s="8"/>
      <c r="AL116" s="8"/>
      <c r="AM116" s="8"/>
      <c r="AN116" s="8"/>
      <c r="AO116" s="8"/>
      <c r="AP116" s="8"/>
      <c r="AQ116" s="8"/>
      <c r="AR116" s="8"/>
      <c r="AS116" s="8"/>
      <c r="AT116" s="8"/>
      <c r="AU116" s="20">
        <v>2.25</v>
      </c>
      <c r="AV116" s="8"/>
      <c r="AW116" s="8"/>
      <c r="AX116" s="8"/>
      <c r="AY116" s="8"/>
      <c r="AZ116" s="8"/>
      <c r="BA116" s="8"/>
      <c r="BB116" s="8"/>
    </row>
    <row r="117" ht="15.75" customHeight="1">
      <c r="A117" s="12" t="s">
        <v>286</v>
      </c>
      <c r="B117" s="8">
        <f t="shared" si="2"/>
        <v>2</v>
      </c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  <c r="AE117" s="8"/>
      <c r="AF117" s="8"/>
      <c r="AG117" s="8"/>
      <c r="AH117" s="8"/>
      <c r="AI117" s="8"/>
      <c r="AJ117" s="8"/>
      <c r="AK117" s="8"/>
      <c r="AL117" s="8"/>
      <c r="AM117" s="8"/>
      <c r="AN117" s="8"/>
      <c r="AO117" s="8"/>
      <c r="AP117" s="8"/>
      <c r="AQ117" s="8"/>
      <c r="AR117" s="8"/>
      <c r="AS117" s="8"/>
      <c r="AT117" s="8"/>
      <c r="AU117" s="20">
        <v>2.0</v>
      </c>
      <c r="AV117" s="8"/>
      <c r="AW117" s="8"/>
      <c r="AX117" s="8"/>
      <c r="AY117" s="8"/>
      <c r="AZ117" s="8"/>
      <c r="BA117" s="8"/>
      <c r="BB117" s="8"/>
    </row>
    <row r="118" ht="15.75" customHeight="1">
      <c r="A118" s="12" t="s">
        <v>287</v>
      </c>
      <c r="B118" s="8">
        <f t="shared" si="2"/>
        <v>2</v>
      </c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  <c r="AE118" s="8"/>
      <c r="AF118" s="8"/>
      <c r="AG118" s="8"/>
      <c r="AH118" s="8"/>
      <c r="AI118" s="8"/>
      <c r="AJ118" s="8"/>
      <c r="AK118" s="8"/>
      <c r="AL118" s="8"/>
      <c r="AM118" s="8"/>
      <c r="AN118" s="8"/>
      <c r="AO118" s="8"/>
      <c r="AP118" s="8"/>
      <c r="AQ118" s="8"/>
      <c r="AR118" s="8"/>
      <c r="AS118" s="8"/>
      <c r="AT118" s="8"/>
      <c r="AU118" s="20">
        <v>2.0</v>
      </c>
      <c r="AV118" s="8"/>
      <c r="AW118" s="8"/>
      <c r="AX118" s="8"/>
      <c r="AY118" s="8"/>
      <c r="AZ118" s="8"/>
      <c r="BA118" s="8"/>
      <c r="BB118" s="8"/>
    </row>
    <row r="119" ht="15.75" customHeight="1">
      <c r="A119" s="12" t="s">
        <v>288</v>
      </c>
      <c r="B119" s="8">
        <f t="shared" si="2"/>
        <v>1.75</v>
      </c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  <c r="AE119" s="8"/>
      <c r="AF119" s="8"/>
      <c r="AG119" s="8"/>
      <c r="AH119" s="8"/>
      <c r="AI119" s="8"/>
      <c r="AJ119" s="8"/>
      <c r="AK119" s="8"/>
      <c r="AL119" s="8"/>
      <c r="AM119" s="8"/>
      <c r="AN119" s="8"/>
      <c r="AO119" s="8"/>
      <c r="AP119" s="8"/>
      <c r="AQ119" s="8"/>
      <c r="AR119" s="8"/>
      <c r="AS119" s="8"/>
      <c r="AT119" s="8"/>
      <c r="AU119" s="20">
        <v>1.75</v>
      </c>
      <c r="AV119" s="8"/>
      <c r="AW119" s="8"/>
      <c r="AX119" s="8"/>
      <c r="AY119" s="8"/>
      <c r="AZ119" s="8"/>
      <c r="BA119" s="8"/>
      <c r="BB119" s="8"/>
    </row>
    <row r="120" ht="15.75" customHeight="1">
      <c r="A120" s="12" t="s">
        <v>289</v>
      </c>
      <c r="B120" s="8">
        <f t="shared" si="2"/>
        <v>1.75</v>
      </c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  <c r="AE120" s="8"/>
      <c r="AF120" s="8"/>
      <c r="AG120" s="8"/>
      <c r="AH120" s="8"/>
      <c r="AI120" s="8"/>
      <c r="AJ120" s="8"/>
      <c r="AK120" s="8"/>
      <c r="AL120" s="8"/>
      <c r="AM120" s="8"/>
      <c r="AN120" s="8"/>
      <c r="AO120" s="8"/>
      <c r="AP120" s="8"/>
      <c r="AQ120" s="8"/>
      <c r="AR120" s="8"/>
      <c r="AS120" s="8"/>
      <c r="AT120" s="8"/>
      <c r="AU120" s="20">
        <v>1.75</v>
      </c>
      <c r="AV120" s="8"/>
      <c r="AW120" s="8"/>
      <c r="AX120" s="8"/>
      <c r="AY120" s="8"/>
      <c r="AZ120" s="8"/>
      <c r="BA120" s="8"/>
      <c r="BB120" s="8"/>
    </row>
    <row r="121" ht="15.75" customHeight="1">
      <c r="A121" s="12" t="s">
        <v>290</v>
      </c>
      <c r="B121" s="8">
        <f t="shared" si="2"/>
        <v>1.75</v>
      </c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  <c r="AE121" s="8"/>
      <c r="AF121" s="8"/>
      <c r="AG121" s="8"/>
      <c r="AH121" s="8"/>
      <c r="AI121" s="8"/>
      <c r="AJ121" s="8"/>
      <c r="AK121" s="8"/>
      <c r="AL121" s="8"/>
      <c r="AM121" s="8"/>
      <c r="AN121" s="8"/>
      <c r="AO121" s="8"/>
      <c r="AP121" s="8"/>
      <c r="AQ121" s="8"/>
      <c r="AR121" s="8"/>
      <c r="AS121" s="8"/>
      <c r="AT121" s="8"/>
      <c r="AU121" s="20">
        <v>1.75</v>
      </c>
      <c r="AV121" s="8"/>
      <c r="AW121" s="8"/>
      <c r="AX121" s="8"/>
      <c r="AY121" s="8"/>
      <c r="AZ121" s="8"/>
      <c r="BA121" s="8"/>
      <c r="BB121" s="8"/>
    </row>
    <row r="122" ht="15.75" customHeight="1">
      <c r="A122" s="30" t="s">
        <v>291</v>
      </c>
      <c r="B122" s="8">
        <f t="shared" si="2"/>
        <v>2.5</v>
      </c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  <c r="AE122" s="8"/>
      <c r="AF122" s="8"/>
      <c r="AG122" s="8"/>
      <c r="AH122" s="8"/>
      <c r="AI122" s="8"/>
      <c r="AJ122" s="8"/>
      <c r="AK122" s="8"/>
      <c r="AL122" s="8"/>
      <c r="AM122" s="8"/>
      <c r="AN122" s="8"/>
      <c r="AO122" s="8"/>
      <c r="AP122" s="8"/>
      <c r="AQ122" s="8"/>
      <c r="AR122" s="8"/>
      <c r="AS122" s="8"/>
      <c r="AT122" s="8"/>
      <c r="AU122" s="8"/>
      <c r="AV122" s="21">
        <v>2.5</v>
      </c>
      <c r="AW122" s="8"/>
      <c r="AX122" s="8"/>
      <c r="AY122" s="8"/>
      <c r="AZ122" s="8"/>
      <c r="BA122" s="8"/>
      <c r="BB122" s="8"/>
    </row>
    <row r="123" ht="15.75" customHeight="1">
      <c r="A123" s="30" t="s">
        <v>292</v>
      </c>
      <c r="B123" s="8">
        <f t="shared" si="2"/>
        <v>2.5</v>
      </c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  <c r="AE123" s="8"/>
      <c r="AF123" s="8"/>
      <c r="AG123" s="8"/>
      <c r="AH123" s="8"/>
      <c r="AI123" s="8"/>
      <c r="AJ123" s="8"/>
      <c r="AK123" s="8"/>
      <c r="AL123" s="8"/>
      <c r="AM123" s="8"/>
      <c r="AN123" s="8"/>
      <c r="AO123" s="8"/>
      <c r="AP123" s="8"/>
      <c r="AQ123" s="8"/>
      <c r="AR123" s="8"/>
      <c r="AS123" s="8"/>
      <c r="AT123" s="8"/>
      <c r="AU123" s="8"/>
      <c r="AV123" s="21">
        <v>2.5</v>
      </c>
      <c r="AW123" s="8"/>
      <c r="AX123" s="8"/>
      <c r="AY123" s="8"/>
      <c r="AZ123" s="8"/>
      <c r="BA123" s="8"/>
      <c r="BB123" s="8"/>
    </row>
    <row r="124" ht="15.75" customHeight="1">
      <c r="A124" s="30" t="s">
        <v>169</v>
      </c>
      <c r="B124" s="8">
        <f t="shared" si="2"/>
        <v>2.5</v>
      </c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  <c r="AE124" s="8"/>
      <c r="AF124" s="8"/>
      <c r="AG124" s="8"/>
      <c r="AH124" s="8"/>
      <c r="AI124" s="8"/>
      <c r="AJ124" s="8"/>
      <c r="AK124" s="8"/>
      <c r="AL124" s="8"/>
      <c r="AM124" s="8"/>
      <c r="AN124" s="8"/>
      <c r="AO124" s="8"/>
      <c r="AP124" s="8"/>
      <c r="AQ124" s="8"/>
      <c r="AR124" s="8"/>
      <c r="AS124" s="8"/>
      <c r="AT124" s="8"/>
      <c r="AU124" s="8"/>
      <c r="AV124" s="21">
        <v>2.5</v>
      </c>
      <c r="AW124" s="8"/>
      <c r="AX124" s="8"/>
      <c r="AY124" s="8"/>
      <c r="AZ124" s="8"/>
      <c r="BA124" s="8"/>
      <c r="BB124" s="8"/>
    </row>
    <row r="125" ht="15.75" customHeight="1">
      <c r="A125" s="30" t="s">
        <v>293</v>
      </c>
      <c r="B125" s="8">
        <f t="shared" si="2"/>
        <v>4.5</v>
      </c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8"/>
      <c r="AF125" s="8"/>
      <c r="AG125" s="8"/>
      <c r="AH125" s="8"/>
      <c r="AI125" s="8"/>
      <c r="AJ125" s="8"/>
      <c r="AK125" s="8"/>
      <c r="AL125" s="8"/>
      <c r="AM125" s="8"/>
      <c r="AN125" s="8"/>
      <c r="AO125" s="8"/>
      <c r="AP125" s="8"/>
      <c r="AQ125" s="8"/>
      <c r="AR125" s="8"/>
      <c r="AS125" s="8"/>
      <c r="AT125" s="8"/>
      <c r="AU125" s="8"/>
      <c r="AV125" s="21">
        <v>2.0</v>
      </c>
      <c r="AW125" s="20">
        <v>2.5</v>
      </c>
      <c r="AX125" s="8"/>
      <c r="AY125" s="8"/>
      <c r="AZ125" s="8"/>
      <c r="BA125" s="8"/>
      <c r="BB125" s="8"/>
    </row>
    <row r="126" ht="15.75" customHeight="1">
      <c r="A126" s="12" t="s">
        <v>294</v>
      </c>
      <c r="B126" s="8">
        <f t="shared" si="2"/>
        <v>2.5</v>
      </c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  <c r="AE126" s="8"/>
      <c r="AF126" s="8"/>
      <c r="AG126" s="8"/>
      <c r="AH126" s="8"/>
      <c r="AI126" s="8"/>
      <c r="AJ126" s="8"/>
      <c r="AK126" s="8"/>
      <c r="AL126" s="8"/>
      <c r="AM126" s="8"/>
      <c r="AN126" s="8"/>
      <c r="AO126" s="8"/>
      <c r="AP126" s="8"/>
      <c r="AQ126" s="8"/>
      <c r="AR126" s="8"/>
      <c r="AS126" s="8"/>
      <c r="AT126" s="8"/>
      <c r="AU126" s="8"/>
      <c r="AV126" s="8"/>
      <c r="AW126" s="20">
        <v>2.5</v>
      </c>
      <c r="AX126" s="8"/>
      <c r="AY126" s="8"/>
      <c r="AZ126" s="8"/>
      <c r="BA126" s="8"/>
      <c r="BB126" s="8"/>
    </row>
    <row r="127" ht="15.75" customHeight="1">
      <c r="A127" s="12" t="s">
        <v>295</v>
      </c>
      <c r="B127" s="8">
        <f t="shared" si="2"/>
        <v>2.5</v>
      </c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  <c r="AE127" s="8"/>
      <c r="AF127" s="8"/>
      <c r="AG127" s="8"/>
      <c r="AH127" s="8"/>
      <c r="AI127" s="8"/>
      <c r="AJ127" s="8"/>
      <c r="AK127" s="8"/>
      <c r="AL127" s="8"/>
      <c r="AM127" s="8"/>
      <c r="AN127" s="8"/>
      <c r="AO127" s="8"/>
      <c r="AP127" s="8"/>
      <c r="AQ127" s="8"/>
      <c r="AR127" s="8"/>
      <c r="AS127" s="8"/>
      <c r="AT127" s="8"/>
      <c r="AU127" s="8"/>
      <c r="AV127" s="8"/>
      <c r="AW127" s="20">
        <v>2.5</v>
      </c>
      <c r="AX127" s="8"/>
      <c r="AY127" s="8"/>
      <c r="AZ127" s="8"/>
      <c r="BA127" s="8"/>
      <c r="BB127" s="8"/>
    </row>
    <row r="128" ht="15.75" customHeight="1">
      <c r="A128" s="12" t="s">
        <v>216</v>
      </c>
      <c r="B128" s="8">
        <f t="shared" si="2"/>
        <v>5</v>
      </c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  <c r="AE128" s="8"/>
      <c r="AF128" s="8"/>
      <c r="AG128" s="8"/>
      <c r="AH128" s="8"/>
      <c r="AI128" s="8"/>
      <c r="AJ128" s="8"/>
      <c r="AK128" s="8"/>
      <c r="AL128" s="8"/>
      <c r="AM128" s="8"/>
      <c r="AN128" s="8"/>
      <c r="AO128" s="8"/>
      <c r="AP128" s="8"/>
      <c r="AQ128" s="8"/>
      <c r="AR128" s="8"/>
      <c r="AS128" s="8"/>
      <c r="AT128" s="8"/>
      <c r="AU128" s="8"/>
      <c r="AV128" s="8"/>
      <c r="AW128" s="20">
        <v>2.5</v>
      </c>
      <c r="AX128" s="20">
        <v>2.5</v>
      </c>
      <c r="AY128" s="8"/>
      <c r="AZ128" s="8"/>
      <c r="BA128" s="8"/>
      <c r="BB128" s="8"/>
    </row>
    <row r="129" ht="15.75" customHeight="1">
      <c r="A129" s="12" t="s">
        <v>296</v>
      </c>
      <c r="B129" s="8">
        <f t="shared" si="2"/>
        <v>2.5</v>
      </c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  <c r="AE129" s="8"/>
      <c r="AF129" s="8"/>
      <c r="AG129" s="8"/>
      <c r="AH129" s="8"/>
      <c r="AI129" s="8"/>
      <c r="AJ129" s="8"/>
      <c r="AK129" s="8"/>
      <c r="AL129" s="8"/>
      <c r="AM129" s="8"/>
      <c r="AN129" s="8"/>
      <c r="AO129" s="8"/>
      <c r="AP129" s="8"/>
      <c r="AQ129" s="8"/>
      <c r="AR129" s="8"/>
      <c r="AS129" s="8"/>
      <c r="AT129" s="8"/>
      <c r="AU129" s="8"/>
      <c r="AV129" s="8"/>
      <c r="AW129" s="20">
        <v>2.5</v>
      </c>
      <c r="AX129" s="8"/>
      <c r="AY129" s="8"/>
      <c r="AZ129" s="8"/>
      <c r="BA129" s="8"/>
      <c r="BB129" s="8"/>
    </row>
    <row r="130" ht="15.75" customHeight="1">
      <c r="A130" s="12" t="s">
        <v>204</v>
      </c>
      <c r="B130" s="8">
        <f t="shared" si="2"/>
        <v>6.5</v>
      </c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  <c r="AE130" s="8"/>
      <c r="AF130" s="8"/>
      <c r="AG130" s="8"/>
      <c r="AH130" s="8"/>
      <c r="AI130" s="8"/>
      <c r="AJ130" s="8"/>
      <c r="AK130" s="8"/>
      <c r="AL130" s="8"/>
      <c r="AM130" s="8"/>
      <c r="AN130" s="8"/>
      <c r="AO130" s="8"/>
      <c r="AP130" s="8"/>
      <c r="AQ130" s="8"/>
      <c r="AR130" s="8"/>
      <c r="AS130" s="8"/>
      <c r="AT130" s="8"/>
      <c r="AU130" s="8"/>
      <c r="AV130" s="8"/>
      <c r="AW130" s="20">
        <v>2.5</v>
      </c>
      <c r="AX130" s="8"/>
      <c r="AY130" s="8"/>
      <c r="AZ130" s="8"/>
      <c r="BA130" s="20">
        <v>2.0</v>
      </c>
      <c r="BB130" s="20">
        <v>2.0</v>
      </c>
    </row>
    <row r="131" ht="15.75" customHeight="1">
      <c r="A131" s="12" t="s">
        <v>211</v>
      </c>
      <c r="B131" s="8">
        <f t="shared" si="2"/>
        <v>4.5</v>
      </c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  <c r="AE131" s="8"/>
      <c r="AF131" s="8"/>
      <c r="AG131" s="8"/>
      <c r="AH131" s="8"/>
      <c r="AI131" s="8"/>
      <c r="AJ131" s="8"/>
      <c r="AK131" s="8"/>
      <c r="AL131" s="8"/>
      <c r="AM131" s="8"/>
      <c r="AN131" s="8"/>
      <c r="AO131" s="8"/>
      <c r="AP131" s="8"/>
      <c r="AQ131" s="8"/>
      <c r="AR131" s="8"/>
      <c r="AS131" s="8"/>
      <c r="AT131" s="8"/>
      <c r="AU131" s="8"/>
      <c r="AV131" s="8"/>
      <c r="AW131" s="20">
        <v>2.5</v>
      </c>
      <c r="AX131" s="8"/>
      <c r="AY131" s="8"/>
      <c r="AZ131" s="8"/>
      <c r="BA131" s="8"/>
      <c r="BB131" s="20">
        <v>2.0</v>
      </c>
    </row>
    <row r="132" ht="15.75" customHeight="1">
      <c r="A132" s="12" t="s">
        <v>297</v>
      </c>
      <c r="B132" s="8">
        <f t="shared" si="2"/>
        <v>4.5</v>
      </c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  <c r="AE132" s="8"/>
      <c r="AF132" s="8"/>
      <c r="AG132" s="8"/>
      <c r="AH132" s="8"/>
      <c r="AI132" s="8"/>
      <c r="AJ132" s="8"/>
      <c r="AK132" s="8"/>
      <c r="AL132" s="8"/>
      <c r="AM132" s="8"/>
      <c r="AN132" s="8"/>
      <c r="AO132" s="8"/>
      <c r="AP132" s="8"/>
      <c r="AQ132" s="8"/>
      <c r="AR132" s="8"/>
      <c r="AS132" s="8"/>
      <c r="AT132" s="8"/>
      <c r="AU132" s="8"/>
      <c r="AV132" s="8"/>
      <c r="AW132" s="20">
        <v>2.5</v>
      </c>
      <c r="AX132" s="8"/>
      <c r="AY132" s="8"/>
      <c r="AZ132" s="8"/>
      <c r="BA132" s="8"/>
      <c r="BB132" s="20">
        <v>2.0</v>
      </c>
    </row>
    <row r="133" ht="15.75" customHeight="1">
      <c r="A133" s="12" t="s">
        <v>298</v>
      </c>
      <c r="B133" s="8">
        <f t="shared" si="2"/>
        <v>2.5</v>
      </c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  <c r="AE133" s="8"/>
      <c r="AF133" s="8"/>
      <c r="AG133" s="8"/>
      <c r="AH133" s="8"/>
      <c r="AI133" s="8"/>
      <c r="AJ133" s="8"/>
      <c r="AK133" s="8"/>
      <c r="AL133" s="8"/>
      <c r="AM133" s="8"/>
      <c r="AN133" s="8"/>
      <c r="AO133" s="8"/>
      <c r="AP133" s="8"/>
      <c r="AQ133" s="8"/>
      <c r="AR133" s="8"/>
      <c r="AS133" s="8"/>
      <c r="AT133" s="8"/>
      <c r="AU133" s="8"/>
      <c r="AV133" s="8"/>
      <c r="AW133" s="8"/>
      <c r="AX133" s="20">
        <v>2.5</v>
      </c>
      <c r="AY133" s="8"/>
      <c r="AZ133" s="8"/>
      <c r="BA133" s="8"/>
      <c r="BB133" s="8"/>
    </row>
    <row r="134" ht="15.75" customHeight="1">
      <c r="A134" s="12" t="s">
        <v>299</v>
      </c>
      <c r="B134" s="8">
        <f t="shared" si="2"/>
        <v>2.25</v>
      </c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  <c r="AE134" s="8"/>
      <c r="AF134" s="8"/>
      <c r="AG134" s="8"/>
      <c r="AH134" s="8"/>
      <c r="AI134" s="8"/>
      <c r="AJ134" s="8"/>
      <c r="AK134" s="8"/>
      <c r="AL134" s="8"/>
      <c r="AM134" s="8"/>
      <c r="AN134" s="8"/>
      <c r="AO134" s="8"/>
      <c r="AP134" s="8"/>
      <c r="AQ134" s="8"/>
      <c r="AR134" s="8"/>
      <c r="AS134" s="8"/>
      <c r="AT134" s="8"/>
      <c r="AU134" s="8"/>
      <c r="AV134" s="8"/>
      <c r="AW134" s="8"/>
      <c r="AX134" s="20">
        <v>2.25</v>
      </c>
      <c r="AY134" s="8"/>
      <c r="AZ134" s="8"/>
      <c r="BA134" s="8"/>
      <c r="BB134" s="8"/>
    </row>
    <row r="135" ht="15.75" customHeight="1">
      <c r="A135" s="12" t="s">
        <v>300</v>
      </c>
      <c r="B135" s="8">
        <f t="shared" si="2"/>
        <v>2.25</v>
      </c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  <c r="AE135" s="8"/>
      <c r="AF135" s="8"/>
      <c r="AG135" s="8"/>
      <c r="AH135" s="8"/>
      <c r="AI135" s="8"/>
      <c r="AJ135" s="8"/>
      <c r="AK135" s="8"/>
      <c r="AL135" s="8"/>
      <c r="AM135" s="8"/>
      <c r="AN135" s="8"/>
      <c r="AO135" s="8"/>
      <c r="AP135" s="8"/>
      <c r="AQ135" s="8"/>
      <c r="AR135" s="8"/>
      <c r="AS135" s="8"/>
      <c r="AT135" s="8"/>
      <c r="AU135" s="8"/>
      <c r="AV135" s="8"/>
      <c r="AW135" s="8"/>
      <c r="AX135" s="20">
        <v>2.25</v>
      </c>
      <c r="AY135" s="8"/>
      <c r="AZ135" s="8"/>
      <c r="BA135" s="8"/>
      <c r="BB135" s="8"/>
    </row>
    <row r="136" ht="15.75" customHeight="1">
      <c r="A136" s="12" t="s">
        <v>301</v>
      </c>
      <c r="B136" s="8">
        <f t="shared" si="2"/>
        <v>2.5</v>
      </c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  <c r="AE136" s="8"/>
      <c r="AF136" s="8"/>
      <c r="AG136" s="8"/>
      <c r="AH136" s="8"/>
      <c r="AI136" s="8"/>
      <c r="AJ136" s="8"/>
      <c r="AK136" s="8"/>
      <c r="AL136" s="8"/>
      <c r="AM136" s="8"/>
      <c r="AN136" s="8"/>
      <c r="AO136" s="8"/>
      <c r="AP136" s="8"/>
      <c r="AQ136" s="8"/>
      <c r="AR136" s="8"/>
      <c r="AS136" s="8"/>
      <c r="AT136" s="8"/>
      <c r="AU136" s="8"/>
      <c r="AV136" s="8"/>
      <c r="AW136" s="8"/>
      <c r="AX136" s="20">
        <v>2.5</v>
      </c>
      <c r="AY136" s="8"/>
      <c r="AZ136" s="8"/>
      <c r="BA136" s="8"/>
      <c r="BB136" s="8"/>
    </row>
    <row r="137" ht="15.75" customHeight="1">
      <c r="A137" s="30" t="s">
        <v>302</v>
      </c>
      <c r="B137" s="8">
        <f t="shared" si="2"/>
        <v>2.25</v>
      </c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  <c r="AD137" s="8"/>
      <c r="AE137" s="8"/>
      <c r="AF137" s="8"/>
      <c r="AG137" s="8"/>
      <c r="AH137" s="8"/>
      <c r="AI137" s="8"/>
      <c r="AJ137" s="8"/>
      <c r="AK137" s="8"/>
      <c r="AL137" s="8"/>
      <c r="AM137" s="8"/>
      <c r="AN137" s="8"/>
      <c r="AO137" s="8"/>
      <c r="AP137" s="8"/>
      <c r="AQ137" s="8"/>
      <c r="AR137" s="8"/>
      <c r="AS137" s="8"/>
      <c r="AT137" s="8"/>
      <c r="AU137" s="8"/>
      <c r="AV137" s="8"/>
      <c r="AW137" s="8"/>
      <c r="AX137" s="8"/>
      <c r="AY137" s="21">
        <v>2.25</v>
      </c>
      <c r="AZ137" s="8"/>
      <c r="BA137" s="8"/>
      <c r="BB137" s="8"/>
    </row>
    <row r="138" ht="15.75" customHeight="1">
      <c r="A138" s="30" t="s">
        <v>303</v>
      </c>
      <c r="B138" s="8">
        <f t="shared" si="2"/>
        <v>2.25</v>
      </c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  <c r="AD138" s="8"/>
      <c r="AE138" s="8"/>
      <c r="AF138" s="8"/>
      <c r="AG138" s="8"/>
      <c r="AH138" s="8"/>
      <c r="AI138" s="8"/>
      <c r="AJ138" s="8"/>
      <c r="AK138" s="8"/>
      <c r="AL138" s="8"/>
      <c r="AM138" s="8"/>
      <c r="AN138" s="8"/>
      <c r="AO138" s="8"/>
      <c r="AP138" s="8"/>
      <c r="AQ138" s="8"/>
      <c r="AR138" s="8"/>
      <c r="AS138" s="8"/>
      <c r="AT138" s="8"/>
      <c r="AU138" s="8"/>
      <c r="AV138" s="8"/>
      <c r="AW138" s="8"/>
      <c r="AX138" s="8"/>
      <c r="AY138" s="21">
        <v>2.25</v>
      </c>
      <c r="AZ138" s="8"/>
      <c r="BA138" s="8"/>
      <c r="BB138" s="8"/>
    </row>
    <row r="139" ht="15.75" customHeight="1">
      <c r="A139" s="30" t="s">
        <v>229</v>
      </c>
      <c r="B139" s="8">
        <f t="shared" si="2"/>
        <v>4.25</v>
      </c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  <c r="AD139" s="8"/>
      <c r="AE139" s="8"/>
      <c r="AF139" s="8"/>
      <c r="AG139" s="8"/>
      <c r="AH139" s="8"/>
      <c r="AI139" s="8"/>
      <c r="AJ139" s="8"/>
      <c r="AK139" s="8"/>
      <c r="AL139" s="8"/>
      <c r="AM139" s="8"/>
      <c r="AN139" s="8"/>
      <c r="AO139" s="8"/>
      <c r="AP139" s="8"/>
      <c r="AQ139" s="8"/>
      <c r="AR139" s="8"/>
      <c r="AS139" s="8"/>
      <c r="AT139" s="8"/>
      <c r="AU139" s="8"/>
      <c r="AV139" s="8"/>
      <c r="AW139" s="8"/>
      <c r="AX139" s="8"/>
      <c r="AY139" s="21">
        <v>2.25</v>
      </c>
      <c r="AZ139" s="8"/>
      <c r="BA139" s="20">
        <v>2.0</v>
      </c>
      <c r="BB139" s="8"/>
    </row>
    <row r="140" ht="15.75" customHeight="1">
      <c r="A140" s="30" t="s">
        <v>304</v>
      </c>
      <c r="B140" s="8">
        <f t="shared" si="2"/>
        <v>2.25</v>
      </c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  <c r="AD140" s="8"/>
      <c r="AE140" s="8"/>
      <c r="AF140" s="8"/>
      <c r="AG140" s="8"/>
      <c r="AH140" s="8"/>
      <c r="AI140" s="8"/>
      <c r="AJ140" s="8"/>
      <c r="AK140" s="8"/>
      <c r="AL140" s="8"/>
      <c r="AM140" s="8"/>
      <c r="AN140" s="8"/>
      <c r="AO140" s="8"/>
      <c r="AP140" s="8"/>
      <c r="AQ140" s="8"/>
      <c r="AR140" s="8"/>
      <c r="AS140" s="8"/>
      <c r="AT140" s="8"/>
      <c r="AU140" s="8"/>
      <c r="AV140" s="8"/>
      <c r="AW140" s="8"/>
      <c r="AX140" s="8"/>
      <c r="AY140" s="21">
        <v>2.25</v>
      </c>
      <c r="AZ140" s="8"/>
      <c r="BA140" s="8"/>
      <c r="BB140" s="8"/>
    </row>
    <row r="141" ht="15.75" customHeight="1">
      <c r="A141" s="12" t="s">
        <v>305</v>
      </c>
      <c r="B141" s="8">
        <f t="shared" si="2"/>
        <v>2.25</v>
      </c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  <c r="AD141" s="8"/>
      <c r="AE141" s="8"/>
      <c r="AF141" s="8"/>
      <c r="AG141" s="8"/>
      <c r="AH141" s="8"/>
      <c r="AI141" s="8"/>
      <c r="AJ141" s="8"/>
      <c r="AK141" s="8"/>
      <c r="AL141" s="8"/>
      <c r="AM141" s="8"/>
      <c r="AN141" s="8"/>
      <c r="AO141" s="8"/>
      <c r="AP141" s="8"/>
      <c r="AQ141" s="8"/>
      <c r="AR141" s="8"/>
      <c r="AS141" s="8"/>
      <c r="AT141" s="8"/>
      <c r="AU141" s="8"/>
      <c r="AV141" s="8"/>
      <c r="AW141" s="8"/>
      <c r="AX141" s="8"/>
      <c r="AY141" s="8"/>
      <c r="AZ141" s="20">
        <v>2.25</v>
      </c>
      <c r="BA141" s="8"/>
      <c r="BB141" s="8"/>
    </row>
    <row r="142" ht="15.75" customHeight="1">
      <c r="A142" s="12" t="s">
        <v>306</v>
      </c>
      <c r="B142" s="8">
        <f t="shared" si="2"/>
        <v>2</v>
      </c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8"/>
      <c r="AD142" s="8"/>
      <c r="AE142" s="8"/>
      <c r="AF142" s="8"/>
      <c r="AG142" s="8"/>
      <c r="AH142" s="8"/>
      <c r="AI142" s="8"/>
      <c r="AJ142" s="8"/>
      <c r="AK142" s="8"/>
      <c r="AL142" s="8"/>
      <c r="AM142" s="8"/>
      <c r="AN142" s="8"/>
      <c r="AO142" s="8"/>
      <c r="AP142" s="8"/>
      <c r="AQ142" s="8"/>
      <c r="AR142" s="8"/>
      <c r="AS142" s="8"/>
      <c r="AT142" s="8"/>
      <c r="AU142" s="8"/>
      <c r="AV142" s="8"/>
      <c r="AW142" s="8"/>
      <c r="AX142" s="8"/>
      <c r="AY142" s="8"/>
      <c r="AZ142" s="20"/>
      <c r="BA142" s="20">
        <v>2.0</v>
      </c>
      <c r="BB142" s="8"/>
    </row>
    <row r="143" ht="15.75" customHeight="1">
      <c r="A143" s="12" t="s">
        <v>60</v>
      </c>
      <c r="B143" s="8">
        <f t="shared" si="2"/>
        <v>1</v>
      </c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8"/>
      <c r="AD143" s="8"/>
      <c r="AE143" s="8"/>
      <c r="AF143" s="8"/>
      <c r="AG143" s="8"/>
      <c r="AH143" s="8"/>
      <c r="AI143" s="8"/>
      <c r="AJ143" s="8"/>
      <c r="AK143" s="8"/>
      <c r="AL143" s="8"/>
      <c r="AM143" s="8"/>
      <c r="AN143" s="8"/>
      <c r="AO143" s="8"/>
      <c r="AP143" s="8"/>
      <c r="AQ143" s="8"/>
      <c r="AR143" s="8"/>
      <c r="AS143" s="8"/>
      <c r="AT143" s="8"/>
      <c r="AU143" s="8"/>
      <c r="AV143" s="8"/>
      <c r="AW143" s="8"/>
      <c r="AX143" s="8"/>
      <c r="AY143" s="8"/>
      <c r="AZ143" s="8"/>
      <c r="BA143" s="20">
        <v>1.0</v>
      </c>
      <c r="BB143" s="8"/>
    </row>
    <row r="144" ht="15.75" customHeight="1">
      <c r="A144" s="12" t="s">
        <v>307</v>
      </c>
      <c r="B144" s="8">
        <f t="shared" si="2"/>
        <v>2</v>
      </c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  <c r="AE144" s="8"/>
      <c r="AF144" s="8"/>
      <c r="AG144" s="8"/>
      <c r="AH144" s="8"/>
      <c r="AI144" s="8"/>
      <c r="AJ144" s="8"/>
      <c r="AK144" s="8"/>
      <c r="AL144" s="8"/>
      <c r="AM144" s="8"/>
      <c r="AN144" s="8"/>
      <c r="AO144" s="8"/>
      <c r="AP144" s="8"/>
      <c r="AQ144" s="8"/>
      <c r="AR144" s="8"/>
      <c r="AS144" s="8"/>
      <c r="AT144" s="8"/>
      <c r="AU144" s="8"/>
      <c r="AV144" s="8"/>
      <c r="AW144" s="8"/>
      <c r="AX144" s="8"/>
      <c r="AY144" s="8"/>
      <c r="AZ144" s="8"/>
      <c r="BA144" s="20"/>
      <c r="BB144" s="20">
        <v>2.0</v>
      </c>
    </row>
    <row r="145" ht="15.75" customHeight="1">
      <c r="A145" s="12" t="s">
        <v>308</v>
      </c>
      <c r="B145" s="8">
        <f t="shared" si="2"/>
        <v>2</v>
      </c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  <c r="AE145" s="8"/>
      <c r="AF145" s="8"/>
      <c r="AG145" s="8"/>
      <c r="AH145" s="8"/>
      <c r="AI145" s="8"/>
      <c r="AJ145" s="8"/>
      <c r="AK145" s="8"/>
      <c r="AL145" s="8"/>
      <c r="AM145" s="8"/>
      <c r="AN145" s="8"/>
      <c r="AO145" s="8"/>
      <c r="AP145" s="8"/>
      <c r="AQ145" s="8"/>
      <c r="AR145" s="8"/>
      <c r="AS145" s="8"/>
      <c r="AT145" s="8"/>
      <c r="AU145" s="8"/>
      <c r="AV145" s="8"/>
      <c r="AW145" s="8"/>
      <c r="AX145" s="8"/>
      <c r="AY145" s="8"/>
      <c r="AZ145" s="8"/>
      <c r="BA145" s="8"/>
      <c r="BB145" s="20">
        <v>2.0</v>
      </c>
    </row>
    <row r="146" ht="15.75" customHeight="1">
      <c r="A146" s="12" t="s">
        <v>309</v>
      </c>
      <c r="B146" s="8">
        <f t="shared" si="2"/>
        <v>2</v>
      </c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  <c r="AD146" s="8"/>
      <c r="AE146" s="8"/>
      <c r="AF146" s="8"/>
      <c r="AG146" s="8"/>
      <c r="AH146" s="8"/>
      <c r="AI146" s="8"/>
      <c r="AJ146" s="8"/>
      <c r="AK146" s="8"/>
      <c r="AL146" s="8"/>
      <c r="AM146" s="8"/>
      <c r="AN146" s="8"/>
      <c r="AO146" s="8"/>
      <c r="AP146" s="8"/>
      <c r="AQ146" s="8"/>
      <c r="AR146" s="8"/>
      <c r="AS146" s="8"/>
      <c r="AT146" s="8"/>
      <c r="AU146" s="8"/>
      <c r="AV146" s="8"/>
      <c r="AW146" s="8"/>
      <c r="AX146" s="8"/>
      <c r="AY146" s="8"/>
      <c r="AZ146" s="8"/>
      <c r="BA146" s="8"/>
      <c r="BB146" s="20">
        <v>2.0</v>
      </c>
    </row>
    <row r="147" ht="15.75" customHeight="1">
      <c r="A147" s="11"/>
      <c r="B147" s="8">
        <f t="shared" si="2"/>
        <v>0</v>
      </c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  <c r="AE147" s="8"/>
      <c r="AF147" s="8"/>
      <c r="AG147" s="8"/>
      <c r="AH147" s="8"/>
      <c r="AI147" s="8"/>
      <c r="AJ147" s="8"/>
      <c r="AK147" s="8"/>
      <c r="AL147" s="8"/>
      <c r="AM147" s="8"/>
      <c r="AN147" s="8"/>
      <c r="AO147" s="8"/>
      <c r="AP147" s="8"/>
      <c r="AQ147" s="8"/>
      <c r="AR147" s="8"/>
      <c r="AS147" s="8"/>
      <c r="AT147" s="8"/>
      <c r="AU147" s="8"/>
      <c r="AV147" s="8"/>
      <c r="AW147" s="8"/>
      <c r="AX147" s="8"/>
      <c r="AY147" s="8"/>
      <c r="AZ147" s="8"/>
      <c r="BA147" s="8"/>
      <c r="BB147" s="8"/>
    </row>
    <row r="148" ht="15.75" customHeight="1">
      <c r="A148" s="11"/>
      <c r="B148" s="8">
        <f t="shared" si="2"/>
        <v>0</v>
      </c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  <c r="AC148" s="8"/>
      <c r="AD148" s="8"/>
      <c r="AE148" s="8"/>
      <c r="AF148" s="8"/>
      <c r="AG148" s="8"/>
      <c r="AH148" s="8"/>
      <c r="AI148" s="8"/>
      <c r="AJ148" s="8"/>
      <c r="AK148" s="8"/>
      <c r="AL148" s="8"/>
      <c r="AM148" s="8"/>
      <c r="AN148" s="8"/>
      <c r="AO148" s="8"/>
      <c r="AP148" s="8"/>
      <c r="AQ148" s="8"/>
      <c r="AR148" s="8"/>
      <c r="AS148" s="8"/>
      <c r="AT148" s="8"/>
      <c r="AU148" s="8"/>
      <c r="AV148" s="8"/>
      <c r="AW148" s="8"/>
      <c r="AX148" s="8"/>
      <c r="AY148" s="8"/>
      <c r="AZ148" s="8"/>
      <c r="BA148" s="8"/>
      <c r="BB148" s="8"/>
    </row>
    <row r="149" ht="15.75" customHeight="1">
      <c r="A149" s="11"/>
      <c r="B149" s="8">
        <f t="shared" si="2"/>
        <v>0</v>
      </c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  <c r="AE149" s="8"/>
      <c r="AF149" s="8"/>
      <c r="AG149" s="8"/>
      <c r="AH149" s="8"/>
      <c r="AI149" s="8"/>
      <c r="AJ149" s="8"/>
      <c r="AK149" s="8"/>
      <c r="AL149" s="8"/>
      <c r="AM149" s="8"/>
      <c r="AN149" s="8"/>
      <c r="AO149" s="8"/>
      <c r="AP149" s="8"/>
      <c r="AQ149" s="8"/>
      <c r="AR149" s="8"/>
      <c r="AS149" s="8"/>
      <c r="AT149" s="8"/>
      <c r="AU149" s="8"/>
      <c r="AV149" s="8"/>
      <c r="AW149" s="8"/>
      <c r="AX149" s="8"/>
      <c r="AY149" s="8"/>
      <c r="AZ149" s="8"/>
      <c r="BA149" s="8"/>
      <c r="BB149" s="8"/>
    </row>
    <row r="150" ht="15.75" customHeight="1">
      <c r="A150" s="11"/>
      <c r="B150" s="8">
        <f t="shared" si="2"/>
        <v>0</v>
      </c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  <c r="AD150" s="8"/>
      <c r="AE150" s="8"/>
      <c r="AF150" s="8"/>
      <c r="AG150" s="8"/>
      <c r="AH150" s="8"/>
      <c r="AI150" s="8"/>
      <c r="AJ150" s="8"/>
      <c r="AK150" s="8"/>
      <c r="AL150" s="8"/>
      <c r="AM150" s="8"/>
      <c r="AN150" s="8"/>
      <c r="AO150" s="8"/>
      <c r="AP150" s="8"/>
      <c r="AQ150" s="8"/>
      <c r="AR150" s="8"/>
      <c r="AS150" s="8"/>
      <c r="AT150" s="8"/>
      <c r="AU150" s="8"/>
      <c r="AV150" s="8"/>
      <c r="AW150" s="8"/>
      <c r="AX150" s="8"/>
      <c r="AY150" s="8"/>
      <c r="AZ150" s="8"/>
      <c r="BA150" s="8"/>
      <c r="BB150" s="8"/>
    </row>
    <row r="151" ht="15.75" customHeight="1">
      <c r="A151" s="11"/>
      <c r="B151" s="8">
        <f t="shared" si="2"/>
        <v>0</v>
      </c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  <c r="AC151" s="8"/>
      <c r="AD151" s="8"/>
      <c r="AE151" s="8"/>
      <c r="AF151" s="8"/>
      <c r="AG151" s="8"/>
      <c r="AH151" s="8"/>
      <c r="AI151" s="8"/>
      <c r="AJ151" s="8"/>
      <c r="AK151" s="8"/>
      <c r="AL151" s="8"/>
      <c r="AM151" s="8"/>
      <c r="AN151" s="8"/>
      <c r="AO151" s="8"/>
      <c r="AP151" s="8"/>
      <c r="AQ151" s="8"/>
      <c r="AR151" s="8"/>
      <c r="AS151" s="8"/>
      <c r="AT151" s="8"/>
      <c r="AU151" s="8"/>
      <c r="AV151" s="8"/>
      <c r="AW151" s="8"/>
      <c r="AX151" s="8"/>
      <c r="AY151" s="8"/>
      <c r="AZ151" s="8"/>
      <c r="BA151" s="8"/>
      <c r="BB151" s="8"/>
    </row>
    <row r="152" ht="15.75" customHeight="1">
      <c r="A152" s="11"/>
      <c r="B152" s="8">
        <f t="shared" si="2"/>
        <v>0</v>
      </c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  <c r="AC152" s="8"/>
      <c r="AD152" s="8"/>
      <c r="AE152" s="8"/>
      <c r="AF152" s="8"/>
      <c r="AG152" s="8"/>
      <c r="AH152" s="8"/>
      <c r="AI152" s="8"/>
      <c r="AJ152" s="8"/>
      <c r="AK152" s="8"/>
      <c r="AL152" s="8"/>
      <c r="AM152" s="8"/>
      <c r="AN152" s="8"/>
      <c r="AO152" s="8"/>
      <c r="AP152" s="8"/>
      <c r="AQ152" s="8"/>
      <c r="AR152" s="8"/>
      <c r="AS152" s="8"/>
      <c r="AT152" s="8"/>
      <c r="AU152" s="8"/>
      <c r="AV152" s="8"/>
      <c r="AW152" s="8"/>
      <c r="AX152" s="8"/>
      <c r="AY152" s="8"/>
      <c r="AZ152" s="8"/>
      <c r="BA152" s="8"/>
      <c r="BB152" s="8"/>
    </row>
    <row r="153" ht="15.75" customHeight="1">
      <c r="A153" s="11"/>
      <c r="B153" s="8">
        <f t="shared" si="2"/>
        <v>0</v>
      </c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  <c r="AC153" s="8"/>
      <c r="AD153" s="8"/>
      <c r="AE153" s="8"/>
      <c r="AF153" s="8"/>
      <c r="AG153" s="8"/>
      <c r="AH153" s="8"/>
      <c r="AI153" s="8"/>
      <c r="AJ153" s="8"/>
      <c r="AK153" s="8"/>
      <c r="AL153" s="8"/>
      <c r="AM153" s="8"/>
      <c r="AN153" s="8"/>
      <c r="AO153" s="8"/>
      <c r="AP153" s="8"/>
      <c r="AQ153" s="8"/>
      <c r="AR153" s="8"/>
      <c r="AS153" s="8"/>
      <c r="AT153" s="8"/>
      <c r="AU153" s="8"/>
      <c r="AV153" s="8"/>
      <c r="AW153" s="8"/>
      <c r="AX153" s="8"/>
      <c r="AY153" s="8"/>
      <c r="AZ153" s="8"/>
      <c r="BA153" s="8"/>
      <c r="BB153" s="8"/>
    </row>
    <row r="154" ht="15.75" customHeight="1">
      <c r="A154" s="11"/>
      <c r="B154" s="8">
        <f t="shared" si="2"/>
        <v>0</v>
      </c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  <c r="AC154" s="8"/>
      <c r="AD154" s="8"/>
      <c r="AE154" s="8"/>
      <c r="AF154" s="8"/>
      <c r="AG154" s="8"/>
      <c r="AH154" s="8"/>
      <c r="AI154" s="8"/>
      <c r="AJ154" s="8"/>
      <c r="AK154" s="8"/>
      <c r="AL154" s="8"/>
      <c r="AM154" s="8"/>
      <c r="AN154" s="8"/>
      <c r="AO154" s="8"/>
      <c r="AP154" s="8"/>
      <c r="AQ154" s="8"/>
      <c r="AR154" s="8"/>
      <c r="AS154" s="8"/>
      <c r="AT154" s="8"/>
      <c r="AU154" s="8"/>
      <c r="AV154" s="8"/>
      <c r="AW154" s="8"/>
      <c r="AX154" s="8"/>
      <c r="AY154" s="8"/>
      <c r="AZ154" s="8"/>
      <c r="BA154" s="8"/>
      <c r="BB154" s="8"/>
    </row>
    <row r="155" ht="15.75" customHeight="1">
      <c r="A155" s="11"/>
      <c r="B155" s="8">
        <f t="shared" si="2"/>
        <v>0</v>
      </c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  <c r="AC155" s="8"/>
      <c r="AD155" s="8"/>
      <c r="AE155" s="8"/>
      <c r="AF155" s="8"/>
      <c r="AG155" s="8"/>
      <c r="AH155" s="8"/>
      <c r="AI155" s="8"/>
      <c r="AJ155" s="8"/>
      <c r="AK155" s="8"/>
      <c r="AL155" s="8"/>
      <c r="AM155" s="8"/>
      <c r="AN155" s="8"/>
      <c r="AO155" s="8"/>
      <c r="AP155" s="8"/>
      <c r="AQ155" s="8"/>
      <c r="AR155" s="8"/>
      <c r="AS155" s="8"/>
      <c r="AT155" s="8"/>
      <c r="AU155" s="8"/>
      <c r="AV155" s="8"/>
      <c r="AW155" s="8"/>
      <c r="AX155" s="8"/>
      <c r="AY155" s="8"/>
      <c r="AZ155" s="8"/>
      <c r="BA155" s="8"/>
      <c r="BB155" s="8"/>
    </row>
    <row r="156" ht="15.75" customHeight="1">
      <c r="A156" s="11"/>
      <c r="B156" s="8">
        <f t="shared" si="2"/>
        <v>0</v>
      </c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  <c r="AC156" s="8"/>
      <c r="AD156" s="8"/>
      <c r="AE156" s="8"/>
      <c r="AF156" s="8"/>
      <c r="AG156" s="8"/>
      <c r="AH156" s="8"/>
      <c r="AI156" s="8"/>
      <c r="AJ156" s="8"/>
      <c r="AK156" s="8"/>
      <c r="AL156" s="8"/>
      <c r="AM156" s="8"/>
      <c r="AN156" s="8"/>
      <c r="AO156" s="8"/>
      <c r="AP156" s="8"/>
      <c r="AQ156" s="8"/>
      <c r="AR156" s="8"/>
      <c r="AS156" s="8"/>
      <c r="AT156" s="8"/>
      <c r="AU156" s="8"/>
      <c r="AV156" s="8"/>
      <c r="AW156" s="8"/>
      <c r="AX156" s="8"/>
      <c r="AY156" s="8"/>
      <c r="AZ156" s="8"/>
      <c r="BA156" s="8"/>
      <c r="BB156" s="8"/>
    </row>
    <row r="157" ht="15.75" customHeight="1">
      <c r="A157" s="11"/>
      <c r="B157" s="8">
        <f t="shared" si="2"/>
        <v>0</v>
      </c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  <c r="AE157" s="8"/>
      <c r="AF157" s="8"/>
      <c r="AG157" s="8"/>
      <c r="AH157" s="8"/>
      <c r="AI157" s="8"/>
      <c r="AJ157" s="8"/>
      <c r="AK157" s="8"/>
      <c r="AL157" s="8"/>
      <c r="AM157" s="8"/>
      <c r="AN157" s="8"/>
      <c r="AO157" s="8"/>
      <c r="AP157" s="8"/>
      <c r="AQ157" s="8"/>
      <c r="AR157" s="8"/>
      <c r="AS157" s="8"/>
      <c r="AT157" s="8"/>
      <c r="AU157" s="8"/>
      <c r="AV157" s="8"/>
      <c r="AW157" s="8"/>
      <c r="AX157" s="8"/>
      <c r="AY157" s="8"/>
      <c r="AZ157" s="8"/>
      <c r="BA157" s="8"/>
      <c r="BB157" s="8"/>
    </row>
    <row r="158" ht="15.75" customHeight="1">
      <c r="A158" s="11"/>
      <c r="B158" s="8">
        <f t="shared" si="2"/>
        <v>0</v>
      </c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  <c r="AD158" s="8"/>
      <c r="AE158" s="8"/>
      <c r="AF158" s="8"/>
      <c r="AG158" s="8"/>
      <c r="AH158" s="8"/>
      <c r="AI158" s="8"/>
      <c r="AJ158" s="8"/>
      <c r="AK158" s="8"/>
      <c r="AL158" s="8"/>
      <c r="AM158" s="8"/>
      <c r="AN158" s="8"/>
      <c r="AO158" s="8"/>
      <c r="AP158" s="8"/>
      <c r="AQ158" s="8"/>
      <c r="AR158" s="8"/>
      <c r="AS158" s="8"/>
      <c r="AT158" s="8"/>
      <c r="AU158" s="8"/>
      <c r="AV158" s="8"/>
      <c r="AW158" s="8"/>
      <c r="AX158" s="8"/>
      <c r="AY158" s="8"/>
      <c r="AZ158" s="8"/>
      <c r="BA158" s="8"/>
      <c r="BB158" s="8"/>
    </row>
    <row r="159" ht="15.75" customHeight="1">
      <c r="A159" s="11"/>
      <c r="B159" s="8">
        <f t="shared" si="2"/>
        <v>0</v>
      </c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  <c r="AC159" s="8"/>
      <c r="AD159" s="8"/>
      <c r="AE159" s="8"/>
      <c r="AF159" s="8"/>
      <c r="AG159" s="8"/>
      <c r="AH159" s="8"/>
      <c r="AI159" s="8"/>
      <c r="AJ159" s="8"/>
      <c r="AK159" s="8"/>
      <c r="AL159" s="8"/>
      <c r="AM159" s="8"/>
      <c r="AN159" s="8"/>
      <c r="AO159" s="8"/>
      <c r="AP159" s="8"/>
      <c r="AQ159" s="8"/>
      <c r="AR159" s="8"/>
      <c r="AS159" s="8"/>
      <c r="AT159" s="8"/>
      <c r="AU159" s="8"/>
      <c r="AV159" s="8"/>
      <c r="AW159" s="8"/>
      <c r="AX159" s="8"/>
      <c r="AY159" s="8"/>
      <c r="AZ159" s="8"/>
      <c r="BA159" s="8"/>
      <c r="BB159" s="8"/>
    </row>
    <row r="160" ht="15.75" customHeight="1">
      <c r="A160" s="11"/>
      <c r="B160" s="8">
        <f t="shared" si="2"/>
        <v>0</v>
      </c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  <c r="AC160" s="8"/>
      <c r="AD160" s="8"/>
      <c r="AE160" s="8"/>
      <c r="AF160" s="8"/>
      <c r="AG160" s="8"/>
      <c r="AH160" s="8"/>
      <c r="AI160" s="8"/>
      <c r="AJ160" s="8"/>
      <c r="AK160" s="8"/>
      <c r="AL160" s="8"/>
      <c r="AM160" s="8"/>
      <c r="AN160" s="8"/>
      <c r="AO160" s="8"/>
      <c r="AP160" s="8"/>
      <c r="AQ160" s="8"/>
      <c r="AR160" s="8"/>
      <c r="AS160" s="8"/>
      <c r="AT160" s="8"/>
      <c r="AU160" s="8"/>
      <c r="AV160" s="8"/>
      <c r="AW160" s="8"/>
      <c r="AX160" s="8"/>
      <c r="AY160" s="8"/>
      <c r="AZ160" s="8"/>
      <c r="BA160" s="8"/>
      <c r="BB160" s="8"/>
    </row>
    <row r="161" ht="15.75" customHeight="1">
      <c r="A161" s="11"/>
      <c r="B161" s="8">
        <f t="shared" si="2"/>
        <v>0</v>
      </c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  <c r="AC161" s="8"/>
      <c r="AD161" s="8"/>
      <c r="AE161" s="8"/>
      <c r="AF161" s="8"/>
      <c r="AG161" s="8"/>
      <c r="AH161" s="8"/>
      <c r="AI161" s="8"/>
      <c r="AJ161" s="8"/>
      <c r="AK161" s="8"/>
      <c r="AL161" s="8"/>
      <c r="AM161" s="8"/>
      <c r="AN161" s="8"/>
      <c r="AO161" s="8"/>
      <c r="AP161" s="8"/>
      <c r="AQ161" s="8"/>
      <c r="AR161" s="8"/>
      <c r="AS161" s="8"/>
      <c r="AT161" s="8"/>
      <c r="AU161" s="8"/>
      <c r="AV161" s="8"/>
      <c r="AW161" s="8"/>
      <c r="AX161" s="8"/>
      <c r="AY161" s="8"/>
      <c r="AZ161" s="8"/>
      <c r="BA161" s="8"/>
      <c r="BB161" s="8"/>
    </row>
    <row r="162" ht="15.75" customHeight="1">
      <c r="A162" s="11"/>
      <c r="B162" s="8">
        <f t="shared" si="2"/>
        <v>0</v>
      </c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8"/>
      <c r="AC162" s="8"/>
      <c r="AD162" s="8"/>
      <c r="AE162" s="8"/>
      <c r="AF162" s="8"/>
      <c r="AG162" s="8"/>
      <c r="AH162" s="8"/>
      <c r="AI162" s="8"/>
      <c r="AJ162" s="8"/>
      <c r="AK162" s="8"/>
      <c r="AL162" s="8"/>
      <c r="AM162" s="8"/>
      <c r="AN162" s="8"/>
      <c r="AO162" s="8"/>
      <c r="AP162" s="8"/>
      <c r="AQ162" s="8"/>
      <c r="AR162" s="8"/>
      <c r="AS162" s="8"/>
      <c r="AT162" s="8"/>
      <c r="AU162" s="8"/>
      <c r="AV162" s="8"/>
      <c r="AW162" s="8"/>
      <c r="AX162" s="8"/>
      <c r="AY162" s="8"/>
      <c r="AZ162" s="8"/>
      <c r="BA162" s="8"/>
      <c r="BB162" s="8"/>
    </row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2" width="18.63"/>
    <col customWidth="1" min="3" max="3" width="14.75"/>
    <col customWidth="1" min="4" max="4" width="9.38"/>
    <col customWidth="1" min="5" max="7" width="10.25"/>
    <col customWidth="1" min="8" max="42" width="8.63"/>
    <col customWidth="1" min="43" max="45" width="10.25"/>
    <col customWidth="1" min="46" max="47" width="8.63"/>
    <col customWidth="1" min="48" max="50" width="10.38"/>
    <col customWidth="1" min="51" max="51" width="8.63"/>
    <col customWidth="1" min="52" max="54" width="10.38"/>
  </cols>
  <sheetData>
    <row r="1">
      <c r="A1" s="31" t="s">
        <v>0</v>
      </c>
      <c r="B1" s="32" t="s">
        <v>1</v>
      </c>
      <c r="C1" s="4">
        <v>45661.0</v>
      </c>
      <c r="D1" s="4">
        <v>45668.0</v>
      </c>
      <c r="E1" s="4">
        <v>45675.0</v>
      </c>
      <c r="F1" s="4">
        <v>45682.0</v>
      </c>
      <c r="G1" s="4">
        <v>45689.0</v>
      </c>
      <c r="H1" s="4">
        <v>45696.0</v>
      </c>
      <c r="I1" s="4">
        <v>45703.0</v>
      </c>
      <c r="J1" s="4">
        <v>45710.0</v>
      </c>
      <c r="K1" s="4">
        <v>45717.0</v>
      </c>
      <c r="L1" s="4">
        <v>45724.0</v>
      </c>
      <c r="M1" s="4">
        <v>45731.0</v>
      </c>
      <c r="N1" s="4">
        <v>45738.0</v>
      </c>
      <c r="O1" s="4">
        <v>45745.0</v>
      </c>
      <c r="P1" s="4">
        <v>45752.0</v>
      </c>
      <c r="Q1" s="4">
        <v>45759.0</v>
      </c>
      <c r="R1" s="4">
        <v>45766.0</v>
      </c>
      <c r="S1" s="4">
        <v>45773.0</v>
      </c>
      <c r="T1" s="4">
        <v>45780.0</v>
      </c>
      <c r="U1" s="4">
        <v>45787.0</v>
      </c>
      <c r="V1" s="4">
        <v>45794.0</v>
      </c>
      <c r="W1" s="4">
        <v>45801.0</v>
      </c>
      <c r="X1" s="4">
        <v>45808.0</v>
      </c>
      <c r="Y1" s="4">
        <v>45815.0</v>
      </c>
      <c r="Z1" s="4">
        <v>45822.0</v>
      </c>
      <c r="AA1" s="4">
        <v>45829.0</v>
      </c>
      <c r="AB1" s="4">
        <v>45836.0</v>
      </c>
      <c r="AC1" s="4">
        <v>45843.0</v>
      </c>
      <c r="AD1" s="4">
        <v>45850.0</v>
      </c>
      <c r="AE1" s="4">
        <v>45857.0</v>
      </c>
      <c r="AF1" s="4">
        <v>45864.0</v>
      </c>
      <c r="AG1" s="4">
        <v>45871.0</v>
      </c>
      <c r="AH1" s="4">
        <v>45878.0</v>
      </c>
      <c r="AI1" s="4">
        <v>45885.0</v>
      </c>
      <c r="AJ1" s="4">
        <v>45892.0</v>
      </c>
      <c r="AK1" s="4">
        <v>45899.0</v>
      </c>
      <c r="AL1" s="4">
        <v>45906.0</v>
      </c>
      <c r="AM1" s="4">
        <v>45913.0</v>
      </c>
      <c r="AN1" s="4">
        <v>45920.0</v>
      </c>
      <c r="AO1" s="4">
        <v>45927.0</v>
      </c>
      <c r="AP1" s="4">
        <v>45934.0</v>
      </c>
      <c r="AQ1" s="4">
        <v>45941.0</v>
      </c>
      <c r="AR1" s="4">
        <v>45948.0</v>
      </c>
      <c r="AS1" s="6">
        <v>45955.0</v>
      </c>
      <c r="AT1" s="4">
        <v>45962.0</v>
      </c>
      <c r="AU1" s="4">
        <v>45969.0</v>
      </c>
      <c r="AV1" s="6">
        <v>45976.0</v>
      </c>
      <c r="AW1" s="4">
        <v>45983.0</v>
      </c>
      <c r="AX1" s="4">
        <v>45990.0</v>
      </c>
      <c r="AY1" s="6">
        <v>45997.0</v>
      </c>
      <c r="AZ1" s="4">
        <v>46004.0</v>
      </c>
      <c r="BA1" s="4">
        <v>46011.0</v>
      </c>
      <c r="BB1" s="6">
        <v>46018.0</v>
      </c>
    </row>
    <row r="2">
      <c r="A2" s="33">
        <v>5.0</v>
      </c>
      <c r="B2" s="34">
        <f>SUM(B3:B335)</f>
        <v>1081</v>
      </c>
      <c r="C2" s="8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10"/>
      <c r="AT2" s="8"/>
      <c r="AU2" s="8"/>
      <c r="AV2" s="10"/>
      <c r="AW2" s="8"/>
      <c r="AX2" s="8"/>
      <c r="AY2" s="10"/>
      <c r="AZ2" s="8"/>
      <c r="BA2" s="8"/>
      <c r="BB2" s="10"/>
    </row>
    <row r="3">
      <c r="A3" s="35" t="s">
        <v>3</v>
      </c>
      <c r="B3" s="36">
        <f t="shared" ref="B3:B244" si="1">SUM(C3:CA3)</f>
        <v>176</v>
      </c>
      <c r="C3" s="8"/>
      <c r="D3" s="8">
        <v>3.0</v>
      </c>
      <c r="E3" s="8">
        <v>3.0</v>
      </c>
      <c r="F3" s="8">
        <v>3.0</v>
      </c>
      <c r="G3" s="8">
        <v>4.0</v>
      </c>
      <c r="H3" s="8">
        <v>3.0</v>
      </c>
      <c r="I3" s="8">
        <v>3.0</v>
      </c>
      <c r="J3" s="8"/>
      <c r="K3" s="8">
        <v>4.0</v>
      </c>
      <c r="L3" s="8">
        <v>5.0</v>
      </c>
      <c r="M3" s="8">
        <v>5.0</v>
      </c>
      <c r="N3" s="8">
        <v>5.0</v>
      </c>
      <c r="O3" s="8">
        <v>3.0</v>
      </c>
      <c r="P3" s="8">
        <v>4.0</v>
      </c>
      <c r="Q3" s="8">
        <v>4.0</v>
      </c>
      <c r="R3" s="8">
        <v>4.5</v>
      </c>
      <c r="S3" s="8">
        <v>4.5</v>
      </c>
      <c r="T3" s="8">
        <v>5.5</v>
      </c>
      <c r="U3" s="8">
        <v>4.0</v>
      </c>
      <c r="V3" s="8">
        <v>4.0</v>
      </c>
      <c r="W3" s="8">
        <v>4.0</v>
      </c>
      <c r="X3" s="8">
        <v>5.0</v>
      </c>
      <c r="Y3" s="8">
        <v>4.25</v>
      </c>
      <c r="Z3" s="8">
        <v>4.5</v>
      </c>
      <c r="AA3" s="8"/>
      <c r="AB3" s="8">
        <v>3.75</v>
      </c>
      <c r="AC3" s="8">
        <v>4.75</v>
      </c>
      <c r="AD3" s="8">
        <v>3.0</v>
      </c>
      <c r="AE3" s="8">
        <v>4.5</v>
      </c>
      <c r="AF3" s="8">
        <v>2.5</v>
      </c>
      <c r="AG3" s="8">
        <v>4.25</v>
      </c>
      <c r="AH3" s="8">
        <v>4.0</v>
      </c>
      <c r="AI3" s="8">
        <v>4.0</v>
      </c>
      <c r="AJ3" s="8"/>
      <c r="AK3" s="8">
        <v>4.5</v>
      </c>
      <c r="AL3" s="8">
        <v>1.75</v>
      </c>
      <c r="AM3" s="8">
        <v>4.5</v>
      </c>
      <c r="AN3" s="8">
        <v>4.5</v>
      </c>
      <c r="AO3" s="8">
        <v>3.0</v>
      </c>
      <c r="AP3" s="8">
        <v>4.5</v>
      </c>
      <c r="AQ3" s="20">
        <v>3.75</v>
      </c>
      <c r="AR3" s="20">
        <v>4.75</v>
      </c>
      <c r="AS3" s="37">
        <v>4.25</v>
      </c>
      <c r="AT3" s="20">
        <v>5.0</v>
      </c>
      <c r="AU3" s="20">
        <v>4.5</v>
      </c>
      <c r="AV3" s="38">
        <v>2.0</v>
      </c>
      <c r="AW3" s="20">
        <v>4.5</v>
      </c>
      <c r="AX3" s="20">
        <v>4.5</v>
      </c>
      <c r="AY3" s="37" t="s">
        <v>310</v>
      </c>
      <c r="AZ3" s="20" t="s">
        <v>311</v>
      </c>
      <c r="BA3" s="20" t="s">
        <v>63</v>
      </c>
      <c r="BB3" s="37" t="s">
        <v>312</v>
      </c>
    </row>
    <row r="4">
      <c r="A4" s="35" t="s">
        <v>6</v>
      </c>
      <c r="B4" s="36">
        <f t="shared" si="1"/>
        <v>21</v>
      </c>
      <c r="C4" s="8"/>
      <c r="D4" s="8"/>
      <c r="E4" s="8">
        <v>3.0</v>
      </c>
      <c r="F4" s="8"/>
      <c r="G4" s="8"/>
      <c r="H4" s="8"/>
      <c r="I4" s="8"/>
      <c r="J4" s="8">
        <v>3.0</v>
      </c>
      <c r="K4" s="8"/>
      <c r="L4" s="8"/>
      <c r="M4" s="8"/>
      <c r="N4" s="8"/>
      <c r="O4" s="8"/>
      <c r="P4" s="8"/>
      <c r="Q4" s="8">
        <v>4.0</v>
      </c>
      <c r="R4" s="8"/>
      <c r="S4" s="8"/>
      <c r="T4" s="8"/>
      <c r="U4" s="8">
        <v>4.0</v>
      </c>
      <c r="V4" s="8"/>
      <c r="W4" s="8">
        <v>4.0</v>
      </c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8"/>
      <c r="AR4" s="8"/>
      <c r="AS4" s="10"/>
      <c r="AT4" s="8"/>
      <c r="AU4" s="8"/>
      <c r="AV4" s="38">
        <v>3.0</v>
      </c>
      <c r="AW4" s="8"/>
      <c r="AX4" s="8"/>
      <c r="AY4" s="10"/>
      <c r="AZ4" s="8"/>
      <c r="BA4" s="8"/>
      <c r="BB4" s="10"/>
    </row>
    <row r="5">
      <c r="A5" s="35" t="s">
        <v>7</v>
      </c>
      <c r="B5" s="36">
        <f t="shared" si="1"/>
        <v>66.25</v>
      </c>
      <c r="C5" s="8">
        <v>3.0</v>
      </c>
      <c r="D5" s="8"/>
      <c r="E5" s="8"/>
      <c r="F5" s="8">
        <v>1.0</v>
      </c>
      <c r="G5" s="8"/>
      <c r="H5" s="8"/>
      <c r="I5" s="8"/>
      <c r="J5" s="8"/>
      <c r="K5" s="8"/>
      <c r="L5" s="8"/>
      <c r="M5" s="8"/>
      <c r="N5" s="8"/>
      <c r="O5" s="8"/>
      <c r="P5" s="8">
        <v>6.0</v>
      </c>
      <c r="Q5" s="8">
        <v>3.0</v>
      </c>
      <c r="R5" s="8">
        <v>3.5</v>
      </c>
      <c r="S5" s="8">
        <v>4.5</v>
      </c>
      <c r="T5" s="8">
        <v>3.0</v>
      </c>
      <c r="U5" s="8"/>
      <c r="V5" s="8"/>
      <c r="W5" s="8">
        <v>2.0</v>
      </c>
      <c r="X5" s="8">
        <v>4.5</v>
      </c>
      <c r="Y5" s="8">
        <v>2.5</v>
      </c>
      <c r="Z5" s="8"/>
      <c r="AA5" s="8"/>
      <c r="AB5" s="8">
        <v>3.25</v>
      </c>
      <c r="AC5" s="8"/>
      <c r="AD5" s="8">
        <v>3.0</v>
      </c>
      <c r="AE5" s="8">
        <v>3.0</v>
      </c>
      <c r="AF5" s="8"/>
      <c r="AG5" s="8"/>
      <c r="AH5" s="8">
        <v>2.5</v>
      </c>
      <c r="AI5" s="8"/>
      <c r="AJ5" s="8">
        <v>2.75</v>
      </c>
      <c r="AK5" s="8"/>
      <c r="AL5" s="8">
        <v>2.75</v>
      </c>
      <c r="AM5" s="8"/>
      <c r="AN5" s="8"/>
      <c r="AO5" s="8"/>
      <c r="AP5" s="8"/>
      <c r="AQ5" s="20">
        <v>2.0</v>
      </c>
      <c r="AR5" s="20">
        <v>2.75</v>
      </c>
      <c r="AS5" s="37">
        <v>2.0</v>
      </c>
      <c r="AT5" s="8"/>
      <c r="AU5" s="8"/>
      <c r="AV5" s="38">
        <v>2.5</v>
      </c>
      <c r="AW5" s="20">
        <v>3.0</v>
      </c>
      <c r="AX5" s="8"/>
      <c r="AY5" s="10"/>
      <c r="AZ5" s="8"/>
      <c r="BA5" s="20">
        <v>2.5</v>
      </c>
      <c r="BB5" s="37">
        <v>1.25</v>
      </c>
    </row>
    <row r="6">
      <c r="A6" s="35" t="s">
        <v>55</v>
      </c>
      <c r="B6" s="36">
        <f t="shared" si="1"/>
        <v>19.5</v>
      </c>
      <c r="C6" s="8">
        <v>2.0</v>
      </c>
      <c r="D6" s="8"/>
      <c r="E6" s="8"/>
      <c r="F6" s="8"/>
      <c r="G6" s="8"/>
      <c r="H6" s="8">
        <v>3.0</v>
      </c>
      <c r="I6" s="8"/>
      <c r="J6" s="8"/>
      <c r="K6" s="8">
        <v>4.0</v>
      </c>
      <c r="L6" s="8">
        <v>4.0</v>
      </c>
      <c r="M6" s="8">
        <v>4.0</v>
      </c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20">
        <v>2.5</v>
      </c>
      <c r="AS6" s="10"/>
      <c r="AT6" s="8"/>
      <c r="AU6" s="8"/>
      <c r="AV6" s="10"/>
      <c r="AW6" s="8"/>
      <c r="AX6" s="8"/>
      <c r="AY6" s="10"/>
      <c r="AZ6" s="8"/>
      <c r="BA6" s="8"/>
      <c r="BB6" s="10"/>
    </row>
    <row r="7">
      <c r="A7" s="35" t="s">
        <v>17</v>
      </c>
      <c r="B7" s="36">
        <f t="shared" si="1"/>
        <v>6.5</v>
      </c>
      <c r="C7" s="8">
        <v>2.0</v>
      </c>
      <c r="D7" s="8">
        <v>2.0</v>
      </c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  <c r="AJ7" s="8"/>
      <c r="AK7" s="8"/>
      <c r="AL7" s="8"/>
      <c r="AM7" s="8"/>
      <c r="AN7" s="8"/>
      <c r="AO7" s="8"/>
      <c r="AP7" s="8"/>
      <c r="AQ7" s="8"/>
      <c r="AR7" s="20">
        <v>2.5</v>
      </c>
      <c r="AS7" s="10"/>
      <c r="AT7" s="8"/>
      <c r="AU7" s="8"/>
      <c r="AV7" s="10"/>
      <c r="AW7" s="8"/>
      <c r="AX7" s="8"/>
      <c r="AY7" s="10"/>
      <c r="AZ7" s="8"/>
      <c r="BA7" s="8"/>
      <c r="BB7" s="10"/>
    </row>
    <row r="8">
      <c r="A8" s="35" t="s">
        <v>52</v>
      </c>
      <c r="B8" s="36">
        <f t="shared" si="1"/>
        <v>5</v>
      </c>
      <c r="C8" s="8"/>
      <c r="D8" s="8"/>
      <c r="E8" s="8"/>
      <c r="F8" s="8"/>
      <c r="G8" s="8">
        <v>2.0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>
        <v>3.0</v>
      </c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  <c r="AO8" s="8"/>
      <c r="AP8" s="8"/>
      <c r="AQ8" s="8"/>
      <c r="AR8" s="8"/>
      <c r="AS8" s="10"/>
      <c r="AT8" s="8"/>
      <c r="AU8" s="8"/>
      <c r="AV8" s="10"/>
      <c r="AW8" s="8"/>
      <c r="AX8" s="8"/>
      <c r="AY8" s="10"/>
      <c r="AZ8" s="8"/>
      <c r="BA8" s="8"/>
      <c r="BB8" s="10"/>
    </row>
    <row r="9">
      <c r="A9" s="35" t="s">
        <v>46</v>
      </c>
      <c r="B9" s="36">
        <f t="shared" si="1"/>
        <v>15.25</v>
      </c>
      <c r="C9" s="8"/>
      <c r="D9" s="8"/>
      <c r="E9" s="8"/>
      <c r="F9" s="8"/>
      <c r="G9" s="8"/>
      <c r="H9" s="8">
        <v>3.0</v>
      </c>
      <c r="I9" s="8">
        <v>3.0</v>
      </c>
      <c r="J9" s="8"/>
      <c r="K9" s="8"/>
      <c r="L9" s="8"/>
      <c r="M9" s="8"/>
      <c r="N9" s="8"/>
      <c r="O9" s="8"/>
      <c r="P9" s="8"/>
      <c r="Q9" s="8"/>
      <c r="R9" s="8">
        <v>3.5</v>
      </c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>
        <v>2.75</v>
      </c>
      <c r="AK9" s="8"/>
      <c r="AL9" s="8"/>
      <c r="AM9" s="8"/>
      <c r="AN9" s="8"/>
      <c r="AO9" s="8"/>
      <c r="AP9" s="8"/>
      <c r="AQ9" s="8"/>
      <c r="AR9" s="8"/>
      <c r="AS9" s="10"/>
      <c r="AT9" s="8"/>
      <c r="AU9" s="8"/>
      <c r="AV9" s="10"/>
      <c r="AW9" s="20">
        <v>3.0</v>
      </c>
      <c r="AX9" s="8"/>
      <c r="AY9" s="10"/>
      <c r="AZ9" s="8"/>
      <c r="BA9" s="8"/>
      <c r="BB9" s="10"/>
    </row>
    <row r="10">
      <c r="A10" s="35" t="s">
        <v>74</v>
      </c>
      <c r="B10" s="36">
        <f t="shared" si="1"/>
        <v>5.75</v>
      </c>
      <c r="C10" s="8"/>
      <c r="D10" s="8"/>
      <c r="E10" s="8"/>
      <c r="F10" s="8"/>
      <c r="G10" s="8"/>
      <c r="H10" s="8"/>
      <c r="I10" s="8"/>
      <c r="J10" s="8">
        <v>3.0</v>
      </c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>
        <v>2.25</v>
      </c>
      <c r="AB10" s="8"/>
      <c r="AC10" s="8"/>
      <c r="AD10" s="8"/>
      <c r="AE10" s="8"/>
      <c r="AF10" s="8"/>
      <c r="AG10" s="8"/>
      <c r="AH10" s="8"/>
      <c r="AI10" s="8"/>
      <c r="AJ10" s="8">
        <v>0.5</v>
      </c>
      <c r="AK10" s="8"/>
      <c r="AL10" s="8"/>
      <c r="AM10" s="8"/>
      <c r="AN10" s="8"/>
      <c r="AO10" s="8"/>
      <c r="AP10" s="8"/>
      <c r="AQ10" s="8"/>
      <c r="AR10" s="8"/>
      <c r="AS10" s="10"/>
      <c r="AT10" s="8"/>
      <c r="AU10" s="8"/>
      <c r="AV10" s="10"/>
      <c r="AW10" s="8"/>
      <c r="AX10" s="8"/>
      <c r="AY10" s="10"/>
      <c r="AZ10" s="8"/>
      <c r="BA10" s="8"/>
      <c r="BB10" s="10"/>
    </row>
    <row r="11">
      <c r="A11" s="35" t="s">
        <v>313</v>
      </c>
      <c r="B11" s="36">
        <f t="shared" si="1"/>
        <v>20.75</v>
      </c>
      <c r="C11" s="8"/>
      <c r="D11" s="8"/>
      <c r="E11" s="8"/>
      <c r="F11" s="8"/>
      <c r="G11" s="8"/>
      <c r="H11" s="8"/>
      <c r="I11" s="8"/>
      <c r="J11" s="8">
        <v>3.0</v>
      </c>
      <c r="K11" s="8"/>
      <c r="L11" s="8"/>
      <c r="M11" s="8"/>
      <c r="N11" s="8"/>
      <c r="O11" s="8"/>
      <c r="P11" s="8">
        <v>6.0</v>
      </c>
      <c r="Q11" s="8"/>
      <c r="R11" s="8"/>
      <c r="S11" s="8"/>
      <c r="T11" s="8"/>
      <c r="U11" s="8"/>
      <c r="V11" s="8"/>
      <c r="W11" s="8">
        <v>2.0</v>
      </c>
      <c r="X11" s="8"/>
      <c r="Y11" s="8">
        <v>2.5</v>
      </c>
      <c r="Z11" s="8"/>
      <c r="AA11" s="8">
        <v>2.5</v>
      </c>
      <c r="AB11" s="8"/>
      <c r="AC11" s="8"/>
      <c r="AD11" s="8"/>
      <c r="AE11" s="8"/>
      <c r="AF11" s="8">
        <v>2.0</v>
      </c>
      <c r="AG11" s="8"/>
      <c r="AH11" s="8"/>
      <c r="AI11" s="8"/>
      <c r="AJ11" s="8"/>
      <c r="AK11" s="8"/>
      <c r="AL11" s="8"/>
      <c r="AM11" s="8"/>
      <c r="AN11" s="8"/>
      <c r="AO11" s="8"/>
      <c r="AP11" s="8"/>
      <c r="AQ11" s="8"/>
      <c r="AR11" s="8"/>
      <c r="AS11" s="10"/>
      <c r="AT11" s="8"/>
      <c r="AU11" s="8"/>
      <c r="AV11" s="10"/>
      <c r="AW11" s="20">
        <v>2.75</v>
      </c>
      <c r="AX11" s="8"/>
      <c r="AY11" s="10"/>
      <c r="AZ11" s="8"/>
      <c r="BA11" s="8"/>
      <c r="BB11" s="10"/>
    </row>
    <row r="12">
      <c r="A12" s="35" t="s">
        <v>314</v>
      </c>
      <c r="B12" s="36">
        <f t="shared" si="1"/>
        <v>3</v>
      </c>
      <c r="C12" s="8"/>
      <c r="D12" s="8"/>
      <c r="E12" s="8"/>
      <c r="F12" s="8"/>
      <c r="G12" s="8"/>
      <c r="H12" s="8"/>
      <c r="I12" s="8"/>
      <c r="J12" s="8">
        <v>3.0</v>
      </c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  <c r="AO12" s="8"/>
      <c r="AP12" s="8"/>
      <c r="AQ12" s="8"/>
      <c r="AR12" s="8"/>
      <c r="AS12" s="10"/>
      <c r="AT12" s="8"/>
      <c r="AU12" s="8"/>
      <c r="AV12" s="10"/>
      <c r="AW12" s="8"/>
      <c r="AX12" s="8"/>
      <c r="AY12" s="10"/>
      <c r="AZ12" s="8"/>
      <c r="BA12" s="8"/>
      <c r="BB12" s="10"/>
    </row>
    <row r="13">
      <c r="A13" s="35" t="s">
        <v>315</v>
      </c>
      <c r="B13" s="36">
        <f t="shared" si="1"/>
        <v>8.5</v>
      </c>
      <c r="C13" s="8"/>
      <c r="D13" s="8"/>
      <c r="E13" s="8"/>
      <c r="F13" s="8"/>
      <c r="G13" s="8"/>
      <c r="H13" s="8"/>
      <c r="I13" s="8"/>
      <c r="J13" s="8"/>
      <c r="K13" s="8"/>
      <c r="L13" s="8">
        <v>5.0</v>
      </c>
      <c r="M13" s="8"/>
      <c r="N13" s="8"/>
      <c r="O13" s="8"/>
      <c r="P13" s="8"/>
      <c r="Q13" s="8"/>
      <c r="R13" s="8">
        <v>3.5</v>
      </c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  <c r="AO13" s="8"/>
      <c r="AP13" s="8"/>
      <c r="AQ13" s="8"/>
      <c r="AR13" s="8"/>
      <c r="AS13" s="10"/>
      <c r="AT13" s="8"/>
      <c r="AU13" s="8"/>
      <c r="AV13" s="10"/>
      <c r="AW13" s="8"/>
      <c r="AX13" s="8"/>
      <c r="AY13" s="10"/>
      <c r="AZ13" s="8"/>
      <c r="BA13" s="8"/>
      <c r="BB13" s="10"/>
    </row>
    <row r="14">
      <c r="A14" s="35" t="s">
        <v>54</v>
      </c>
      <c r="B14" s="36">
        <f t="shared" si="1"/>
        <v>2</v>
      </c>
      <c r="C14" s="8"/>
      <c r="D14" s="8"/>
      <c r="E14" s="8"/>
      <c r="F14" s="8"/>
      <c r="G14" s="8"/>
      <c r="H14" s="8"/>
      <c r="I14" s="8"/>
      <c r="J14" s="8"/>
      <c r="K14" s="8"/>
      <c r="L14" s="8"/>
      <c r="M14" s="8">
        <v>2.0</v>
      </c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10"/>
      <c r="AT14" s="8"/>
      <c r="AU14" s="8"/>
      <c r="AV14" s="10"/>
      <c r="AW14" s="8"/>
      <c r="AX14" s="8"/>
      <c r="AY14" s="10"/>
      <c r="AZ14" s="8"/>
      <c r="BA14" s="8"/>
      <c r="BB14" s="10"/>
    </row>
    <row r="15">
      <c r="A15" s="35" t="s">
        <v>79</v>
      </c>
      <c r="B15" s="36">
        <f t="shared" si="1"/>
        <v>4</v>
      </c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>
        <v>4.0</v>
      </c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  <c r="AO15" s="8"/>
      <c r="AP15" s="8"/>
      <c r="AQ15" s="8"/>
      <c r="AR15" s="8"/>
      <c r="AS15" s="10"/>
      <c r="AT15" s="8"/>
      <c r="AU15" s="8"/>
      <c r="AV15" s="10"/>
      <c r="AW15" s="8"/>
      <c r="AX15" s="8"/>
      <c r="AY15" s="10"/>
      <c r="AZ15" s="8"/>
      <c r="BA15" s="8"/>
      <c r="BB15" s="10"/>
    </row>
    <row r="16">
      <c r="A16" s="35" t="s">
        <v>69</v>
      </c>
      <c r="B16" s="36">
        <f t="shared" si="1"/>
        <v>18.25</v>
      </c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>
        <v>3.0</v>
      </c>
      <c r="O16" s="8"/>
      <c r="P16" s="8">
        <v>5.0</v>
      </c>
      <c r="Q16" s="8"/>
      <c r="R16" s="8"/>
      <c r="S16" s="8"/>
      <c r="T16" s="8">
        <v>3.0</v>
      </c>
      <c r="U16" s="8">
        <v>1.5</v>
      </c>
      <c r="V16" s="8"/>
      <c r="W16" s="8"/>
      <c r="X16" s="8"/>
      <c r="Y16" s="8"/>
      <c r="Z16" s="8"/>
      <c r="AA16" s="8"/>
      <c r="AB16" s="8">
        <v>3.25</v>
      </c>
      <c r="AC16" s="8"/>
      <c r="AD16" s="8">
        <v>2.5</v>
      </c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10"/>
      <c r="AT16" s="8"/>
      <c r="AU16" s="8"/>
      <c r="AV16" s="10"/>
      <c r="AW16" s="8"/>
      <c r="AX16" s="8"/>
      <c r="AY16" s="10"/>
      <c r="AZ16" s="8"/>
      <c r="BA16" s="8"/>
      <c r="BB16" s="10"/>
    </row>
    <row r="17">
      <c r="A17" s="35" t="s">
        <v>237</v>
      </c>
      <c r="B17" s="36">
        <f t="shared" si="1"/>
        <v>2</v>
      </c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>
        <v>2.0</v>
      </c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  <c r="AL17" s="8"/>
      <c r="AM17" s="8"/>
      <c r="AN17" s="8"/>
      <c r="AO17" s="8"/>
      <c r="AP17" s="8"/>
      <c r="AQ17" s="8"/>
      <c r="AR17" s="8"/>
      <c r="AS17" s="10"/>
      <c r="AT17" s="8"/>
      <c r="AU17" s="8"/>
      <c r="AV17" s="10"/>
      <c r="AW17" s="8"/>
      <c r="AX17" s="8"/>
      <c r="AY17" s="10"/>
      <c r="AZ17" s="8"/>
      <c r="BA17" s="8"/>
      <c r="BB17" s="10"/>
    </row>
    <row r="18">
      <c r="A18" s="35" t="s">
        <v>10</v>
      </c>
      <c r="B18" s="36">
        <f t="shared" si="1"/>
        <v>37.5</v>
      </c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>
        <v>2.0</v>
      </c>
      <c r="P18" s="8"/>
      <c r="Q18" s="8"/>
      <c r="R18" s="8">
        <v>4.0</v>
      </c>
      <c r="S18" s="8">
        <v>3.0</v>
      </c>
      <c r="T18" s="8">
        <v>4.0</v>
      </c>
      <c r="U18" s="8">
        <v>2.5</v>
      </c>
      <c r="V18" s="8">
        <v>4.0</v>
      </c>
      <c r="W18" s="8"/>
      <c r="X18" s="8"/>
      <c r="Y18" s="8">
        <v>1.5</v>
      </c>
      <c r="Z18" s="8"/>
      <c r="AA18" s="8">
        <v>3.0</v>
      </c>
      <c r="AB18" s="8"/>
      <c r="AC18" s="8">
        <v>4.25</v>
      </c>
      <c r="AD18" s="8"/>
      <c r="AE18" s="8"/>
      <c r="AF18" s="8">
        <v>2.0</v>
      </c>
      <c r="AG18" s="8"/>
      <c r="AH18" s="8">
        <v>2.5</v>
      </c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37">
        <v>2.5</v>
      </c>
      <c r="AT18" s="8"/>
      <c r="AU18" s="8"/>
      <c r="AV18" s="10"/>
      <c r="AW18" s="8"/>
      <c r="AX18" s="8"/>
      <c r="AY18" s="10"/>
      <c r="AZ18" s="8"/>
      <c r="BA18" s="8"/>
      <c r="BB18" s="37">
        <v>2.25</v>
      </c>
    </row>
    <row r="19">
      <c r="A19" s="35" t="s">
        <v>9</v>
      </c>
      <c r="B19" s="36">
        <f t="shared" si="1"/>
        <v>13.5</v>
      </c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>
        <v>2.0</v>
      </c>
      <c r="P19" s="8"/>
      <c r="Q19" s="8"/>
      <c r="R19" s="8">
        <v>3.5</v>
      </c>
      <c r="S19" s="8"/>
      <c r="T19" s="8"/>
      <c r="U19" s="8"/>
      <c r="V19" s="8">
        <v>2.5</v>
      </c>
      <c r="W19" s="8"/>
      <c r="X19" s="8"/>
      <c r="Y19" s="8">
        <v>2.5</v>
      </c>
      <c r="Z19" s="8"/>
      <c r="AA19" s="8">
        <v>3.0</v>
      </c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S19" s="10"/>
      <c r="AT19" s="8"/>
      <c r="AU19" s="8"/>
      <c r="AV19" s="10"/>
      <c r="AW19" s="8"/>
      <c r="AX19" s="8"/>
      <c r="AY19" s="10"/>
      <c r="AZ19" s="8"/>
      <c r="BA19" s="8"/>
      <c r="BB19" s="10"/>
    </row>
    <row r="20">
      <c r="A20" s="35" t="s">
        <v>117</v>
      </c>
      <c r="B20" s="36">
        <f t="shared" si="1"/>
        <v>4.5</v>
      </c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>
        <v>2.0</v>
      </c>
      <c r="P20" s="8"/>
      <c r="Q20" s="8"/>
      <c r="R20" s="8"/>
      <c r="S20" s="8"/>
      <c r="T20" s="8"/>
      <c r="U20" s="8">
        <v>2.5</v>
      </c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  <c r="AO20" s="8"/>
      <c r="AP20" s="8"/>
      <c r="AQ20" s="8"/>
      <c r="AR20" s="8"/>
      <c r="AS20" s="10"/>
      <c r="AT20" s="8"/>
      <c r="AU20" s="8"/>
      <c r="AV20" s="10"/>
      <c r="AW20" s="8"/>
      <c r="AX20" s="8"/>
      <c r="AY20" s="10"/>
      <c r="AZ20" s="8"/>
      <c r="BA20" s="8"/>
      <c r="BB20" s="10"/>
    </row>
    <row r="21" ht="15.75" customHeight="1">
      <c r="A21" s="35" t="s">
        <v>48</v>
      </c>
      <c r="B21" s="36">
        <f t="shared" si="1"/>
        <v>2</v>
      </c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>
        <v>2.0</v>
      </c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  <c r="AJ21" s="8"/>
      <c r="AK21" s="8"/>
      <c r="AL21" s="8"/>
      <c r="AM21" s="8"/>
      <c r="AN21" s="8"/>
      <c r="AO21" s="8"/>
      <c r="AP21" s="8"/>
      <c r="AQ21" s="8"/>
      <c r="AR21" s="8"/>
      <c r="AS21" s="10"/>
      <c r="AT21" s="8"/>
      <c r="AU21" s="8"/>
      <c r="AV21" s="10"/>
      <c r="AW21" s="8"/>
      <c r="AX21" s="8"/>
      <c r="AY21" s="10"/>
      <c r="AZ21" s="8"/>
      <c r="BA21" s="8"/>
      <c r="BB21" s="10"/>
    </row>
    <row r="22" ht="15.75" customHeight="1">
      <c r="A22" s="35" t="s">
        <v>18</v>
      </c>
      <c r="B22" s="36">
        <f t="shared" si="1"/>
        <v>6</v>
      </c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>
        <v>6.0</v>
      </c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  <c r="AO22" s="8"/>
      <c r="AP22" s="8"/>
      <c r="AQ22" s="8"/>
      <c r="AR22" s="8"/>
      <c r="AS22" s="10"/>
      <c r="AT22" s="8"/>
      <c r="AU22" s="8"/>
      <c r="AV22" s="10"/>
      <c r="AW22" s="8"/>
      <c r="AX22" s="8"/>
      <c r="AY22" s="10"/>
      <c r="AZ22" s="8"/>
      <c r="BA22" s="8"/>
      <c r="BB22" s="10"/>
    </row>
    <row r="23" ht="15.75" customHeight="1">
      <c r="A23" s="35" t="s">
        <v>113</v>
      </c>
      <c r="B23" s="36">
        <f t="shared" si="1"/>
        <v>14.25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>
        <v>1.0</v>
      </c>
      <c r="R23" s="8"/>
      <c r="S23" s="8"/>
      <c r="T23" s="8"/>
      <c r="U23" s="8"/>
      <c r="V23" s="8"/>
      <c r="W23" s="8"/>
      <c r="X23" s="8">
        <v>3.0</v>
      </c>
      <c r="Y23" s="8"/>
      <c r="Z23" s="8">
        <v>3.0</v>
      </c>
      <c r="AA23" s="8"/>
      <c r="AB23" s="8">
        <v>3.0</v>
      </c>
      <c r="AC23" s="8"/>
      <c r="AD23" s="8"/>
      <c r="AE23" s="8"/>
      <c r="AF23" s="8">
        <v>2.0</v>
      </c>
      <c r="AG23" s="8"/>
      <c r="AH23" s="8"/>
      <c r="AI23" s="8"/>
      <c r="AJ23" s="8"/>
      <c r="AK23" s="8"/>
      <c r="AL23" s="8"/>
      <c r="AM23" s="8"/>
      <c r="AN23" s="8"/>
      <c r="AO23" s="8"/>
      <c r="AP23" s="8"/>
      <c r="AQ23" s="8"/>
      <c r="AR23" s="8"/>
      <c r="AS23" s="10"/>
      <c r="AT23" s="8"/>
      <c r="AU23" s="8"/>
      <c r="AV23" s="10"/>
      <c r="AW23" s="8"/>
      <c r="AX23" s="8"/>
      <c r="AY23" s="10"/>
      <c r="AZ23" s="8"/>
      <c r="BA23" s="8"/>
      <c r="BB23" s="37">
        <v>2.25</v>
      </c>
    </row>
    <row r="24" ht="15.75" customHeight="1">
      <c r="A24" s="35" t="s">
        <v>98</v>
      </c>
      <c r="B24" s="36">
        <f t="shared" si="1"/>
        <v>21.5</v>
      </c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>
        <v>2.0</v>
      </c>
      <c r="R24" s="8">
        <v>2.0</v>
      </c>
      <c r="S24" s="8"/>
      <c r="T24" s="8"/>
      <c r="U24" s="8"/>
      <c r="V24" s="8"/>
      <c r="W24" s="8">
        <v>1.0</v>
      </c>
      <c r="X24" s="8">
        <v>2.5</v>
      </c>
      <c r="Y24" s="8"/>
      <c r="Z24" s="8">
        <v>2.0</v>
      </c>
      <c r="AA24" s="8"/>
      <c r="AB24" s="8"/>
      <c r="AC24" s="8"/>
      <c r="AD24" s="8"/>
      <c r="AE24" s="8"/>
      <c r="AF24" s="8">
        <v>2.0</v>
      </c>
      <c r="AG24" s="8"/>
      <c r="AH24" s="8">
        <v>2.5</v>
      </c>
      <c r="AI24" s="8">
        <v>2.5</v>
      </c>
      <c r="AJ24" s="8"/>
      <c r="AK24" s="8"/>
      <c r="AL24" s="8"/>
      <c r="AM24" s="8"/>
      <c r="AN24" s="8"/>
      <c r="AO24" s="8"/>
      <c r="AP24" s="8"/>
      <c r="AQ24" s="8"/>
      <c r="AR24" s="8"/>
      <c r="AS24" s="10"/>
      <c r="AT24" s="8"/>
      <c r="AU24" s="20">
        <v>2.25</v>
      </c>
      <c r="AV24" s="10"/>
      <c r="AW24" s="20">
        <v>2.75</v>
      </c>
      <c r="AX24" s="8"/>
      <c r="AY24" s="10"/>
      <c r="AZ24" s="8"/>
      <c r="BA24" s="8"/>
      <c r="BB24" s="10"/>
    </row>
    <row r="25" ht="15.75" customHeight="1">
      <c r="A25" s="35" t="s">
        <v>257</v>
      </c>
      <c r="B25" s="36">
        <f t="shared" si="1"/>
        <v>11.25</v>
      </c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>
        <v>3.0</v>
      </c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>
        <v>1.5</v>
      </c>
      <c r="AI25" s="8"/>
      <c r="AJ25" s="8"/>
      <c r="AK25" s="8"/>
      <c r="AL25" s="8">
        <v>2.75</v>
      </c>
      <c r="AM25" s="8"/>
      <c r="AN25" s="8"/>
      <c r="AO25" s="8"/>
      <c r="AP25" s="8">
        <v>2.25</v>
      </c>
      <c r="AQ25" s="8"/>
      <c r="AR25" s="8"/>
      <c r="AS25" s="10"/>
      <c r="AT25" s="8"/>
      <c r="AU25" s="20">
        <v>1.75</v>
      </c>
      <c r="AV25" s="10"/>
      <c r="AW25" s="8"/>
      <c r="AX25" s="8"/>
      <c r="AY25" s="10"/>
      <c r="AZ25" s="8"/>
      <c r="BA25" s="8"/>
      <c r="BB25" s="10"/>
    </row>
    <row r="26" ht="15.75" customHeight="1">
      <c r="A26" s="35" t="s">
        <v>83</v>
      </c>
      <c r="B26" s="36">
        <f t="shared" si="1"/>
        <v>3</v>
      </c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>
        <v>3.0</v>
      </c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8"/>
      <c r="AJ26" s="8"/>
      <c r="AK26" s="8"/>
      <c r="AL26" s="8"/>
      <c r="AM26" s="8"/>
      <c r="AN26" s="8"/>
      <c r="AO26" s="8"/>
      <c r="AP26" s="8"/>
      <c r="AQ26" s="8"/>
      <c r="AR26" s="8"/>
      <c r="AS26" s="10"/>
      <c r="AT26" s="8"/>
      <c r="AU26" s="8"/>
      <c r="AV26" s="10"/>
      <c r="AW26" s="8"/>
      <c r="AX26" s="8"/>
      <c r="AY26" s="10"/>
      <c r="AZ26" s="8"/>
      <c r="BA26" s="8"/>
      <c r="BB26" s="10"/>
    </row>
    <row r="27" ht="15.75" customHeight="1">
      <c r="A27" s="35" t="s">
        <v>105</v>
      </c>
      <c r="B27" s="36">
        <f t="shared" si="1"/>
        <v>5</v>
      </c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>
        <v>2.0</v>
      </c>
      <c r="S27" s="8"/>
      <c r="T27" s="8"/>
      <c r="U27" s="8"/>
      <c r="V27" s="8"/>
      <c r="W27" s="8"/>
      <c r="X27" s="8"/>
      <c r="Y27" s="8"/>
      <c r="Z27" s="8">
        <v>3.0</v>
      </c>
      <c r="AA27" s="8"/>
      <c r="AB27" s="8"/>
      <c r="AC27" s="8"/>
      <c r="AD27" s="8"/>
      <c r="AE27" s="8"/>
      <c r="AF27" s="8"/>
      <c r="AG27" s="8"/>
      <c r="AH27" s="8"/>
      <c r="AI27" s="8"/>
      <c r="AJ27" s="8"/>
      <c r="AK27" s="8"/>
      <c r="AL27" s="8"/>
      <c r="AM27" s="8"/>
      <c r="AN27" s="8"/>
      <c r="AO27" s="8"/>
      <c r="AP27" s="8"/>
      <c r="AQ27" s="8"/>
      <c r="AR27" s="8"/>
      <c r="AS27" s="10"/>
      <c r="AT27" s="8"/>
      <c r="AU27" s="8"/>
      <c r="AV27" s="10"/>
      <c r="AW27" s="8"/>
      <c r="AX27" s="8"/>
      <c r="AY27" s="10"/>
      <c r="AZ27" s="8"/>
      <c r="BA27" s="8"/>
      <c r="BB27" s="10"/>
    </row>
    <row r="28" ht="15.75" customHeight="1">
      <c r="A28" s="35" t="s">
        <v>61</v>
      </c>
      <c r="B28" s="36">
        <f t="shared" si="1"/>
        <v>14.75</v>
      </c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>
        <v>3.0</v>
      </c>
      <c r="T28" s="8"/>
      <c r="U28" s="8"/>
      <c r="V28" s="8"/>
      <c r="W28" s="8"/>
      <c r="X28" s="8"/>
      <c r="Y28" s="8"/>
      <c r="Z28" s="8">
        <v>3.0</v>
      </c>
      <c r="AA28" s="8">
        <v>3.0</v>
      </c>
      <c r="AB28" s="8"/>
      <c r="AC28" s="8">
        <v>2.0</v>
      </c>
      <c r="AD28" s="8"/>
      <c r="AE28" s="8"/>
      <c r="AF28" s="8"/>
      <c r="AG28" s="8">
        <v>1.5</v>
      </c>
      <c r="AH28" s="8"/>
      <c r="AI28" s="8"/>
      <c r="AJ28" s="8"/>
      <c r="AK28" s="8"/>
      <c r="AL28" s="8"/>
      <c r="AM28" s="8"/>
      <c r="AN28" s="8"/>
      <c r="AO28" s="8"/>
      <c r="AP28" s="8"/>
      <c r="AQ28" s="8"/>
      <c r="AR28" s="8"/>
      <c r="AS28" s="10"/>
      <c r="AT28" s="8"/>
      <c r="AU28" s="8"/>
      <c r="AV28" s="38">
        <v>2.25</v>
      </c>
      <c r="AW28" s="8"/>
      <c r="AX28" s="8"/>
      <c r="AY28" s="10"/>
      <c r="AZ28" s="8"/>
      <c r="BA28" s="8"/>
      <c r="BB28" s="10"/>
    </row>
    <row r="29" ht="15.75" customHeight="1">
      <c r="A29" s="35" t="s">
        <v>33</v>
      </c>
      <c r="B29" s="36">
        <f t="shared" si="1"/>
        <v>14.75</v>
      </c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>
        <v>3.0</v>
      </c>
      <c r="T29" s="8"/>
      <c r="U29" s="8"/>
      <c r="V29" s="8"/>
      <c r="W29" s="8"/>
      <c r="X29" s="8"/>
      <c r="Y29" s="8"/>
      <c r="Z29" s="8">
        <v>3.0</v>
      </c>
      <c r="AA29" s="8">
        <v>3.0</v>
      </c>
      <c r="AB29" s="8"/>
      <c r="AC29" s="8">
        <v>2.0</v>
      </c>
      <c r="AD29" s="8"/>
      <c r="AE29" s="8"/>
      <c r="AF29" s="8"/>
      <c r="AG29" s="8">
        <v>1.5</v>
      </c>
      <c r="AH29" s="8"/>
      <c r="AI29" s="8"/>
      <c r="AJ29" s="8"/>
      <c r="AK29" s="8"/>
      <c r="AL29" s="8"/>
      <c r="AM29" s="8"/>
      <c r="AN29" s="8"/>
      <c r="AO29" s="8"/>
      <c r="AP29" s="8"/>
      <c r="AQ29" s="8"/>
      <c r="AR29" s="8"/>
      <c r="AS29" s="10"/>
      <c r="AT29" s="8"/>
      <c r="AU29" s="8"/>
      <c r="AV29" s="38">
        <v>2.25</v>
      </c>
      <c r="AW29" s="8"/>
      <c r="AX29" s="8"/>
      <c r="AY29" s="10"/>
      <c r="AZ29" s="8"/>
      <c r="BA29" s="8"/>
      <c r="BB29" s="10"/>
    </row>
    <row r="30" ht="15.75" customHeight="1">
      <c r="A30" s="35" t="s">
        <v>31</v>
      </c>
      <c r="B30" s="36">
        <f t="shared" si="1"/>
        <v>9.75</v>
      </c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>
        <v>3.0</v>
      </c>
      <c r="T30" s="8"/>
      <c r="U30" s="8"/>
      <c r="V30" s="8"/>
      <c r="W30" s="8"/>
      <c r="X30" s="8"/>
      <c r="Y30" s="8"/>
      <c r="Z30" s="8"/>
      <c r="AA30" s="8"/>
      <c r="AB30" s="8">
        <v>2.25</v>
      </c>
      <c r="AC30" s="8">
        <v>2.0</v>
      </c>
      <c r="AD30" s="8"/>
      <c r="AE30" s="8"/>
      <c r="AF30" s="8"/>
      <c r="AG30" s="8"/>
      <c r="AH30" s="8"/>
      <c r="AI30" s="8">
        <v>2.5</v>
      </c>
      <c r="AJ30" s="8"/>
      <c r="AK30" s="8"/>
      <c r="AL30" s="8"/>
      <c r="AM30" s="8"/>
      <c r="AN30" s="8"/>
      <c r="AO30" s="8"/>
      <c r="AP30" s="8"/>
      <c r="AQ30" s="8"/>
      <c r="AR30" s="8"/>
      <c r="AS30" s="10"/>
      <c r="AT30" s="8"/>
      <c r="AU30" s="8"/>
      <c r="AV30" s="10"/>
      <c r="AW30" s="8"/>
      <c r="AX30" s="8"/>
      <c r="AY30" s="10"/>
      <c r="AZ30" s="8"/>
      <c r="BA30" s="8"/>
      <c r="BB30" s="10"/>
    </row>
    <row r="31" ht="15.75" customHeight="1">
      <c r="A31" s="35" t="s">
        <v>316</v>
      </c>
      <c r="B31" s="36">
        <f t="shared" si="1"/>
        <v>3</v>
      </c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>
        <v>3.0</v>
      </c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  <c r="AO31" s="8"/>
      <c r="AP31" s="8"/>
      <c r="AQ31" s="8"/>
      <c r="AR31" s="8"/>
      <c r="AS31" s="10"/>
      <c r="AT31" s="8"/>
      <c r="AU31" s="8"/>
      <c r="AV31" s="10"/>
      <c r="AW31" s="8"/>
      <c r="AX31" s="8"/>
      <c r="AY31" s="10"/>
      <c r="AZ31" s="8"/>
      <c r="BA31" s="8"/>
      <c r="BB31" s="10"/>
    </row>
    <row r="32" ht="15.75" customHeight="1">
      <c r="A32" s="35" t="s">
        <v>37</v>
      </c>
      <c r="B32" s="36">
        <f t="shared" si="1"/>
        <v>3</v>
      </c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>
        <v>3.0</v>
      </c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  <c r="AO32" s="8"/>
      <c r="AP32" s="8"/>
      <c r="AQ32" s="8"/>
      <c r="AR32" s="8"/>
      <c r="AS32" s="10"/>
      <c r="AT32" s="8"/>
      <c r="AU32" s="8"/>
      <c r="AV32" s="10"/>
      <c r="AW32" s="8"/>
      <c r="AX32" s="8"/>
      <c r="AY32" s="10"/>
      <c r="AZ32" s="8"/>
      <c r="BA32" s="8"/>
      <c r="BB32" s="10"/>
    </row>
    <row r="33" ht="15.75" customHeight="1">
      <c r="A33" s="35" t="s">
        <v>93</v>
      </c>
      <c r="B33" s="36">
        <f t="shared" si="1"/>
        <v>2.5</v>
      </c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>
        <v>2.5</v>
      </c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  <c r="AL33" s="8"/>
      <c r="AM33" s="8"/>
      <c r="AN33" s="8"/>
      <c r="AO33" s="8"/>
      <c r="AP33" s="8"/>
      <c r="AQ33" s="8"/>
      <c r="AR33" s="8"/>
      <c r="AS33" s="10"/>
      <c r="AT33" s="8"/>
      <c r="AU33" s="8"/>
      <c r="AV33" s="10"/>
      <c r="AW33" s="8"/>
      <c r="AX33" s="8"/>
      <c r="AY33" s="10"/>
      <c r="AZ33" s="8"/>
      <c r="BA33" s="8"/>
      <c r="BB33" s="10"/>
    </row>
    <row r="34" ht="15.75" customHeight="1">
      <c r="A34" s="35" t="s">
        <v>317</v>
      </c>
      <c r="B34" s="36">
        <f t="shared" si="1"/>
        <v>5.5</v>
      </c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>
        <v>2.5</v>
      </c>
      <c r="V34" s="8"/>
      <c r="W34" s="8"/>
      <c r="X34" s="8"/>
      <c r="Y34" s="8"/>
      <c r="Z34" s="8"/>
      <c r="AA34" s="8"/>
      <c r="AB34" s="8"/>
      <c r="AC34" s="8"/>
      <c r="AD34" s="8"/>
      <c r="AE34" s="8">
        <v>3.0</v>
      </c>
      <c r="AF34" s="8"/>
      <c r="AG34" s="8"/>
      <c r="AH34" s="8"/>
      <c r="AI34" s="8"/>
      <c r="AJ34" s="8"/>
      <c r="AK34" s="8"/>
      <c r="AL34" s="8"/>
      <c r="AM34" s="8"/>
      <c r="AN34" s="8"/>
      <c r="AO34" s="8"/>
      <c r="AP34" s="8"/>
      <c r="AQ34" s="8"/>
      <c r="AR34" s="8"/>
      <c r="AS34" s="10"/>
      <c r="AT34" s="8"/>
      <c r="AU34" s="8"/>
      <c r="AV34" s="10"/>
      <c r="AW34" s="8"/>
      <c r="AX34" s="8"/>
      <c r="AY34" s="10"/>
      <c r="AZ34" s="8"/>
      <c r="BA34" s="8"/>
      <c r="BB34" s="10"/>
    </row>
    <row r="35" ht="15.75" customHeight="1">
      <c r="A35" s="35" t="s">
        <v>264</v>
      </c>
      <c r="B35" s="36">
        <f t="shared" si="1"/>
        <v>50</v>
      </c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>
        <v>2.5</v>
      </c>
      <c r="W35" s="8">
        <v>2.0</v>
      </c>
      <c r="X35" s="8">
        <v>2.75</v>
      </c>
      <c r="Y35" s="8"/>
      <c r="Z35" s="8">
        <v>3.0</v>
      </c>
      <c r="AA35" s="8"/>
      <c r="AB35" s="8"/>
      <c r="AC35" s="8">
        <v>2.0</v>
      </c>
      <c r="AD35" s="8">
        <v>2.5</v>
      </c>
      <c r="AE35" s="8">
        <v>3.0</v>
      </c>
      <c r="AF35" s="8"/>
      <c r="AG35" s="8">
        <v>4.25</v>
      </c>
      <c r="AH35" s="8">
        <v>2.5</v>
      </c>
      <c r="AI35" s="8"/>
      <c r="AJ35" s="8"/>
      <c r="AK35" s="8">
        <v>4.5</v>
      </c>
      <c r="AL35" s="8"/>
      <c r="AM35" s="8">
        <v>2.5</v>
      </c>
      <c r="AN35" s="8"/>
      <c r="AO35" s="8"/>
      <c r="AP35" s="8">
        <v>4.5</v>
      </c>
      <c r="AQ35" s="20">
        <v>2.0</v>
      </c>
      <c r="AR35" s="8"/>
      <c r="AS35" s="37">
        <v>2.75</v>
      </c>
      <c r="AT35" s="20">
        <v>2.5</v>
      </c>
      <c r="AU35" s="8"/>
      <c r="AV35" s="10"/>
      <c r="AW35" s="8"/>
      <c r="AX35" s="8"/>
      <c r="AY35" s="10"/>
      <c r="AZ35" s="20">
        <v>2.25</v>
      </c>
      <c r="BA35" s="20">
        <v>2.5</v>
      </c>
      <c r="BB35" s="37">
        <v>2.0</v>
      </c>
    </row>
    <row r="36" ht="15.75" customHeight="1">
      <c r="A36" s="35" t="s">
        <v>318</v>
      </c>
      <c r="B36" s="36">
        <f t="shared" si="1"/>
        <v>7</v>
      </c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>
        <v>2.5</v>
      </c>
      <c r="W36" s="8"/>
      <c r="X36" s="8"/>
      <c r="Y36" s="8"/>
      <c r="Z36" s="8"/>
      <c r="AA36" s="8"/>
      <c r="AB36" s="8"/>
      <c r="AC36" s="8">
        <v>2.0</v>
      </c>
      <c r="AD36" s="8"/>
      <c r="AE36" s="8"/>
      <c r="AF36" s="8"/>
      <c r="AG36" s="8"/>
      <c r="AH36" s="8"/>
      <c r="AI36" s="8"/>
      <c r="AJ36" s="8"/>
      <c r="AK36" s="8"/>
      <c r="AL36" s="8"/>
      <c r="AM36" s="8"/>
      <c r="AN36" s="8"/>
      <c r="AO36" s="8"/>
      <c r="AP36" s="8"/>
      <c r="AQ36" s="8"/>
      <c r="AR36" s="8"/>
      <c r="AS36" s="10"/>
      <c r="AT36" s="8"/>
      <c r="AU36" s="8"/>
      <c r="AV36" s="10"/>
      <c r="AW36" s="8"/>
      <c r="AX36" s="8"/>
      <c r="AY36" s="10"/>
      <c r="AZ36" s="8"/>
      <c r="BA36" s="20">
        <v>2.5</v>
      </c>
      <c r="BB36" s="10"/>
    </row>
    <row r="37" ht="15.75" customHeight="1">
      <c r="A37" s="35" t="s">
        <v>97</v>
      </c>
      <c r="B37" s="36">
        <f t="shared" si="1"/>
        <v>6.5</v>
      </c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>
        <v>2.5</v>
      </c>
      <c r="W37" s="8">
        <v>1.0</v>
      </c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I37" s="8"/>
      <c r="AJ37" s="8"/>
      <c r="AK37" s="8"/>
      <c r="AL37" s="8"/>
      <c r="AM37" s="8">
        <v>3.0</v>
      </c>
      <c r="AN37" s="8"/>
      <c r="AO37" s="8"/>
      <c r="AP37" s="8"/>
      <c r="AQ37" s="8"/>
      <c r="AR37" s="8"/>
      <c r="AS37" s="10"/>
      <c r="AT37" s="8"/>
      <c r="AU37" s="8"/>
      <c r="AV37" s="10"/>
      <c r="AW37" s="8"/>
      <c r="AX37" s="8"/>
      <c r="AY37" s="10"/>
      <c r="AZ37" s="8"/>
      <c r="BA37" s="8"/>
      <c r="BB37" s="10"/>
    </row>
    <row r="38" ht="15.75" customHeight="1">
      <c r="A38" s="35" t="s">
        <v>135</v>
      </c>
      <c r="B38" s="36">
        <f t="shared" si="1"/>
        <v>2.5</v>
      </c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>
        <v>2.5</v>
      </c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I38" s="8"/>
      <c r="AJ38" s="8"/>
      <c r="AK38" s="8"/>
      <c r="AL38" s="8"/>
      <c r="AM38" s="8"/>
      <c r="AN38" s="8"/>
      <c r="AO38" s="8"/>
      <c r="AP38" s="8"/>
      <c r="AQ38" s="8"/>
      <c r="AR38" s="8"/>
      <c r="AS38" s="10"/>
      <c r="AT38" s="8"/>
      <c r="AU38" s="8"/>
      <c r="AV38" s="10"/>
      <c r="AW38" s="8"/>
      <c r="AX38" s="8"/>
      <c r="AY38" s="10"/>
      <c r="AZ38" s="8"/>
      <c r="BA38" s="8"/>
      <c r="BB38" s="10"/>
    </row>
    <row r="39" ht="15.75" customHeight="1">
      <c r="A39" s="35" t="s">
        <v>319</v>
      </c>
      <c r="B39" s="36">
        <f t="shared" si="1"/>
        <v>2.5</v>
      </c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>
        <v>2.5</v>
      </c>
      <c r="X39" s="8"/>
      <c r="Y39" s="8"/>
      <c r="Z39" s="8"/>
      <c r="AA39" s="8"/>
      <c r="AB39" s="8"/>
      <c r="AC39" s="8"/>
      <c r="AD39" s="8"/>
      <c r="AE39" s="8"/>
      <c r="AF39" s="8"/>
      <c r="AG39" s="8"/>
      <c r="AH39" s="8"/>
      <c r="AI39" s="8"/>
      <c r="AJ39" s="8"/>
      <c r="AK39" s="8"/>
      <c r="AL39" s="8"/>
      <c r="AM39" s="8"/>
      <c r="AN39" s="8"/>
      <c r="AO39" s="8"/>
      <c r="AP39" s="8"/>
      <c r="AQ39" s="8"/>
      <c r="AR39" s="8"/>
      <c r="AS39" s="10"/>
      <c r="AT39" s="8"/>
      <c r="AU39" s="8"/>
      <c r="AV39" s="10"/>
      <c r="AW39" s="8"/>
      <c r="AX39" s="8"/>
      <c r="AY39" s="10"/>
      <c r="AZ39" s="8"/>
      <c r="BA39" s="8"/>
      <c r="BB39" s="10"/>
    </row>
    <row r="40" ht="15.75" customHeight="1">
      <c r="A40" s="35" t="s">
        <v>320</v>
      </c>
      <c r="B40" s="36">
        <f t="shared" si="1"/>
        <v>4</v>
      </c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>
        <v>2.5</v>
      </c>
      <c r="Y40" s="8"/>
      <c r="Z40" s="8"/>
      <c r="AA40" s="8"/>
      <c r="AB40" s="8"/>
      <c r="AC40" s="8"/>
      <c r="AD40" s="8"/>
      <c r="AE40" s="8"/>
      <c r="AF40" s="8"/>
      <c r="AG40" s="8"/>
      <c r="AH40" s="8"/>
      <c r="AI40" s="8"/>
      <c r="AJ40" s="8"/>
      <c r="AK40" s="8">
        <v>1.5</v>
      </c>
      <c r="AL40" s="8"/>
      <c r="AM40" s="8"/>
      <c r="AN40" s="8"/>
      <c r="AO40" s="8"/>
      <c r="AP40" s="8"/>
      <c r="AQ40" s="8"/>
      <c r="AR40" s="8"/>
      <c r="AS40" s="10"/>
      <c r="AT40" s="8"/>
      <c r="AU40" s="8"/>
      <c r="AV40" s="10"/>
      <c r="AW40" s="8"/>
      <c r="AX40" s="8"/>
      <c r="AY40" s="10"/>
      <c r="AZ40" s="8"/>
      <c r="BA40" s="8"/>
      <c r="BB40" s="10"/>
    </row>
    <row r="41" ht="15.75" customHeight="1">
      <c r="A41" s="35" t="s">
        <v>321</v>
      </c>
      <c r="B41" s="36">
        <f t="shared" si="1"/>
        <v>4</v>
      </c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>
        <v>2.5</v>
      </c>
      <c r="Y41" s="8"/>
      <c r="Z41" s="8"/>
      <c r="AA41" s="8"/>
      <c r="AB41" s="8"/>
      <c r="AC41" s="8"/>
      <c r="AD41" s="8"/>
      <c r="AE41" s="8"/>
      <c r="AF41" s="8"/>
      <c r="AG41" s="8"/>
      <c r="AH41" s="8"/>
      <c r="AI41" s="8"/>
      <c r="AJ41" s="8"/>
      <c r="AK41" s="8">
        <v>1.5</v>
      </c>
      <c r="AL41" s="8"/>
      <c r="AM41" s="8"/>
      <c r="AN41" s="8"/>
      <c r="AO41" s="8"/>
      <c r="AP41" s="8"/>
      <c r="AQ41" s="8"/>
      <c r="AR41" s="8"/>
      <c r="AS41" s="10"/>
      <c r="AT41" s="8"/>
      <c r="AU41" s="8"/>
      <c r="AV41" s="10"/>
      <c r="AW41" s="8"/>
      <c r="AX41" s="8"/>
      <c r="AY41" s="10"/>
      <c r="AZ41" s="8"/>
      <c r="BA41" s="8"/>
      <c r="BB41" s="10"/>
    </row>
    <row r="42" ht="15.75" customHeight="1">
      <c r="A42" s="35" t="s">
        <v>73</v>
      </c>
      <c r="B42" s="36">
        <f t="shared" si="1"/>
        <v>5</v>
      </c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>
        <v>2.5</v>
      </c>
      <c r="Z42" s="8"/>
      <c r="AA42" s="8"/>
      <c r="AB42" s="8"/>
      <c r="AC42" s="8"/>
      <c r="AD42" s="8"/>
      <c r="AE42" s="8"/>
      <c r="AF42" s="8"/>
      <c r="AG42" s="8"/>
      <c r="AH42" s="8">
        <v>2.5</v>
      </c>
      <c r="AI42" s="8"/>
      <c r="AJ42" s="8"/>
      <c r="AK42" s="8"/>
      <c r="AL42" s="8"/>
      <c r="AM42" s="8"/>
      <c r="AN42" s="8"/>
      <c r="AO42" s="8"/>
      <c r="AP42" s="8"/>
      <c r="AQ42" s="8"/>
      <c r="AR42" s="8"/>
      <c r="AS42" s="10"/>
      <c r="AT42" s="8"/>
      <c r="AU42" s="8"/>
      <c r="AV42" s="10"/>
      <c r="AW42" s="8"/>
      <c r="AX42" s="8"/>
      <c r="AY42" s="10"/>
      <c r="AZ42" s="8"/>
      <c r="BA42" s="8"/>
      <c r="BB42" s="10"/>
    </row>
    <row r="43" ht="15.75" customHeight="1">
      <c r="A43" s="35" t="s">
        <v>259</v>
      </c>
      <c r="B43" s="36">
        <f t="shared" si="1"/>
        <v>5</v>
      </c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>
        <v>2.5</v>
      </c>
      <c r="Z43" s="8"/>
      <c r="AA43" s="8"/>
      <c r="AB43" s="8"/>
      <c r="AC43" s="8"/>
      <c r="AD43" s="8"/>
      <c r="AE43" s="8"/>
      <c r="AF43" s="8"/>
      <c r="AG43" s="8"/>
      <c r="AH43" s="8">
        <v>2.5</v>
      </c>
      <c r="AI43" s="8"/>
      <c r="AJ43" s="8"/>
      <c r="AK43" s="8"/>
      <c r="AL43" s="8"/>
      <c r="AM43" s="8"/>
      <c r="AN43" s="8"/>
      <c r="AO43" s="8"/>
      <c r="AP43" s="8"/>
      <c r="AQ43" s="8"/>
      <c r="AR43" s="8"/>
      <c r="AS43" s="10"/>
      <c r="AT43" s="8"/>
      <c r="AU43" s="8"/>
      <c r="AV43" s="10"/>
      <c r="AW43" s="8"/>
      <c r="AX43" s="8"/>
      <c r="AY43" s="10"/>
      <c r="AZ43" s="8"/>
      <c r="BA43" s="8"/>
      <c r="BB43" s="10"/>
    </row>
    <row r="44" ht="15.75" customHeight="1">
      <c r="A44" s="35" t="s">
        <v>100</v>
      </c>
      <c r="B44" s="36">
        <f t="shared" si="1"/>
        <v>18.75</v>
      </c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>
        <v>2.5</v>
      </c>
      <c r="AB44" s="8">
        <v>3.0</v>
      </c>
      <c r="AC44" s="8">
        <v>2.0</v>
      </c>
      <c r="AD44" s="8"/>
      <c r="AE44" s="8"/>
      <c r="AF44" s="8"/>
      <c r="AG44" s="8"/>
      <c r="AH44" s="8"/>
      <c r="AI44" s="8"/>
      <c r="AJ44" s="8"/>
      <c r="AK44" s="8"/>
      <c r="AL44" s="8">
        <v>2.75</v>
      </c>
      <c r="AM44" s="8"/>
      <c r="AN44" s="8">
        <v>3.0</v>
      </c>
      <c r="AO44" s="8"/>
      <c r="AP44" s="8"/>
      <c r="AQ44" s="8"/>
      <c r="AR44" s="8"/>
      <c r="AS44" s="37">
        <v>2.5</v>
      </c>
      <c r="AT44" s="8"/>
      <c r="AU44" s="8"/>
      <c r="AV44" s="38">
        <v>3.0</v>
      </c>
      <c r="AW44" s="8"/>
      <c r="AX44" s="8"/>
      <c r="AY44" s="10"/>
      <c r="AZ44" s="8"/>
      <c r="BA44" s="8"/>
      <c r="BB44" s="10"/>
    </row>
    <row r="45" ht="15.75" customHeight="1">
      <c r="A45" s="35" t="s">
        <v>106</v>
      </c>
      <c r="B45" s="36">
        <f t="shared" si="1"/>
        <v>2.75</v>
      </c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>
        <v>2.75</v>
      </c>
      <c r="AB45" s="8"/>
      <c r="AC45" s="8"/>
      <c r="AD45" s="8"/>
      <c r="AE45" s="8"/>
      <c r="AF45" s="8"/>
      <c r="AG45" s="8"/>
      <c r="AH45" s="8"/>
      <c r="AI45" s="8"/>
      <c r="AJ45" s="8"/>
      <c r="AK45" s="8"/>
      <c r="AL45" s="8"/>
      <c r="AM45" s="8"/>
      <c r="AN45" s="8"/>
      <c r="AO45" s="8"/>
      <c r="AP45" s="8"/>
      <c r="AQ45" s="8"/>
      <c r="AR45" s="8"/>
      <c r="AS45" s="10"/>
      <c r="AT45" s="8"/>
      <c r="AU45" s="8"/>
      <c r="AV45" s="10"/>
      <c r="AW45" s="8"/>
      <c r="AX45" s="8"/>
      <c r="AY45" s="10"/>
      <c r="AZ45" s="8"/>
      <c r="BA45" s="8"/>
      <c r="BB45" s="10"/>
    </row>
    <row r="46" ht="15.75" customHeight="1">
      <c r="A46" s="35" t="s">
        <v>16</v>
      </c>
      <c r="B46" s="36">
        <f t="shared" si="1"/>
        <v>7.75</v>
      </c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>
        <v>2.25</v>
      </c>
      <c r="AB46" s="8"/>
      <c r="AC46" s="8"/>
      <c r="AD46" s="8"/>
      <c r="AE46" s="8"/>
      <c r="AF46" s="8"/>
      <c r="AG46" s="8"/>
      <c r="AH46" s="8"/>
      <c r="AI46" s="8"/>
      <c r="AJ46" s="8"/>
      <c r="AK46" s="8"/>
      <c r="AL46" s="8"/>
      <c r="AM46" s="8"/>
      <c r="AN46" s="8"/>
      <c r="AO46" s="8"/>
      <c r="AP46" s="8"/>
      <c r="AQ46" s="8"/>
      <c r="AR46" s="8"/>
      <c r="AS46" s="10"/>
      <c r="AT46" s="8"/>
      <c r="AU46" s="20">
        <v>2.5</v>
      </c>
      <c r="AV46" s="38">
        <v>3.0</v>
      </c>
      <c r="AW46" s="8"/>
      <c r="AX46" s="8"/>
      <c r="AY46" s="10"/>
      <c r="AZ46" s="8"/>
      <c r="BA46" s="8"/>
      <c r="BB46" s="10"/>
    </row>
    <row r="47" ht="15.75" customHeight="1">
      <c r="A47" s="35" t="s">
        <v>142</v>
      </c>
      <c r="B47" s="36">
        <f t="shared" si="1"/>
        <v>19.75</v>
      </c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>
        <v>2.5</v>
      </c>
      <c r="AC47" s="8">
        <v>2.0</v>
      </c>
      <c r="AD47" s="8"/>
      <c r="AE47" s="8">
        <v>3.0</v>
      </c>
      <c r="AF47" s="8"/>
      <c r="AG47" s="8"/>
      <c r="AH47" s="8"/>
      <c r="AI47" s="8"/>
      <c r="AJ47" s="8"/>
      <c r="AK47" s="8"/>
      <c r="AL47" s="8"/>
      <c r="AM47" s="8"/>
      <c r="AN47" s="8"/>
      <c r="AO47" s="8"/>
      <c r="AP47" s="8">
        <v>2.75</v>
      </c>
      <c r="AQ47" s="8"/>
      <c r="AR47" s="20">
        <v>2.0</v>
      </c>
      <c r="AS47" s="37">
        <v>2.5</v>
      </c>
      <c r="AT47" s="8"/>
      <c r="AU47" s="20">
        <v>2.0</v>
      </c>
      <c r="AV47" s="38">
        <v>3.0</v>
      </c>
      <c r="AW47" s="8"/>
      <c r="AX47" s="8"/>
      <c r="AY47" s="10"/>
      <c r="AZ47" s="8"/>
      <c r="BA47" s="8"/>
      <c r="BB47" s="10"/>
    </row>
    <row r="48" ht="15.75" customHeight="1">
      <c r="A48" s="35" t="s">
        <v>251</v>
      </c>
      <c r="B48" s="36">
        <f t="shared" si="1"/>
        <v>7.25</v>
      </c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>
        <v>2.5</v>
      </c>
      <c r="AE48" s="8"/>
      <c r="AF48" s="8">
        <v>2.0</v>
      </c>
      <c r="AG48" s="8"/>
      <c r="AH48" s="8"/>
      <c r="AI48" s="8"/>
      <c r="AJ48" s="8">
        <v>2.75</v>
      </c>
      <c r="AK48" s="8"/>
      <c r="AL48" s="8"/>
      <c r="AM48" s="8"/>
      <c r="AN48" s="8"/>
      <c r="AO48" s="8"/>
      <c r="AP48" s="8"/>
      <c r="AQ48" s="8"/>
      <c r="AR48" s="8"/>
      <c r="AS48" s="10"/>
      <c r="AT48" s="8"/>
      <c r="AU48" s="8"/>
      <c r="AV48" s="10"/>
      <c r="AW48" s="8"/>
      <c r="AX48" s="8"/>
      <c r="AY48" s="10"/>
      <c r="AZ48" s="8"/>
      <c r="BA48" s="8"/>
      <c r="BB48" s="10"/>
    </row>
    <row r="49" ht="15.75" customHeight="1">
      <c r="A49" s="35" t="s">
        <v>322</v>
      </c>
      <c r="B49" s="36">
        <f t="shared" si="1"/>
        <v>2.5</v>
      </c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>
        <v>2.5</v>
      </c>
      <c r="AE49" s="8"/>
      <c r="AF49" s="8"/>
      <c r="AG49" s="8"/>
      <c r="AH49" s="8"/>
      <c r="AI49" s="8"/>
      <c r="AJ49" s="8"/>
      <c r="AK49" s="8"/>
      <c r="AL49" s="8"/>
      <c r="AM49" s="8"/>
      <c r="AN49" s="8"/>
      <c r="AO49" s="8"/>
      <c r="AP49" s="8"/>
      <c r="AQ49" s="8"/>
      <c r="AR49" s="8"/>
      <c r="AS49" s="10"/>
      <c r="AT49" s="8"/>
      <c r="AU49" s="8"/>
      <c r="AV49" s="10"/>
      <c r="AW49" s="8"/>
      <c r="AX49" s="8"/>
      <c r="AY49" s="10"/>
      <c r="AZ49" s="8"/>
      <c r="BA49" s="8"/>
      <c r="BB49" s="10"/>
    </row>
    <row r="50" ht="15.75" customHeight="1">
      <c r="A50" s="35" t="s">
        <v>109</v>
      </c>
      <c r="B50" s="36">
        <f t="shared" si="1"/>
        <v>7</v>
      </c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  <c r="AE50" s="8">
        <v>3.0</v>
      </c>
      <c r="AF50" s="8"/>
      <c r="AG50" s="8"/>
      <c r="AH50" s="8"/>
      <c r="AI50" s="8"/>
      <c r="AJ50" s="8"/>
      <c r="AK50" s="8"/>
      <c r="AL50" s="8"/>
      <c r="AM50" s="8"/>
      <c r="AN50" s="8"/>
      <c r="AO50" s="8"/>
      <c r="AP50" s="8"/>
      <c r="AQ50" s="8"/>
      <c r="AR50" s="20">
        <v>2.0</v>
      </c>
      <c r="AS50" s="10"/>
      <c r="AT50" s="8"/>
      <c r="AU50" s="20">
        <v>2.0</v>
      </c>
      <c r="AV50" s="10"/>
      <c r="AW50" s="8"/>
      <c r="AX50" s="8"/>
      <c r="AY50" s="10"/>
      <c r="AZ50" s="8"/>
      <c r="BA50" s="8"/>
      <c r="BB50" s="10"/>
    </row>
    <row r="51" ht="15.75" customHeight="1">
      <c r="A51" s="35" t="s">
        <v>323</v>
      </c>
      <c r="B51" s="36">
        <f t="shared" si="1"/>
        <v>3</v>
      </c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  <c r="AE51" s="8">
        <v>3.0</v>
      </c>
      <c r="AF51" s="8"/>
      <c r="AG51" s="8"/>
      <c r="AH51" s="8"/>
      <c r="AI51" s="8"/>
      <c r="AJ51" s="8"/>
      <c r="AK51" s="8"/>
      <c r="AL51" s="8"/>
      <c r="AM51" s="8"/>
      <c r="AN51" s="8"/>
      <c r="AO51" s="8"/>
      <c r="AP51" s="8"/>
      <c r="AQ51" s="8"/>
      <c r="AR51" s="8"/>
      <c r="AS51" s="10"/>
      <c r="AT51" s="8"/>
      <c r="AU51" s="8"/>
      <c r="AV51" s="10"/>
      <c r="AW51" s="8"/>
      <c r="AX51" s="8"/>
      <c r="AY51" s="10"/>
      <c r="AZ51" s="8"/>
      <c r="BA51" s="8"/>
      <c r="BB51" s="10"/>
    </row>
    <row r="52" ht="15.75" customHeight="1">
      <c r="A52" s="35" t="s">
        <v>67</v>
      </c>
      <c r="B52" s="36">
        <f t="shared" si="1"/>
        <v>3</v>
      </c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  <c r="AD52" s="8"/>
      <c r="AE52" s="8">
        <v>3.0</v>
      </c>
      <c r="AF52" s="8"/>
      <c r="AG52" s="8"/>
      <c r="AH52" s="8"/>
      <c r="AI52" s="8"/>
      <c r="AJ52" s="8"/>
      <c r="AK52" s="8"/>
      <c r="AL52" s="8"/>
      <c r="AM52" s="8"/>
      <c r="AN52" s="8"/>
      <c r="AO52" s="8"/>
      <c r="AP52" s="8"/>
      <c r="AQ52" s="8"/>
      <c r="AR52" s="8"/>
      <c r="AS52" s="10"/>
      <c r="AT52" s="8"/>
      <c r="AU52" s="8"/>
      <c r="AV52" s="10"/>
      <c r="AW52" s="8"/>
      <c r="AX52" s="8"/>
      <c r="AY52" s="10"/>
      <c r="AZ52" s="8"/>
      <c r="BA52" s="8"/>
      <c r="BB52" s="10"/>
    </row>
    <row r="53" ht="15.75" customHeight="1">
      <c r="A53" s="35" t="s">
        <v>324</v>
      </c>
      <c r="B53" s="36">
        <f t="shared" si="1"/>
        <v>2</v>
      </c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  <c r="AC53" s="8"/>
      <c r="AD53" s="8"/>
      <c r="AE53" s="8"/>
      <c r="AF53" s="8">
        <v>2.0</v>
      </c>
      <c r="AG53" s="8"/>
      <c r="AH53" s="8"/>
      <c r="AI53" s="8"/>
      <c r="AJ53" s="8"/>
      <c r="AK53" s="8"/>
      <c r="AL53" s="8"/>
      <c r="AM53" s="8"/>
      <c r="AN53" s="8"/>
      <c r="AO53" s="8"/>
      <c r="AP53" s="8"/>
      <c r="AQ53" s="8"/>
      <c r="AR53" s="8"/>
      <c r="AS53" s="10"/>
      <c r="AT53" s="8"/>
      <c r="AU53" s="8"/>
      <c r="AV53" s="10"/>
      <c r="AW53" s="8"/>
      <c r="AX53" s="8"/>
      <c r="AY53" s="10"/>
      <c r="AZ53" s="8"/>
      <c r="BA53" s="8"/>
      <c r="BB53" s="10"/>
    </row>
    <row r="54" ht="15.75" customHeight="1">
      <c r="A54" s="35" t="s">
        <v>325</v>
      </c>
      <c r="B54" s="36">
        <f t="shared" si="1"/>
        <v>4.5</v>
      </c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  <c r="AC54" s="8"/>
      <c r="AD54" s="8"/>
      <c r="AE54" s="8"/>
      <c r="AF54" s="8">
        <v>2.0</v>
      </c>
      <c r="AG54" s="8"/>
      <c r="AH54" s="8"/>
      <c r="AI54" s="8">
        <v>2.5</v>
      </c>
      <c r="AJ54" s="8"/>
      <c r="AK54" s="8"/>
      <c r="AL54" s="8"/>
      <c r="AM54" s="8"/>
      <c r="AN54" s="8"/>
      <c r="AO54" s="8"/>
      <c r="AP54" s="8"/>
      <c r="AQ54" s="8"/>
      <c r="AR54" s="8"/>
      <c r="AS54" s="10"/>
      <c r="AT54" s="8"/>
      <c r="AU54" s="8"/>
      <c r="AV54" s="10"/>
      <c r="AW54" s="8"/>
      <c r="AX54" s="8"/>
      <c r="AY54" s="10"/>
      <c r="AZ54" s="8"/>
      <c r="BA54" s="8"/>
      <c r="BB54" s="10"/>
    </row>
    <row r="55" ht="15.75" customHeight="1">
      <c r="A55" s="35" t="s">
        <v>209</v>
      </c>
      <c r="B55" s="36">
        <f t="shared" si="1"/>
        <v>33.75</v>
      </c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  <c r="AD55" s="8"/>
      <c r="AE55" s="8"/>
      <c r="AF55" s="8">
        <v>2.0</v>
      </c>
      <c r="AG55" s="8">
        <v>2.5</v>
      </c>
      <c r="AH55" s="8"/>
      <c r="AI55" s="8">
        <v>2.5</v>
      </c>
      <c r="AJ55" s="8"/>
      <c r="AK55" s="8"/>
      <c r="AL55" s="8">
        <v>2.75</v>
      </c>
      <c r="AM55" s="8"/>
      <c r="AN55" s="8">
        <v>3.5</v>
      </c>
      <c r="AO55" s="8"/>
      <c r="AP55" s="8"/>
      <c r="AQ55" s="20">
        <v>3.75</v>
      </c>
      <c r="AR55" s="8"/>
      <c r="AS55" s="37">
        <v>3.0</v>
      </c>
      <c r="AT55" s="8"/>
      <c r="AU55" s="20">
        <v>2.75</v>
      </c>
      <c r="AV55" s="10"/>
      <c r="AW55" s="8"/>
      <c r="AX55" s="20">
        <v>3.0</v>
      </c>
      <c r="AY55" s="37">
        <v>2.75</v>
      </c>
      <c r="AZ55" s="20">
        <v>3.0</v>
      </c>
      <c r="BA55" s="8"/>
      <c r="BB55" s="37">
        <v>2.25</v>
      </c>
    </row>
    <row r="56" ht="15.75" customHeight="1">
      <c r="A56" s="35" t="s">
        <v>326</v>
      </c>
      <c r="B56" s="36">
        <f t="shared" si="1"/>
        <v>14.5</v>
      </c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  <c r="AC56" s="8"/>
      <c r="AD56" s="8"/>
      <c r="AE56" s="8"/>
      <c r="AF56" s="8"/>
      <c r="AG56" s="8">
        <v>2.5</v>
      </c>
      <c r="AH56" s="8"/>
      <c r="AI56" s="8"/>
      <c r="AJ56" s="8"/>
      <c r="AK56" s="8"/>
      <c r="AL56" s="8">
        <v>2.75</v>
      </c>
      <c r="AM56" s="8"/>
      <c r="AN56" s="8">
        <v>3.5</v>
      </c>
      <c r="AO56" s="8"/>
      <c r="AP56" s="8"/>
      <c r="AQ56" s="8"/>
      <c r="AR56" s="8"/>
      <c r="AS56" s="10"/>
      <c r="AT56" s="8"/>
      <c r="AU56" s="8"/>
      <c r="AV56" s="10"/>
      <c r="AW56" s="8"/>
      <c r="AX56" s="8"/>
      <c r="AY56" s="37">
        <v>2.75</v>
      </c>
      <c r="AZ56" s="20">
        <v>3.0</v>
      </c>
      <c r="BA56" s="8"/>
      <c r="BB56" s="10"/>
    </row>
    <row r="57" ht="15.75" customHeight="1">
      <c r="A57" s="35" t="s">
        <v>163</v>
      </c>
      <c r="B57" s="36">
        <f t="shared" si="1"/>
        <v>2</v>
      </c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  <c r="AE57" s="8"/>
      <c r="AF57" s="8"/>
      <c r="AG57" s="8">
        <v>2.0</v>
      </c>
      <c r="AH57" s="8"/>
      <c r="AI57" s="8"/>
      <c r="AJ57" s="8"/>
      <c r="AK57" s="8"/>
      <c r="AL57" s="8"/>
      <c r="AM57" s="8"/>
      <c r="AN57" s="8"/>
      <c r="AO57" s="8"/>
      <c r="AP57" s="8"/>
      <c r="AQ57" s="8"/>
      <c r="AR57" s="8"/>
      <c r="AS57" s="10"/>
      <c r="AT57" s="8"/>
      <c r="AU57" s="8"/>
      <c r="AV57" s="10"/>
      <c r="AW57" s="8"/>
      <c r="AX57" s="8"/>
      <c r="AY57" s="10"/>
      <c r="AZ57" s="8"/>
      <c r="BA57" s="8"/>
      <c r="BB57" s="10"/>
    </row>
    <row r="58" ht="15.75" customHeight="1">
      <c r="A58" s="35" t="s">
        <v>15</v>
      </c>
      <c r="B58" s="36">
        <f t="shared" si="1"/>
        <v>4.75</v>
      </c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  <c r="AD58" s="8"/>
      <c r="AE58" s="8"/>
      <c r="AF58" s="8"/>
      <c r="AG58" s="8">
        <v>2.0</v>
      </c>
      <c r="AH58" s="8"/>
      <c r="AI58" s="8"/>
      <c r="AJ58" s="8">
        <v>2.75</v>
      </c>
      <c r="AK58" s="8"/>
      <c r="AL58" s="8"/>
      <c r="AM58" s="8"/>
      <c r="AN58" s="8"/>
      <c r="AO58" s="8"/>
      <c r="AP58" s="8"/>
      <c r="AQ58" s="8"/>
      <c r="AR58" s="8"/>
      <c r="AS58" s="10"/>
      <c r="AT58" s="8"/>
      <c r="AU58" s="8"/>
      <c r="AV58" s="10"/>
      <c r="AW58" s="8"/>
      <c r="AX58" s="8"/>
      <c r="AY58" s="10"/>
      <c r="AZ58" s="8"/>
      <c r="BA58" s="8"/>
      <c r="BB58" s="10"/>
    </row>
    <row r="59" ht="15.75" customHeight="1">
      <c r="A59" s="35" t="s">
        <v>12</v>
      </c>
      <c r="B59" s="36">
        <f t="shared" si="1"/>
        <v>19.25</v>
      </c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  <c r="AD59" s="8"/>
      <c r="AE59" s="8"/>
      <c r="AF59" s="8"/>
      <c r="AG59" s="8"/>
      <c r="AH59" s="8"/>
      <c r="AI59" s="8">
        <v>2.0</v>
      </c>
      <c r="AJ59" s="8"/>
      <c r="AK59" s="8"/>
      <c r="AL59" s="8">
        <v>2.75</v>
      </c>
      <c r="AM59" s="8"/>
      <c r="AN59" s="8">
        <v>1.0</v>
      </c>
      <c r="AO59" s="8"/>
      <c r="AP59" s="8">
        <v>2.75</v>
      </c>
      <c r="AQ59" s="8"/>
      <c r="AR59" s="20">
        <v>3.0</v>
      </c>
      <c r="AS59" s="10"/>
      <c r="AT59" s="20">
        <v>2.5</v>
      </c>
      <c r="AU59" s="8"/>
      <c r="AV59" s="10"/>
      <c r="AW59" s="20">
        <v>2.75</v>
      </c>
      <c r="AX59" s="8"/>
      <c r="AY59" s="10"/>
      <c r="AZ59" s="20">
        <v>2.5</v>
      </c>
      <c r="BA59" s="8"/>
      <c r="BB59" s="10"/>
    </row>
    <row r="60" ht="15.75" customHeight="1">
      <c r="A60" s="35" t="s">
        <v>150</v>
      </c>
      <c r="B60" s="36">
        <f t="shared" si="1"/>
        <v>23.75</v>
      </c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  <c r="AD60" s="8"/>
      <c r="AE60" s="8"/>
      <c r="AF60" s="8"/>
      <c r="AG60" s="8"/>
      <c r="AH60" s="8"/>
      <c r="AI60" s="8">
        <v>2.5</v>
      </c>
      <c r="AJ60" s="8"/>
      <c r="AK60" s="8"/>
      <c r="AL60" s="8"/>
      <c r="AM60" s="8">
        <v>3.0</v>
      </c>
      <c r="AN60" s="8"/>
      <c r="AO60" s="8">
        <v>3.0</v>
      </c>
      <c r="AP60" s="8">
        <v>3.0</v>
      </c>
      <c r="AQ60" s="20">
        <v>2.0</v>
      </c>
      <c r="AR60" s="20">
        <v>2.5</v>
      </c>
      <c r="AS60" s="37">
        <v>2.5</v>
      </c>
      <c r="AT60" s="20">
        <v>2.5</v>
      </c>
      <c r="AU60" s="8"/>
      <c r="AV60" s="10"/>
      <c r="AW60" s="20">
        <v>2.75</v>
      </c>
      <c r="AX60" s="8"/>
      <c r="AY60" s="10"/>
      <c r="AZ60" s="8"/>
      <c r="BA60" s="8"/>
      <c r="BB60" s="10"/>
    </row>
    <row r="61" ht="15.75" customHeight="1">
      <c r="A61" s="35" t="s">
        <v>327</v>
      </c>
      <c r="B61" s="36">
        <f t="shared" si="1"/>
        <v>1</v>
      </c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  <c r="AD61" s="8"/>
      <c r="AE61" s="8"/>
      <c r="AF61" s="8"/>
      <c r="AG61" s="8"/>
      <c r="AH61" s="8"/>
      <c r="AI61" s="8">
        <v>1.0</v>
      </c>
      <c r="AJ61" s="8"/>
      <c r="AK61" s="8"/>
      <c r="AL61" s="8"/>
      <c r="AM61" s="8"/>
      <c r="AN61" s="8"/>
      <c r="AO61" s="8"/>
      <c r="AP61" s="8"/>
      <c r="AQ61" s="8"/>
      <c r="AR61" s="8"/>
      <c r="AS61" s="10"/>
      <c r="AT61" s="8"/>
      <c r="AU61" s="8"/>
      <c r="AV61" s="10"/>
      <c r="AW61" s="8"/>
      <c r="AX61" s="8"/>
      <c r="AY61" s="10"/>
      <c r="AZ61" s="8"/>
      <c r="BA61" s="8"/>
      <c r="BB61" s="10"/>
    </row>
    <row r="62" ht="15.75" customHeight="1">
      <c r="A62" s="35" t="s">
        <v>328</v>
      </c>
      <c r="B62" s="36">
        <f t="shared" si="1"/>
        <v>2.75</v>
      </c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  <c r="AC62" s="8"/>
      <c r="AD62" s="8"/>
      <c r="AE62" s="8"/>
      <c r="AF62" s="8"/>
      <c r="AG62" s="8"/>
      <c r="AH62" s="8"/>
      <c r="AI62" s="8"/>
      <c r="AJ62" s="8">
        <v>2.75</v>
      </c>
      <c r="AK62" s="8"/>
      <c r="AL62" s="8"/>
      <c r="AM62" s="8"/>
      <c r="AN62" s="8"/>
      <c r="AO62" s="8"/>
      <c r="AP62" s="8"/>
      <c r="AQ62" s="8"/>
      <c r="AR62" s="8"/>
      <c r="AS62" s="10"/>
      <c r="AT62" s="8"/>
      <c r="AU62" s="8"/>
      <c r="AV62" s="10"/>
      <c r="AW62" s="8"/>
      <c r="AX62" s="8"/>
      <c r="AY62" s="10"/>
      <c r="AZ62" s="8"/>
      <c r="BA62" s="8"/>
      <c r="BB62" s="10"/>
    </row>
    <row r="63" ht="15.75" customHeight="1">
      <c r="A63" s="35" t="s">
        <v>99</v>
      </c>
      <c r="B63" s="36">
        <f t="shared" si="1"/>
        <v>2.75</v>
      </c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  <c r="AD63" s="8"/>
      <c r="AE63" s="8"/>
      <c r="AF63" s="8"/>
      <c r="AG63" s="8"/>
      <c r="AH63" s="8"/>
      <c r="AI63" s="8"/>
      <c r="AJ63" s="8">
        <v>2.75</v>
      </c>
      <c r="AK63" s="8"/>
      <c r="AL63" s="8"/>
      <c r="AM63" s="8"/>
      <c r="AN63" s="8"/>
      <c r="AO63" s="8"/>
      <c r="AP63" s="8"/>
      <c r="AQ63" s="8"/>
      <c r="AR63" s="8"/>
      <c r="AS63" s="10"/>
      <c r="AT63" s="8"/>
      <c r="AU63" s="8"/>
      <c r="AV63" s="10"/>
      <c r="AW63" s="8"/>
      <c r="AX63" s="8"/>
      <c r="AY63" s="10"/>
      <c r="AZ63" s="8"/>
      <c r="BA63" s="8"/>
      <c r="BB63" s="10"/>
    </row>
    <row r="64" ht="15.75" customHeight="1">
      <c r="A64" s="35" t="s">
        <v>329</v>
      </c>
      <c r="B64" s="36">
        <f t="shared" si="1"/>
        <v>1.5</v>
      </c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8"/>
      <c r="AH64" s="8"/>
      <c r="AI64" s="8"/>
      <c r="AJ64" s="8"/>
      <c r="AK64" s="8">
        <v>1.5</v>
      </c>
      <c r="AL64" s="8"/>
      <c r="AM64" s="8"/>
      <c r="AN64" s="8"/>
      <c r="AO64" s="8"/>
      <c r="AP64" s="8"/>
      <c r="AQ64" s="8"/>
      <c r="AR64" s="8"/>
      <c r="AS64" s="10"/>
      <c r="AT64" s="8"/>
      <c r="AU64" s="8"/>
      <c r="AV64" s="10"/>
      <c r="AW64" s="8"/>
      <c r="AX64" s="8"/>
      <c r="AY64" s="10"/>
      <c r="AZ64" s="8"/>
      <c r="BA64" s="8"/>
      <c r="BB64" s="10"/>
    </row>
    <row r="65" ht="15.75" customHeight="1">
      <c r="A65" s="35" t="s">
        <v>134</v>
      </c>
      <c r="B65" s="36">
        <f t="shared" si="1"/>
        <v>36.75</v>
      </c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  <c r="AE65" s="8"/>
      <c r="AF65" s="8"/>
      <c r="AG65" s="8"/>
      <c r="AH65" s="8"/>
      <c r="AI65" s="8"/>
      <c r="AJ65" s="8"/>
      <c r="AK65" s="8">
        <v>2.75</v>
      </c>
      <c r="AL65" s="8">
        <v>2.75</v>
      </c>
      <c r="AM65" s="8">
        <v>3.0</v>
      </c>
      <c r="AN65" s="8">
        <v>2.5</v>
      </c>
      <c r="AO65" s="8"/>
      <c r="AP65" s="8"/>
      <c r="AQ65" s="20">
        <v>2.0</v>
      </c>
      <c r="AR65" s="20">
        <v>3.0</v>
      </c>
      <c r="AS65" s="37">
        <v>2.5</v>
      </c>
      <c r="AT65" s="20">
        <v>2.5</v>
      </c>
      <c r="AU65" s="8"/>
      <c r="AV65" s="38">
        <v>3.0</v>
      </c>
      <c r="AW65" s="20">
        <v>3.0</v>
      </c>
      <c r="AX65" s="20">
        <v>2.5</v>
      </c>
      <c r="AY65" s="37">
        <v>2.25</v>
      </c>
      <c r="AZ65" s="20">
        <v>2.5</v>
      </c>
      <c r="BA65" s="20">
        <v>2.5</v>
      </c>
      <c r="BB65" s="10"/>
    </row>
    <row r="66" ht="15.75" customHeight="1">
      <c r="A66" s="35" t="s">
        <v>330</v>
      </c>
      <c r="B66" s="36">
        <f t="shared" si="1"/>
        <v>1.5</v>
      </c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  <c r="AD66" s="8"/>
      <c r="AE66" s="8"/>
      <c r="AF66" s="8"/>
      <c r="AG66" s="8"/>
      <c r="AH66" s="8"/>
      <c r="AI66" s="8"/>
      <c r="AJ66" s="8"/>
      <c r="AK66" s="8">
        <v>1.5</v>
      </c>
      <c r="AL66" s="8"/>
      <c r="AM66" s="8"/>
      <c r="AN66" s="8"/>
      <c r="AO66" s="8"/>
      <c r="AP66" s="8"/>
      <c r="AQ66" s="8"/>
      <c r="AR66" s="8"/>
      <c r="AS66" s="10"/>
      <c r="AT66" s="8"/>
      <c r="AU66" s="8"/>
      <c r="AV66" s="10"/>
      <c r="AW66" s="8"/>
      <c r="AX66" s="8"/>
      <c r="AY66" s="10"/>
      <c r="AZ66" s="8"/>
      <c r="BA66" s="8"/>
      <c r="BB66" s="10"/>
    </row>
    <row r="67" ht="15.75" customHeight="1">
      <c r="A67" s="35" t="s">
        <v>331</v>
      </c>
      <c r="B67" s="36">
        <f t="shared" si="1"/>
        <v>15.5</v>
      </c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  <c r="AD67" s="8"/>
      <c r="AE67" s="8"/>
      <c r="AF67" s="8"/>
      <c r="AG67" s="8"/>
      <c r="AH67" s="8"/>
      <c r="AI67" s="8"/>
      <c r="AJ67" s="8"/>
      <c r="AK67" s="8"/>
      <c r="AL67" s="8"/>
      <c r="AM67" s="8">
        <v>3.0</v>
      </c>
      <c r="AN67" s="8"/>
      <c r="AO67" s="8">
        <v>3.0</v>
      </c>
      <c r="AP67" s="8"/>
      <c r="AQ67" s="8"/>
      <c r="AR67" s="20">
        <v>2.75</v>
      </c>
      <c r="AS67" s="10"/>
      <c r="AT67" s="8"/>
      <c r="AU67" s="20">
        <v>2.25</v>
      </c>
      <c r="AV67" s="10"/>
      <c r="AW67" s="8"/>
      <c r="AX67" s="8"/>
      <c r="AY67" s="37">
        <v>2.0</v>
      </c>
      <c r="AZ67" s="8"/>
      <c r="BA67" s="20">
        <v>2.5</v>
      </c>
      <c r="BB67" s="10"/>
    </row>
    <row r="68" ht="15.75" customHeight="1">
      <c r="A68" s="35" t="s">
        <v>332</v>
      </c>
      <c r="B68" s="36">
        <f t="shared" si="1"/>
        <v>3</v>
      </c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  <c r="AD68" s="8"/>
      <c r="AE68" s="8"/>
      <c r="AF68" s="8"/>
      <c r="AG68" s="8"/>
      <c r="AH68" s="8"/>
      <c r="AI68" s="8"/>
      <c r="AJ68" s="8"/>
      <c r="AK68" s="8"/>
      <c r="AL68" s="8"/>
      <c r="AM68" s="8">
        <v>3.0</v>
      </c>
      <c r="AN68" s="8"/>
      <c r="AO68" s="8"/>
      <c r="AP68" s="8"/>
      <c r="AQ68" s="8"/>
      <c r="AR68" s="8"/>
      <c r="AS68" s="10"/>
      <c r="AT68" s="8"/>
      <c r="AU68" s="8"/>
      <c r="AV68" s="10"/>
      <c r="AW68" s="8"/>
      <c r="AX68" s="8"/>
      <c r="AY68" s="10"/>
      <c r="AZ68" s="8"/>
      <c r="BA68" s="8"/>
      <c r="BB68" s="10"/>
    </row>
    <row r="69" ht="15.75" customHeight="1">
      <c r="A69" s="35" t="s">
        <v>333</v>
      </c>
      <c r="B69" s="36">
        <f t="shared" si="1"/>
        <v>21.25</v>
      </c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  <c r="AE69" s="8"/>
      <c r="AF69" s="8"/>
      <c r="AG69" s="8"/>
      <c r="AH69" s="8"/>
      <c r="AI69" s="8"/>
      <c r="AJ69" s="8"/>
      <c r="AK69" s="8"/>
      <c r="AL69" s="8"/>
      <c r="AM69" s="8"/>
      <c r="AN69" s="8">
        <v>2.75</v>
      </c>
      <c r="AO69" s="8"/>
      <c r="AP69" s="8">
        <v>3.0</v>
      </c>
      <c r="AQ69" s="8"/>
      <c r="AR69" s="20">
        <v>2.75</v>
      </c>
      <c r="AS69" s="37">
        <v>2.5</v>
      </c>
      <c r="AT69" s="8"/>
      <c r="AU69" s="8"/>
      <c r="AV69" s="10"/>
      <c r="AW69" s="20">
        <v>3.0</v>
      </c>
      <c r="AX69" s="20">
        <v>2.5</v>
      </c>
      <c r="AY69" s="37">
        <v>2.25</v>
      </c>
      <c r="AZ69" s="8"/>
      <c r="BA69" s="20">
        <v>2.5</v>
      </c>
      <c r="BB69" s="10"/>
    </row>
    <row r="70" ht="15.75" customHeight="1">
      <c r="A70" s="35" t="s">
        <v>334</v>
      </c>
      <c r="B70" s="36">
        <f t="shared" si="1"/>
        <v>8</v>
      </c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/>
      <c r="AF70" s="8"/>
      <c r="AG70" s="8"/>
      <c r="AH70" s="8"/>
      <c r="AI70" s="8"/>
      <c r="AJ70" s="8"/>
      <c r="AK70" s="8"/>
      <c r="AL70" s="8"/>
      <c r="AM70" s="8"/>
      <c r="AN70" s="8">
        <v>3.0</v>
      </c>
      <c r="AO70" s="8">
        <v>3.0</v>
      </c>
      <c r="AP70" s="8"/>
      <c r="AQ70" s="20">
        <v>2.0</v>
      </c>
      <c r="AR70" s="8"/>
      <c r="AS70" s="10"/>
      <c r="AT70" s="8"/>
      <c r="AU70" s="8"/>
      <c r="AV70" s="10"/>
      <c r="AW70" s="8"/>
      <c r="AX70" s="8"/>
      <c r="AY70" s="10"/>
      <c r="AZ70" s="8"/>
      <c r="BA70" s="8"/>
      <c r="BB70" s="10"/>
    </row>
    <row r="71" ht="15.75" customHeight="1">
      <c r="A71" s="35" t="s">
        <v>335</v>
      </c>
      <c r="B71" s="36">
        <f t="shared" si="1"/>
        <v>3</v>
      </c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  <c r="AE71" s="8"/>
      <c r="AF71" s="8"/>
      <c r="AG71" s="8"/>
      <c r="AH71" s="8"/>
      <c r="AI71" s="8"/>
      <c r="AJ71" s="8"/>
      <c r="AK71" s="8"/>
      <c r="AL71" s="8"/>
      <c r="AM71" s="8"/>
      <c r="AN71" s="8">
        <v>3.0</v>
      </c>
      <c r="AO71" s="8"/>
      <c r="AP71" s="8"/>
      <c r="AQ71" s="8"/>
      <c r="AR71" s="8"/>
      <c r="AS71" s="10"/>
      <c r="AT71" s="8"/>
      <c r="AU71" s="8"/>
      <c r="AV71" s="10"/>
      <c r="AW71" s="8"/>
      <c r="AX71" s="8"/>
      <c r="AY71" s="10"/>
      <c r="AZ71" s="8"/>
      <c r="BA71" s="8"/>
      <c r="BB71" s="10"/>
    </row>
    <row r="72" ht="15.75" customHeight="1">
      <c r="A72" s="35" t="s">
        <v>156</v>
      </c>
      <c r="B72" s="36">
        <f t="shared" si="1"/>
        <v>12.5</v>
      </c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  <c r="AD72" s="8"/>
      <c r="AE72" s="8"/>
      <c r="AF72" s="8"/>
      <c r="AG72" s="8"/>
      <c r="AH72" s="8"/>
      <c r="AI72" s="8"/>
      <c r="AJ72" s="8"/>
      <c r="AK72" s="8"/>
      <c r="AL72" s="8"/>
      <c r="AM72" s="8"/>
      <c r="AN72" s="8"/>
      <c r="AO72" s="8">
        <v>3.0</v>
      </c>
      <c r="AP72" s="8">
        <v>3.0</v>
      </c>
      <c r="AQ72" s="20">
        <v>2.0</v>
      </c>
      <c r="AR72" s="8"/>
      <c r="AS72" s="10"/>
      <c r="AT72" s="20">
        <v>2.5</v>
      </c>
      <c r="AU72" s="8"/>
      <c r="AV72" s="10"/>
      <c r="AW72" s="8"/>
      <c r="AX72" s="8"/>
      <c r="AY72" s="10"/>
      <c r="AZ72" s="8"/>
      <c r="BA72" s="8"/>
      <c r="BB72" s="37">
        <v>2.0</v>
      </c>
    </row>
    <row r="73" ht="15.75" customHeight="1">
      <c r="A73" s="35" t="s">
        <v>148</v>
      </c>
      <c r="B73" s="36">
        <f t="shared" si="1"/>
        <v>3</v>
      </c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  <c r="AD73" s="8"/>
      <c r="AE73" s="8"/>
      <c r="AF73" s="8"/>
      <c r="AG73" s="8"/>
      <c r="AH73" s="8"/>
      <c r="AI73" s="8"/>
      <c r="AJ73" s="8"/>
      <c r="AK73" s="8"/>
      <c r="AL73" s="8"/>
      <c r="AM73" s="8"/>
      <c r="AN73" s="8"/>
      <c r="AO73" s="8">
        <v>3.0</v>
      </c>
      <c r="AP73" s="8"/>
      <c r="AQ73" s="8"/>
      <c r="AR73" s="8"/>
      <c r="AS73" s="10"/>
      <c r="AT73" s="8"/>
      <c r="AU73" s="8"/>
      <c r="AV73" s="10"/>
      <c r="AW73" s="8"/>
      <c r="AX73" s="8"/>
      <c r="AY73" s="10"/>
      <c r="AZ73" s="8"/>
      <c r="BA73" s="8"/>
      <c r="BB73" s="10"/>
    </row>
    <row r="74" ht="15.75" customHeight="1">
      <c r="A74" s="35" t="s">
        <v>265</v>
      </c>
      <c r="B74" s="36">
        <f t="shared" si="1"/>
        <v>5</v>
      </c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  <c r="AD74" s="8"/>
      <c r="AE74" s="8"/>
      <c r="AF74" s="8"/>
      <c r="AG74" s="8"/>
      <c r="AH74" s="8"/>
      <c r="AI74" s="8"/>
      <c r="AJ74" s="8"/>
      <c r="AK74" s="8"/>
      <c r="AL74" s="8"/>
      <c r="AM74" s="8"/>
      <c r="AN74" s="8"/>
      <c r="AO74" s="8">
        <v>3.0</v>
      </c>
      <c r="AP74" s="8"/>
      <c r="AQ74" s="8"/>
      <c r="AR74" s="20">
        <v>2.0</v>
      </c>
      <c r="AS74" s="10"/>
      <c r="AT74" s="8"/>
      <c r="AU74" s="8"/>
      <c r="AV74" s="10"/>
      <c r="AW74" s="8"/>
      <c r="AX74" s="8"/>
      <c r="AY74" s="10"/>
      <c r="AZ74" s="8"/>
      <c r="BA74" s="8"/>
      <c r="BB74" s="10"/>
    </row>
    <row r="75" ht="15.75" customHeight="1">
      <c r="A75" s="35" t="s">
        <v>149</v>
      </c>
      <c r="B75" s="36">
        <f t="shared" si="1"/>
        <v>3</v>
      </c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  <c r="AD75" s="8"/>
      <c r="AE75" s="8"/>
      <c r="AF75" s="8"/>
      <c r="AG75" s="8"/>
      <c r="AH75" s="8"/>
      <c r="AI75" s="8"/>
      <c r="AJ75" s="8"/>
      <c r="AK75" s="8"/>
      <c r="AL75" s="8"/>
      <c r="AM75" s="8"/>
      <c r="AN75" s="8"/>
      <c r="AO75" s="8">
        <v>3.0</v>
      </c>
      <c r="AP75" s="8"/>
      <c r="AQ75" s="8"/>
      <c r="AR75" s="8"/>
      <c r="AS75" s="10"/>
      <c r="AT75" s="8"/>
      <c r="AU75" s="8"/>
      <c r="AV75" s="10"/>
      <c r="AW75" s="8"/>
      <c r="AX75" s="8"/>
      <c r="AY75" s="10"/>
      <c r="AZ75" s="8"/>
      <c r="BA75" s="8"/>
      <c r="BB75" s="10"/>
    </row>
    <row r="76" ht="15.75" customHeight="1">
      <c r="A76" s="39" t="s">
        <v>336</v>
      </c>
      <c r="B76" s="36">
        <f t="shared" si="1"/>
        <v>2</v>
      </c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  <c r="AE76" s="8"/>
      <c r="AF76" s="8"/>
      <c r="AG76" s="8"/>
      <c r="AH76" s="8"/>
      <c r="AI76" s="8"/>
      <c r="AJ76" s="8"/>
      <c r="AK76" s="8"/>
      <c r="AL76" s="8"/>
      <c r="AM76" s="8"/>
      <c r="AN76" s="8"/>
      <c r="AO76" s="8"/>
      <c r="AP76" s="8"/>
      <c r="AQ76" s="20">
        <v>2.0</v>
      </c>
      <c r="AR76" s="8"/>
      <c r="AS76" s="10"/>
      <c r="AT76" s="8"/>
      <c r="AU76" s="8"/>
      <c r="AV76" s="10"/>
      <c r="AW76" s="8"/>
      <c r="AX76" s="8"/>
      <c r="AY76" s="10"/>
      <c r="AZ76" s="8"/>
      <c r="BA76" s="8"/>
      <c r="BB76" s="10"/>
    </row>
    <row r="77" ht="15.75" customHeight="1">
      <c r="A77" s="39" t="s">
        <v>337</v>
      </c>
      <c r="B77" s="36">
        <f t="shared" si="1"/>
        <v>4.5</v>
      </c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  <c r="AE77" s="8"/>
      <c r="AF77" s="8"/>
      <c r="AG77" s="8"/>
      <c r="AH77" s="8"/>
      <c r="AI77" s="8"/>
      <c r="AJ77" s="8"/>
      <c r="AK77" s="8"/>
      <c r="AL77" s="8"/>
      <c r="AM77" s="8"/>
      <c r="AN77" s="8"/>
      <c r="AO77" s="8"/>
      <c r="AP77" s="8"/>
      <c r="AQ77" s="20">
        <v>2.0</v>
      </c>
      <c r="AR77" s="8"/>
      <c r="AS77" s="10"/>
      <c r="AT77" s="20">
        <v>2.5</v>
      </c>
      <c r="AU77" s="8"/>
      <c r="AV77" s="10"/>
      <c r="AW77" s="8"/>
      <c r="AX77" s="8"/>
      <c r="AY77" s="10"/>
      <c r="AZ77" s="8"/>
      <c r="BA77" s="8"/>
      <c r="BB77" s="10"/>
    </row>
    <row r="78" ht="15.75" customHeight="1">
      <c r="A78" s="39" t="s">
        <v>23</v>
      </c>
      <c r="B78" s="36">
        <f t="shared" si="1"/>
        <v>2</v>
      </c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  <c r="AD78" s="8"/>
      <c r="AE78" s="8"/>
      <c r="AF78" s="8"/>
      <c r="AG78" s="8"/>
      <c r="AH78" s="8"/>
      <c r="AI78" s="8"/>
      <c r="AJ78" s="8"/>
      <c r="AK78" s="8"/>
      <c r="AL78" s="8"/>
      <c r="AM78" s="8"/>
      <c r="AN78" s="8"/>
      <c r="AO78" s="8"/>
      <c r="AP78" s="8"/>
      <c r="AQ78" s="8"/>
      <c r="AR78" s="20">
        <v>2.0</v>
      </c>
      <c r="AS78" s="10"/>
      <c r="AT78" s="8"/>
      <c r="AU78" s="8"/>
      <c r="AV78" s="10"/>
      <c r="AW78" s="8"/>
      <c r="AX78" s="8"/>
      <c r="AY78" s="10"/>
      <c r="AZ78" s="8"/>
      <c r="BA78" s="8"/>
      <c r="BB78" s="10"/>
    </row>
    <row r="79" ht="15.75" customHeight="1">
      <c r="A79" s="39" t="s">
        <v>122</v>
      </c>
      <c r="B79" s="36">
        <f t="shared" si="1"/>
        <v>2</v>
      </c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  <c r="AD79" s="8"/>
      <c r="AE79" s="8"/>
      <c r="AF79" s="8"/>
      <c r="AG79" s="8"/>
      <c r="AH79" s="8"/>
      <c r="AI79" s="8"/>
      <c r="AJ79" s="8"/>
      <c r="AK79" s="8"/>
      <c r="AL79" s="8"/>
      <c r="AM79" s="8"/>
      <c r="AN79" s="8"/>
      <c r="AO79" s="8"/>
      <c r="AP79" s="8"/>
      <c r="AQ79" s="8"/>
      <c r="AR79" s="8"/>
      <c r="AS79" s="37">
        <v>2.0</v>
      </c>
      <c r="AT79" s="8"/>
      <c r="AU79" s="8"/>
      <c r="AV79" s="10"/>
      <c r="AW79" s="8"/>
      <c r="AX79" s="8"/>
      <c r="AY79" s="10"/>
      <c r="AZ79" s="8"/>
      <c r="BA79" s="8"/>
      <c r="BB79" s="10"/>
    </row>
    <row r="80" ht="15.75" customHeight="1">
      <c r="A80" s="39" t="s">
        <v>338</v>
      </c>
      <c r="B80" s="36">
        <f t="shared" si="1"/>
        <v>2</v>
      </c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  <c r="AE80" s="8"/>
      <c r="AF80" s="8"/>
      <c r="AG80" s="8"/>
      <c r="AH80" s="8"/>
      <c r="AI80" s="8"/>
      <c r="AJ80" s="8"/>
      <c r="AK80" s="8"/>
      <c r="AL80" s="8"/>
      <c r="AM80" s="8"/>
      <c r="AN80" s="8"/>
      <c r="AO80" s="8"/>
      <c r="AP80" s="8"/>
      <c r="AQ80" s="8"/>
      <c r="AR80" s="8"/>
      <c r="AS80" s="37">
        <v>2.0</v>
      </c>
      <c r="AT80" s="8"/>
      <c r="AU80" s="8"/>
      <c r="AV80" s="10"/>
      <c r="AW80" s="8"/>
      <c r="AX80" s="8"/>
      <c r="AY80" s="10"/>
      <c r="AZ80" s="8"/>
      <c r="BA80" s="8"/>
      <c r="BB80" s="10"/>
    </row>
    <row r="81" ht="15.75" customHeight="1">
      <c r="A81" s="39" t="s">
        <v>339</v>
      </c>
      <c r="B81" s="36">
        <f t="shared" si="1"/>
        <v>5</v>
      </c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  <c r="AD81" s="8"/>
      <c r="AE81" s="8"/>
      <c r="AF81" s="8"/>
      <c r="AG81" s="8"/>
      <c r="AH81" s="8"/>
      <c r="AI81" s="8"/>
      <c r="AJ81" s="8"/>
      <c r="AK81" s="8"/>
      <c r="AL81" s="8"/>
      <c r="AM81" s="8"/>
      <c r="AN81" s="8"/>
      <c r="AO81" s="8"/>
      <c r="AP81" s="8"/>
      <c r="AQ81" s="8"/>
      <c r="AR81" s="8"/>
      <c r="AS81" s="37">
        <v>2.5</v>
      </c>
      <c r="AT81" s="8"/>
      <c r="AU81" s="20">
        <v>2.5</v>
      </c>
      <c r="AV81" s="10"/>
      <c r="AW81" s="8"/>
      <c r="AX81" s="8"/>
      <c r="AY81" s="10"/>
      <c r="AZ81" s="8"/>
      <c r="BA81" s="8"/>
      <c r="BB81" s="10"/>
    </row>
    <row r="82" ht="15.75" customHeight="1">
      <c r="A82" s="39" t="s">
        <v>340</v>
      </c>
      <c r="B82" s="36">
        <f t="shared" si="1"/>
        <v>2</v>
      </c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  <c r="AD82" s="8"/>
      <c r="AE82" s="8"/>
      <c r="AF82" s="8"/>
      <c r="AG82" s="8"/>
      <c r="AH82" s="8"/>
      <c r="AI82" s="8"/>
      <c r="AJ82" s="8"/>
      <c r="AK82" s="8"/>
      <c r="AL82" s="8"/>
      <c r="AM82" s="8"/>
      <c r="AN82" s="8"/>
      <c r="AO82" s="8"/>
      <c r="AP82" s="8"/>
      <c r="AQ82" s="8"/>
      <c r="AR82" s="8"/>
      <c r="AS82" s="37">
        <v>2.0</v>
      </c>
      <c r="AT82" s="8"/>
      <c r="AU82" s="8"/>
      <c r="AV82" s="10"/>
      <c r="AW82" s="8"/>
      <c r="AX82" s="8"/>
      <c r="AY82" s="10"/>
      <c r="AZ82" s="8"/>
      <c r="BA82" s="8"/>
      <c r="BB82" s="10"/>
    </row>
    <row r="83" ht="15.75" customHeight="1">
      <c r="A83" s="39" t="s">
        <v>341</v>
      </c>
      <c r="B83" s="36">
        <f t="shared" si="1"/>
        <v>5</v>
      </c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  <c r="AE83" s="8"/>
      <c r="AF83" s="8"/>
      <c r="AG83" s="8"/>
      <c r="AH83" s="8"/>
      <c r="AI83" s="8"/>
      <c r="AJ83" s="8"/>
      <c r="AK83" s="8"/>
      <c r="AL83" s="8"/>
      <c r="AM83" s="8"/>
      <c r="AN83" s="8"/>
      <c r="AO83" s="8"/>
      <c r="AP83" s="8"/>
      <c r="AQ83" s="8"/>
      <c r="AR83" s="8"/>
      <c r="AS83" s="10"/>
      <c r="AT83" s="20">
        <v>5.0</v>
      </c>
      <c r="AU83" s="8"/>
      <c r="AV83" s="10"/>
      <c r="AW83" s="8"/>
      <c r="AX83" s="8"/>
      <c r="AY83" s="10"/>
      <c r="AZ83" s="8"/>
      <c r="BA83" s="8"/>
      <c r="BB83" s="10"/>
    </row>
    <row r="84" ht="15.75" customHeight="1">
      <c r="A84" s="39" t="s">
        <v>342</v>
      </c>
      <c r="B84" s="36">
        <f t="shared" si="1"/>
        <v>5.25</v>
      </c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  <c r="AE84" s="8"/>
      <c r="AF84" s="8"/>
      <c r="AG84" s="8"/>
      <c r="AH84" s="8"/>
      <c r="AI84" s="8"/>
      <c r="AJ84" s="8"/>
      <c r="AK84" s="8"/>
      <c r="AL84" s="8"/>
      <c r="AM84" s="8"/>
      <c r="AN84" s="8"/>
      <c r="AO84" s="8"/>
      <c r="AP84" s="8"/>
      <c r="AQ84" s="8"/>
      <c r="AR84" s="8"/>
      <c r="AS84" s="10"/>
      <c r="AT84" s="20">
        <v>2.75</v>
      </c>
      <c r="AU84" s="8"/>
      <c r="AV84" s="10"/>
      <c r="AW84" s="8"/>
      <c r="AX84" s="8"/>
      <c r="AY84" s="10"/>
      <c r="AZ84" s="20">
        <v>2.5</v>
      </c>
      <c r="BA84" s="8"/>
      <c r="BB84" s="10"/>
    </row>
    <row r="85" ht="15.75" customHeight="1">
      <c r="A85" s="39" t="s">
        <v>281</v>
      </c>
      <c r="B85" s="36">
        <f t="shared" si="1"/>
        <v>5</v>
      </c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  <c r="AE85" s="8"/>
      <c r="AF85" s="8"/>
      <c r="AG85" s="8"/>
      <c r="AH85" s="8"/>
      <c r="AI85" s="8"/>
      <c r="AJ85" s="8"/>
      <c r="AK85" s="8"/>
      <c r="AL85" s="8"/>
      <c r="AM85" s="8"/>
      <c r="AN85" s="8"/>
      <c r="AO85" s="8"/>
      <c r="AP85" s="8"/>
      <c r="AQ85" s="8"/>
      <c r="AR85" s="8"/>
      <c r="AS85" s="10"/>
      <c r="AT85" s="20">
        <v>2.5</v>
      </c>
      <c r="AU85" s="8"/>
      <c r="AV85" s="10"/>
      <c r="AW85" s="8"/>
      <c r="AX85" s="8"/>
      <c r="AY85" s="10"/>
      <c r="AZ85" s="20">
        <v>2.5</v>
      </c>
      <c r="BA85" s="8"/>
      <c r="BB85" s="10"/>
    </row>
    <row r="86" ht="15.75" customHeight="1">
      <c r="A86" s="39" t="s">
        <v>186</v>
      </c>
      <c r="B86" s="36">
        <f t="shared" si="1"/>
        <v>2.5</v>
      </c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  <c r="AE86" s="8"/>
      <c r="AF86" s="8"/>
      <c r="AG86" s="8"/>
      <c r="AH86" s="8"/>
      <c r="AI86" s="8"/>
      <c r="AJ86" s="8"/>
      <c r="AK86" s="8"/>
      <c r="AL86" s="8"/>
      <c r="AM86" s="8"/>
      <c r="AN86" s="8"/>
      <c r="AO86" s="8"/>
      <c r="AP86" s="8"/>
      <c r="AQ86" s="8"/>
      <c r="AR86" s="8"/>
      <c r="AS86" s="10"/>
      <c r="AT86" s="20">
        <v>2.5</v>
      </c>
      <c r="AU86" s="8"/>
      <c r="AV86" s="10"/>
      <c r="AW86" s="8"/>
      <c r="AX86" s="8"/>
      <c r="AY86" s="10"/>
      <c r="AZ86" s="8"/>
      <c r="BA86" s="8"/>
      <c r="BB86" s="10"/>
    </row>
    <row r="87" ht="15.75" customHeight="1">
      <c r="A87" s="39" t="s">
        <v>343</v>
      </c>
      <c r="B87" s="36">
        <f t="shared" si="1"/>
        <v>2.5</v>
      </c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  <c r="AD87" s="8"/>
      <c r="AE87" s="8"/>
      <c r="AF87" s="8"/>
      <c r="AG87" s="8"/>
      <c r="AH87" s="8"/>
      <c r="AI87" s="8"/>
      <c r="AJ87" s="8"/>
      <c r="AK87" s="8"/>
      <c r="AL87" s="8"/>
      <c r="AM87" s="8"/>
      <c r="AN87" s="8"/>
      <c r="AO87" s="8"/>
      <c r="AP87" s="8"/>
      <c r="AQ87" s="8"/>
      <c r="AR87" s="8"/>
      <c r="AS87" s="10"/>
      <c r="AT87" s="20">
        <v>2.5</v>
      </c>
      <c r="AU87" s="8"/>
      <c r="AV87" s="10"/>
      <c r="AW87" s="8"/>
      <c r="AX87" s="8"/>
      <c r="AY87" s="10"/>
      <c r="AZ87" s="8"/>
      <c r="BA87" s="8"/>
      <c r="BB87" s="10"/>
    </row>
    <row r="88" ht="15.75" customHeight="1">
      <c r="A88" s="39" t="s">
        <v>155</v>
      </c>
      <c r="B88" s="36">
        <f t="shared" si="1"/>
        <v>15.5</v>
      </c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  <c r="AE88" s="8"/>
      <c r="AF88" s="8"/>
      <c r="AG88" s="8"/>
      <c r="AH88" s="8"/>
      <c r="AI88" s="8"/>
      <c r="AJ88" s="8"/>
      <c r="AK88" s="8"/>
      <c r="AL88" s="8"/>
      <c r="AM88" s="8"/>
      <c r="AN88" s="8"/>
      <c r="AO88" s="8"/>
      <c r="AP88" s="8"/>
      <c r="AQ88" s="8"/>
      <c r="AR88" s="8"/>
      <c r="AS88" s="10"/>
      <c r="AT88" s="20">
        <v>2.5</v>
      </c>
      <c r="AU88" s="20">
        <v>2.5</v>
      </c>
      <c r="AV88" s="38">
        <v>2.75</v>
      </c>
      <c r="AW88" s="20">
        <v>3.0</v>
      </c>
      <c r="AX88" s="20">
        <v>2.5</v>
      </c>
      <c r="AY88" s="10"/>
      <c r="AZ88" s="8"/>
      <c r="BA88" s="8"/>
      <c r="BB88" s="37">
        <v>2.25</v>
      </c>
    </row>
    <row r="89" ht="15.75" customHeight="1">
      <c r="A89" s="39" t="s">
        <v>344</v>
      </c>
      <c r="B89" s="36">
        <f t="shared" si="1"/>
        <v>2.5</v>
      </c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  <c r="AE89" s="8"/>
      <c r="AF89" s="8"/>
      <c r="AG89" s="8"/>
      <c r="AH89" s="8"/>
      <c r="AI89" s="8"/>
      <c r="AJ89" s="8"/>
      <c r="AK89" s="8"/>
      <c r="AL89" s="8"/>
      <c r="AM89" s="8"/>
      <c r="AN89" s="8"/>
      <c r="AO89" s="8"/>
      <c r="AP89" s="8"/>
      <c r="AQ89" s="8"/>
      <c r="AR89" s="8"/>
      <c r="AS89" s="10"/>
      <c r="AT89" s="8"/>
      <c r="AU89" s="20">
        <v>2.5</v>
      </c>
      <c r="AV89" s="10"/>
      <c r="AW89" s="8"/>
      <c r="AX89" s="8"/>
      <c r="AY89" s="10"/>
      <c r="AZ89" s="8"/>
      <c r="BA89" s="8"/>
      <c r="BB89" s="10"/>
    </row>
    <row r="90" ht="15.75" customHeight="1">
      <c r="A90" s="39" t="s">
        <v>141</v>
      </c>
      <c r="B90" s="36">
        <f t="shared" si="1"/>
        <v>2.5</v>
      </c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  <c r="AD90" s="8"/>
      <c r="AE90" s="8"/>
      <c r="AF90" s="8"/>
      <c r="AG90" s="8"/>
      <c r="AH90" s="8"/>
      <c r="AI90" s="8"/>
      <c r="AJ90" s="8"/>
      <c r="AK90" s="8"/>
      <c r="AL90" s="8"/>
      <c r="AM90" s="8"/>
      <c r="AN90" s="8"/>
      <c r="AO90" s="8"/>
      <c r="AP90" s="8"/>
      <c r="AQ90" s="8"/>
      <c r="AR90" s="8"/>
      <c r="AS90" s="10"/>
      <c r="AT90" s="8"/>
      <c r="AU90" s="20">
        <v>2.5</v>
      </c>
      <c r="AV90" s="10"/>
      <c r="AW90" s="8"/>
      <c r="AX90" s="8"/>
      <c r="AY90" s="10"/>
      <c r="AZ90" s="8"/>
      <c r="BA90" s="8"/>
      <c r="BB90" s="10"/>
    </row>
    <row r="91" ht="15.75" customHeight="1">
      <c r="A91" s="39" t="s">
        <v>345</v>
      </c>
      <c r="B91" s="36">
        <f t="shared" si="1"/>
        <v>2.5</v>
      </c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  <c r="AE91" s="8"/>
      <c r="AF91" s="8"/>
      <c r="AG91" s="8"/>
      <c r="AH91" s="8"/>
      <c r="AI91" s="8"/>
      <c r="AJ91" s="8"/>
      <c r="AK91" s="8"/>
      <c r="AL91" s="8"/>
      <c r="AM91" s="8"/>
      <c r="AN91" s="8"/>
      <c r="AO91" s="8"/>
      <c r="AP91" s="8"/>
      <c r="AQ91" s="8"/>
      <c r="AR91" s="8"/>
      <c r="AS91" s="10"/>
      <c r="AT91" s="8"/>
      <c r="AU91" s="20">
        <v>2.5</v>
      </c>
      <c r="AV91" s="10"/>
      <c r="AW91" s="8"/>
      <c r="AX91" s="8"/>
      <c r="AY91" s="10"/>
      <c r="AZ91" s="8"/>
      <c r="BA91" s="8"/>
      <c r="BB91" s="10"/>
    </row>
    <row r="92" ht="15.75" customHeight="1">
      <c r="A92" s="39" t="s">
        <v>346</v>
      </c>
      <c r="B92" s="36">
        <f t="shared" si="1"/>
        <v>8.75</v>
      </c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  <c r="AE92" s="8"/>
      <c r="AF92" s="8"/>
      <c r="AG92" s="8"/>
      <c r="AH92" s="8"/>
      <c r="AI92" s="8"/>
      <c r="AJ92" s="8"/>
      <c r="AK92" s="8"/>
      <c r="AL92" s="8"/>
      <c r="AM92" s="8"/>
      <c r="AN92" s="8"/>
      <c r="AO92" s="8"/>
      <c r="AP92" s="8"/>
      <c r="AQ92" s="8"/>
      <c r="AR92" s="8"/>
      <c r="AS92" s="10"/>
      <c r="AT92" s="8"/>
      <c r="AU92" s="20">
        <v>2.25</v>
      </c>
      <c r="AV92" s="10"/>
      <c r="AW92" s="8"/>
      <c r="AX92" s="8"/>
      <c r="AY92" s="37">
        <v>2.0</v>
      </c>
      <c r="AZ92" s="8"/>
      <c r="BA92" s="20">
        <v>2.5</v>
      </c>
      <c r="BB92" s="37">
        <v>2.0</v>
      </c>
    </row>
    <row r="93" ht="15.75" customHeight="1">
      <c r="A93" s="40" t="s">
        <v>121</v>
      </c>
      <c r="B93" s="36">
        <f t="shared" si="1"/>
        <v>3</v>
      </c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  <c r="AE93" s="8"/>
      <c r="AF93" s="8"/>
      <c r="AG93" s="8"/>
      <c r="AH93" s="8"/>
      <c r="AI93" s="8"/>
      <c r="AJ93" s="8"/>
      <c r="AK93" s="8"/>
      <c r="AL93" s="8"/>
      <c r="AM93" s="8"/>
      <c r="AN93" s="8"/>
      <c r="AO93" s="8"/>
      <c r="AP93" s="8"/>
      <c r="AQ93" s="8"/>
      <c r="AR93" s="8"/>
      <c r="AS93" s="10"/>
      <c r="AT93" s="8"/>
      <c r="AU93" s="8"/>
      <c r="AV93" s="38">
        <v>3.0</v>
      </c>
      <c r="AW93" s="8"/>
      <c r="AX93" s="8"/>
      <c r="AY93" s="10"/>
      <c r="AZ93" s="8"/>
      <c r="BA93" s="8"/>
      <c r="BB93" s="10"/>
    </row>
    <row r="94" ht="15.75" customHeight="1">
      <c r="A94" s="40" t="s">
        <v>347</v>
      </c>
      <c r="B94" s="36">
        <f t="shared" si="1"/>
        <v>2.75</v>
      </c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  <c r="AE94" s="8"/>
      <c r="AF94" s="8"/>
      <c r="AG94" s="8"/>
      <c r="AH94" s="8"/>
      <c r="AI94" s="8"/>
      <c r="AJ94" s="8"/>
      <c r="AK94" s="8"/>
      <c r="AL94" s="8"/>
      <c r="AM94" s="8"/>
      <c r="AN94" s="8"/>
      <c r="AO94" s="8"/>
      <c r="AP94" s="8"/>
      <c r="AQ94" s="8"/>
      <c r="AR94" s="8"/>
      <c r="AS94" s="10"/>
      <c r="AT94" s="8"/>
      <c r="AU94" s="8"/>
      <c r="AV94" s="38">
        <v>2.75</v>
      </c>
      <c r="AW94" s="8"/>
      <c r="AX94" s="8"/>
      <c r="AY94" s="10"/>
      <c r="AZ94" s="8"/>
      <c r="BA94" s="8"/>
      <c r="BB94" s="10"/>
    </row>
    <row r="95" ht="15.75" customHeight="1">
      <c r="A95" s="39" t="s">
        <v>296</v>
      </c>
      <c r="B95" s="36">
        <f t="shared" si="1"/>
        <v>2.75</v>
      </c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  <c r="AE95" s="8"/>
      <c r="AF95" s="8"/>
      <c r="AG95" s="8"/>
      <c r="AH95" s="8"/>
      <c r="AI95" s="8"/>
      <c r="AJ95" s="8"/>
      <c r="AK95" s="8"/>
      <c r="AL95" s="8"/>
      <c r="AM95" s="8"/>
      <c r="AN95" s="8"/>
      <c r="AO95" s="8"/>
      <c r="AP95" s="8"/>
      <c r="AQ95" s="8"/>
      <c r="AR95" s="8"/>
      <c r="AS95" s="10"/>
      <c r="AT95" s="8"/>
      <c r="AU95" s="8"/>
      <c r="AV95" s="10"/>
      <c r="AW95" s="20">
        <v>2.75</v>
      </c>
      <c r="AX95" s="8"/>
      <c r="AY95" s="10"/>
      <c r="AZ95" s="8"/>
      <c r="BA95" s="8"/>
      <c r="BB95" s="10"/>
    </row>
    <row r="96" ht="15.75" customHeight="1">
      <c r="A96" s="39" t="s">
        <v>348</v>
      </c>
      <c r="B96" s="36">
        <f t="shared" si="1"/>
        <v>2.5</v>
      </c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  <c r="AE96" s="8"/>
      <c r="AF96" s="8"/>
      <c r="AG96" s="8"/>
      <c r="AH96" s="8"/>
      <c r="AI96" s="8"/>
      <c r="AJ96" s="8"/>
      <c r="AK96" s="8"/>
      <c r="AL96" s="8"/>
      <c r="AM96" s="8"/>
      <c r="AN96" s="8"/>
      <c r="AO96" s="8"/>
      <c r="AP96" s="8"/>
      <c r="AQ96" s="8"/>
      <c r="AR96" s="8"/>
      <c r="AS96" s="10"/>
      <c r="AT96" s="8"/>
      <c r="AU96" s="8"/>
      <c r="AV96" s="10"/>
      <c r="AW96" s="20">
        <v>2.5</v>
      </c>
      <c r="AX96" s="8"/>
      <c r="AY96" s="10"/>
      <c r="AZ96" s="8"/>
      <c r="BA96" s="8"/>
      <c r="BB96" s="10"/>
    </row>
    <row r="97" ht="15.75" customHeight="1">
      <c r="A97" s="39" t="s">
        <v>349</v>
      </c>
      <c r="B97" s="36">
        <f t="shared" si="1"/>
        <v>2.5</v>
      </c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  <c r="AE97" s="8"/>
      <c r="AF97" s="8"/>
      <c r="AG97" s="8"/>
      <c r="AH97" s="8"/>
      <c r="AI97" s="8"/>
      <c r="AJ97" s="8"/>
      <c r="AK97" s="8"/>
      <c r="AL97" s="8"/>
      <c r="AM97" s="8"/>
      <c r="AN97" s="8"/>
      <c r="AO97" s="8"/>
      <c r="AP97" s="8"/>
      <c r="AQ97" s="8"/>
      <c r="AR97" s="8"/>
      <c r="AS97" s="10"/>
      <c r="AT97" s="8"/>
      <c r="AU97" s="8"/>
      <c r="AV97" s="10"/>
      <c r="AW97" s="20">
        <v>2.5</v>
      </c>
      <c r="AX97" s="8"/>
      <c r="AY97" s="10"/>
      <c r="AZ97" s="8"/>
      <c r="BA97" s="8"/>
      <c r="BB97" s="10"/>
    </row>
    <row r="98" ht="15.75" customHeight="1">
      <c r="A98" s="39" t="s">
        <v>350</v>
      </c>
      <c r="B98" s="36">
        <f t="shared" si="1"/>
        <v>4.75</v>
      </c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  <c r="AE98" s="8"/>
      <c r="AF98" s="8"/>
      <c r="AG98" s="8"/>
      <c r="AH98" s="8"/>
      <c r="AI98" s="8"/>
      <c r="AJ98" s="8"/>
      <c r="AK98" s="8"/>
      <c r="AL98" s="8"/>
      <c r="AM98" s="8"/>
      <c r="AN98" s="8"/>
      <c r="AO98" s="8"/>
      <c r="AP98" s="8"/>
      <c r="AQ98" s="8"/>
      <c r="AR98" s="8"/>
      <c r="AS98" s="10"/>
      <c r="AT98" s="8"/>
      <c r="AU98" s="8"/>
      <c r="AV98" s="10"/>
      <c r="AW98" s="20">
        <v>2.5</v>
      </c>
      <c r="AX98" s="20">
        <v>2.25</v>
      </c>
      <c r="AY98" s="10"/>
      <c r="AZ98" s="8"/>
      <c r="BA98" s="8"/>
      <c r="BB98" s="10"/>
    </row>
    <row r="99" ht="15.75" customHeight="1">
      <c r="A99" s="39" t="s">
        <v>170</v>
      </c>
      <c r="B99" s="36">
        <f t="shared" si="1"/>
        <v>4.5</v>
      </c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  <c r="AE99" s="8"/>
      <c r="AF99" s="8"/>
      <c r="AG99" s="8"/>
      <c r="AH99" s="8"/>
      <c r="AI99" s="8"/>
      <c r="AJ99" s="8"/>
      <c r="AK99" s="8"/>
      <c r="AL99" s="8"/>
      <c r="AM99" s="8"/>
      <c r="AN99" s="8"/>
      <c r="AO99" s="8"/>
      <c r="AP99" s="8"/>
      <c r="AQ99" s="8"/>
      <c r="AR99" s="8"/>
      <c r="AS99" s="10"/>
      <c r="AT99" s="8"/>
      <c r="AU99" s="8"/>
      <c r="AV99" s="10"/>
      <c r="AW99" s="8"/>
      <c r="AX99" s="20">
        <v>2.5</v>
      </c>
      <c r="AY99" s="10"/>
      <c r="AZ99" s="8"/>
      <c r="BA99" s="20">
        <v>2.0</v>
      </c>
      <c r="BB99" s="10"/>
    </row>
    <row r="100" ht="15.75" customHeight="1">
      <c r="A100" s="39" t="s">
        <v>92</v>
      </c>
      <c r="B100" s="36">
        <f t="shared" si="1"/>
        <v>2.5</v>
      </c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  <c r="AE100" s="8"/>
      <c r="AF100" s="8"/>
      <c r="AG100" s="8"/>
      <c r="AH100" s="8"/>
      <c r="AI100" s="8"/>
      <c r="AJ100" s="8"/>
      <c r="AK100" s="8"/>
      <c r="AL100" s="8"/>
      <c r="AM100" s="8"/>
      <c r="AN100" s="8"/>
      <c r="AO100" s="8"/>
      <c r="AP100" s="8"/>
      <c r="AQ100" s="8"/>
      <c r="AR100" s="8"/>
      <c r="AS100" s="10"/>
      <c r="AT100" s="8"/>
      <c r="AU100" s="8"/>
      <c r="AV100" s="10"/>
      <c r="AW100" s="8"/>
      <c r="AX100" s="20">
        <v>2.5</v>
      </c>
      <c r="AY100" s="10"/>
      <c r="AZ100" s="8"/>
      <c r="BA100" s="8"/>
      <c r="BB100" s="10"/>
    </row>
    <row r="101" ht="15.75" customHeight="1">
      <c r="A101" s="39" t="s">
        <v>351</v>
      </c>
      <c r="B101" s="36">
        <f t="shared" si="1"/>
        <v>2.25</v>
      </c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  <c r="AE101" s="8"/>
      <c r="AF101" s="8"/>
      <c r="AG101" s="8"/>
      <c r="AH101" s="8"/>
      <c r="AI101" s="8"/>
      <c r="AJ101" s="8"/>
      <c r="AK101" s="8"/>
      <c r="AL101" s="8"/>
      <c r="AM101" s="8"/>
      <c r="AN101" s="8"/>
      <c r="AO101" s="8"/>
      <c r="AP101" s="8"/>
      <c r="AQ101" s="8"/>
      <c r="AR101" s="8"/>
      <c r="AS101" s="10"/>
      <c r="AT101" s="8"/>
      <c r="AU101" s="8"/>
      <c r="AV101" s="10"/>
      <c r="AW101" s="8"/>
      <c r="AX101" s="20">
        <v>2.25</v>
      </c>
      <c r="AY101" s="10"/>
      <c r="AZ101" s="8"/>
      <c r="BA101" s="8"/>
      <c r="BB101" s="10"/>
    </row>
    <row r="102" ht="15.75" customHeight="1">
      <c r="A102" s="39" t="s">
        <v>352</v>
      </c>
      <c r="B102" s="36">
        <f t="shared" si="1"/>
        <v>2.25</v>
      </c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  <c r="AE102" s="8"/>
      <c r="AF102" s="8"/>
      <c r="AG102" s="8"/>
      <c r="AH102" s="8"/>
      <c r="AI102" s="8"/>
      <c r="AJ102" s="8"/>
      <c r="AK102" s="8"/>
      <c r="AL102" s="8"/>
      <c r="AM102" s="8"/>
      <c r="AN102" s="8"/>
      <c r="AO102" s="8"/>
      <c r="AP102" s="8"/>
      <c r="AQ102" s="8"/>
      <c r="AR102" s="8"/>
      <c r="AS102" s="10"/>
      <c r="AT102" s="8"/>
      <c r="AU102" s="8"/>
      <c r="AV102" s="10"/>
      <c r="AW102" s="8"/>
      <c r="AX102" s="20">
        <v>2.25</v>
      </c>
      <c r="AY102" s="10"/>
      <c r="AZ102" s="8"/>
      <c r="BA102" s="8"/>
      <c r="BB102" s="10"/>
    </row>
    <row r="103" ht="15.75" customHeight="1">
      <c r="A103" s="39" t="s">
        <v>353</v>
      </c>
      <c r="B103" s="36">
        <f t="shared" si="1"/>
        <v>2.25</v>
      </c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  <c r="AE103" s="8"/>
      <c r="AF103" s="8"/>
      <c r="AG103" s="8"/>
      <c r="AH103" s="8"/>
      <c r="AI103" s="8"/>
      <c r="AJ103" s="8"/>
      <c r="AK103" s="8"/>
      <c r="AL103" s="8"/>
      <c r="AM103" s="8"/>
      <c r="AN103" s="8"/>
      <c r="AO103" s="8"/>
      <c r="AP103" s="8"/>
      <c r="AQ103" s="8"/>
      <c r="AR103" s="8"/>
      <c r="AS103" s="10"/>
      <c r="AT103" s="8"/>
      <c r="AU103" s="8"/>
      <c r="AV103" s="10"/>
      <c r="AW103" s="8"/>
      <c r="AX103" s="20">
        <v>2.25</v>
      </c>
      <c r="AY103" s="10"/>
      <c r="AZ103" s="8"/>
      <c r="BA103" s="8"/>
      <c r="BB103" s="10"/>
    </row>
    <row r="104" ht="15.75" customHeight="1">
      <c r="A104" s="39" t="s">
        <v>207</v>
      </c>
      <c r="B104" s="36">
        <f t="shared" si="1"/>
        <v>4.5</v>
      </c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  <c r="AE104" s="8"/>
      <c r="AF104" s="8"/>
      <c r="AG104" s="8"/>
      <c r="AH104" s="8"/>
      <c r="AI104" s="8"/>
      <c r="AJ104" s="8"/>
      <c r="AK104" s="8"/>
      <c r="AL104" s="8"/>
      <c r="AM104" s="8"/>
      <c r="AN104" s="8"/>
      <c r="AO104" s="8"/>
      <c r="AP104" s="8"/>
      <c r="AQ104" s="8"/>
      <c r="AR104" s="8"/>
      <c r="AS104" s="10"/>
      <c r="AT104" s="8"/>
      <c r="AU104" s="8"/>
      <c r="AV104" s="10"/>
      <c r="AW104" s="8"/>
      <c r="AX104" s="20">
        <v>2.25</v>
      </c>
      <c r="AY104" s="10"/>
      <c r="AZ104" s="8"/>
      <c r="BA104" s="20">
        <v>2.25</v>
      </c>
      <c r="BB104" s="10"/>
    </row>
    <row r="105" ht="15.75" customHeight="1">
      <c r="A105" s="39" t="s">
        <v>354</v>
      </c>
      <c r="B105" s="36">
        <f t="shared" si="1"/>
        <v>6.75</v>
      </c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  <c r="AE105" s="8"/>
      <c r="AF105" s="8"/>
      <c r="AG105" s="8"/>
      <c r="AH105" s="8"/>
      <c r="AI105" s="8"/>
      <c r="AJ105" s="8"/>
      <c r="AK105" s="8"/>
      <c r="AL105" s="8"/>
      <c r="AM105" s="8"/>
      <c r="AN105" s="8"/>
      <c r="AO105" s="8"/>
      <c r="AP105" s="8"/>
      <c r="AQ105" s="8"/>
      <c r="AR105" s="8"/>
      <c r="AS105" s="10"/>
      <c r="AT105" s="8"/>
      <c r="AU105" s="8"/>
      <c r="AV105" s="10"/>
      <c r="AW105" s="8"/>
      <c r="AX105" s="20">
        <v>2.25</v>
      </c>
      <c r="AY105" s="37">
        <v>2.25</v>
      </c>
      <c r="AZ105" s="8"/>
      <c r="BA105" s="20">
        <v>2.25</v>
      </c>
      <c r="BB105" s="10"/>
    </row>
    <row r="106" ht="15.75" customHeight="1">
      <c r="A106" s="39" t="s">
        <v>355</v>
      </c>
      <c r="B106" s="36">
        <f t="shared" si="1"/>
        <v>2.25</v>
      </c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  <c r="AE106" s="8"/>
      <c r="AF106" s="8"/>
      <c r="AG106" s="8"/>
      <c r="AH106" s="8"/>
      <c r="AI106" s="8"/>
      <c r="AJ106" s="8"/>
      <c r="AK106" s="8"/>
      <c r="AL106" s="8"/>
      <c r="AM106" s="8"/>
      <c r="AN106" s="8"/>
      <c r="AO106" s="8"/>
      <c r="AP106" s="8"/>
      <c r="AQ106" s="8"/>
      <c r="AR106" s="8"/>
      <c r="AS106" s="10"/>
      <c r="AT106" s="8"/>
      <c r="AU106" s="8"/>
      <c r="AV106" s="10"/>
      <c r="AW106" s="8"/>
      <c r="AX106" s="8"/>
      <c r="AY106" s="37">
        <v>2.25</v>
      </c>
      <c r="AZ106" s="8"/>
      <c r="BA106" s="8"/>
      <c r="BB106" s="10"/>
    </row>
    <row r="107" ht="15.75" customHeight="1">
      <c r="A107" s="39" t="s">
        <v>356</v>
      </c>
      <c r="B107" s="36">
        <f t="shared" si="1"/>
        <v>2.25</v>
      </c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  <c r="AE107" s="8"/>
      <c r="AF107" s="8"/>
      <c r="AG107" s="8"/>
      <c r="AH107" s="8"/>
      <c r="AI107" s="8"/>
      <c r="AJ107" s="8"/>
      <c r="AK107" s="8"/>
      <c r="AL107" s="8"/>
      <c r="AM107" s="8"/>
      <c r="AN107" s="8"/>
      <c r="AO107" s="8"/>
      <c r="AP107" s="8"/>
      <c r="AQ107" s="8"/>
      <c r="AR107" s="8"/>
      <c r="AS107" s="10"/>
      <c r="AT107" s="8"/>
      <c r="AU107" s="8"/>
      <c r="AV107" s="10"/>
      <c r="AW107" s="8"/>
      <c r="AX107" s="8"/>
      <c r="AY107" s="37">
        <v>2.25</v>
      </c>
      <c r="AZ107" s="8"/>
      <c r="BA107" s="8"/>
      <c r="BB107" s="10"/>
    </row>
    <row r="108" ht="15.75" customHeight="1">
      <c r="A108" s="39" t="s">
        <v>357</v>
      </c>
      <c r="B108" s="36">
        <f t="shared" si="1"/>
        <v>4.5</v>
      </c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  <c r="AE108" s="8"/>
      <c r="AF108" s="8"/>
      <c r="AG108" s="8"/>
      <c r="AH108" s="8"/>
      <c r="AI108" s="8"/>
      <c r="AJ108" s="8"/>
      <c r="AK108" s="8"/>
      <c r="AL108" s="8"/>
      <c r="AM108" s="8"/>
      <c r="AN108" s="8"/>
      <c r="AO108" s="8"/>
      <c r="AP108" s="8"/>
      <c r="AQ108" s="8"/>
      <c r="AR108" s="8"/>
      <c r="AS108" s="10"/>
      <c r="AT108" s="8"/>
      <c r="AU108" s="8"/>
      <c r="AV108" s="10"/>
      <c r="AW108" s="8"/>
      <c r="AX108" s="8"/>
      <c r="AY108" s="37">
        <v>2.0</v>
      </c>
      <c r="AZ108" s="8"/>
      <c r="BA108" s="20">
        <v>2.5</v>
      </c>
      <c r="BB108" s="10"/>
    </row>
    <row r="109" ht="15.75" customHeight="1">
      <c r="A109" s="39" t="s">
        <v>190</v>
      </c>
      <c r="B109" s="36">
        <f t="shared" si="1"/>
        <v>8</v>
      </c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  <c r="AE109" s="8"/>
      <c r="AF109" s="8"/>
      <c r="AG109" s="8"/>
      <c r="AH109" s="8"/>
      <c r="AI109" s="8"/>
      <c r="AJ109" s="8"/>
      <c r="AK109" s="8"/>
      <c r="AL109" s="8"/>
      <c r="AM109" s="8"/>
      <c r="AN109" s="8"/>
      <c r="AO109" s="8"/>
      <c r="AP109" s="8"/>
      <c r="AQ109" s="8"/>
      <c r="AR109" s="8"/>
      <c r="AS109" s="10"/>
      <c r="AT109" s="8"/>
      <c r="AU109" s="8"/>
      <c r="AV109" s="10"/>
      <c r="AW109" s="8"/>
      <c r="AX109" s="8"/>
      <c r="AY109" s="37">
        <v>1.75</v>
      </c>
      <c r="AZ109" s="20">
        <v>2.25</v>
      </c>
      <c r="BA109" s="20">
        <v>2.0</v>
      </c>
      <c r="BB109" s="37">
        <v>2.0</v>
      </c>
    </row>
    <row r="110" ht="15.75" customHeight="1">
      <c r="A110" s="39" t="s">
        <v>216</v>
      </c>
      <c r="B110" s="36">
        <f t="shared" si="1"/>
        <v>7</v>
      </c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  <c r="AE110" s="8"/>
      <c r="AF110" s="8"/>
      <c r="AG110" s="8"/>
      <c r="AH110" s="8"/>
      <c r="AI110" s="8"/>
      <c r="AJ110" s="8"/>
      <c r="AK110" s="8"/>
      <c r="AL110" s="8"/>
      <c r="AM110" s="8"/>
      <c r="AN110" s="8"/>
      <c r="AO110" s="8"/>
      <c r="AP110" s="8"/>
      <c r="AQ110" s="8"/>
      <c r="AR110" s="8"/>
      <c r="AS110" s="10"/>
      <c r="AT110" s="8"/>
      <c r="AU110" s="8"/>
      <c r="AV110" s="10"/>
      <c r="AW110" s="8"/>
      <c r="AX110" s="8"/>
      <c r="AY110" s="37">
        <v>2.25</v>
      </c>
      <c r="AZ110" s="8"/>
      <c r="BA110" s="20">
        <v>2.5</v>
      </c>
      <c r="BB110" s="37">
        <v>2.25</v>
      </c>
    </row>
    <row r="111" ht="15.75" customHeight="1">
      <c r="A111" s="39" t="s">
        <v>358</v>
      </c>
      <c r="B111" s="36">
        <f t="shared" si="1"/>
        <v>2.5</v>
      </c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  <c r="AE111" s="8"/>
      <c r="AF111" s="8"/>
      <c r="AG111" s="8"/>
      <c r="AH111" s="8"/>
      <c r="AI111" s="8"/>
      <c r="AJ111" s="8"/>
      <c r="AK111" s="8"/>
      <c r="AL111" s="8"/>
      <c r="AM111" s="8"/>
      <c r="AN111" s="8"/>
      <c r="AO111" s="8"/>
      <c r="AP111" s="8"/>
      <c r="AQ111" s="8"/>
      <c r="AR111" s="8"/>
      <c r="AS111" s="10"/>
      <c r="AT111" s="8"/>
      <c r="AU111" s="8"/>
      <c r="AV111" s="10"/>
      <c r="AW111" s="8"/>
      <c r="AX111" s="8"/>
      <c r="AY111" s="10"/>
      <c r="AZ111" s="20">
        <v>2.5</v>
      </c>
      <c r="BA111" s="8"/>
      <c r="BB111" s="10"/>
    </row>
    <row r="112" ht="15.75" customHeight="1">
      <c r="A112" s="39" t="s">
        <v>359</v>
      </c>
      <c r="B112" s="36">
        <f t="shared" si="1"/>
        <v>2.5</v>
      </c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  <c r="AE112" s="8"/>
      <c r="AF112" s="8"/>
      <c r="AG112" s="8"/>
      <c r="AH112" s="8"/>
      <c r="AI112" s="8"/>
      <c r="AJ112" s="8"/>
      <c r="AK112" s="8"/>
      <c r="AL112" s="8"/>
      <c r="AM112" s="8"/>
      <c r="AN112" s="8"/>
      <c r="AO112" s="8"/>
      <c r="AP112" s="8"/>
      <c r="AQ112" s="8"/>
      <c r="AR112" s="8"/>
      <c r="AS112" s="10"/>
      <c r="AT112" s="8"/>
      <c r="AU112" s="8"/>
      <c r="AV112" s="10"/>
      <c r="AW112" s="8"/>
      <c r="AX112" s="8"/>
      <c r="AY112" s="10"/>
      <c r="AZ112" s="20">
        <v>2.5</v>
      </c>
      <c r="BA112" s="8"/>
      <c r="BB112" s="10"/>
    </row>
    <row r="113" ht="15.75" customHeight="1">
      <c r="A113" s="39" t="s">
        <v>223</v>
      </c>
      <c r="B113" s="36">
        <f t="shared" si="1"/>
        <v>2.25</v>
      </c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  <c r="AE113" s="8"/>
      <c r="AF113" s="8"/>
      <c r="AG113" s="8"/>
      <c r="AH113" s="8"/>
      <c r="AI113" s="8"/>
      <c r="AJ113" s="8"/>
      <c r="AK113" s="8"/>
      <c r="AL113" s="8"/>
      <c r="AM113" s="8"/>
      <c r="AN113" s="8"/>
      <c r="AO113" s="8"/>
      <c r="AP113" s="8"/>
      <c r="AQ113" s="8"/>
      <c r="AR113" s="8"/>
      <c r="AS113" s="10"/>
      <c r="AT113" s="8"/>
      <c r="AU113" s="8"/>
      <c r="AV113" s="10"/>
      <c r="AW113" s="8"/>
      <c r="AX113" s="8"/>
      <c r="AY113" s="10"/>
      <c r="AZ113" s="8"/>
      <c r="BA113" s="20">
        <v>2.25</v>
      </c>
      <c r="BB113" s="10"/>
    </row>
    <row r="114" ht="15.75" customHeight="1">
      <c r="A114" s="39" t="s">
        <v>360</v>
      </c>
      <c r="B114" s="36">
        <f t="shared" si="1"/>
        <v>2.25</v>
      </c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  <c r="AE114" s="8"/>
      <c r="AF114" s="8"/>
      <c r="AG114" s="8"/>
      <c r="AH114" s="8"/>
      <c r="AI114" s="8"/>
      <c r="AJ114" s="8"/>
      <c r="AK114" s="8"/>
      <c r="AL114" s="8"/>
      <c r="AM114" s="8"/>
      <c r="AN114" s="8"/>
      <c r="AO114" s="8"/>
      <c r="AP114" s="8"/>
      <c r="AQ114" s="8"/>
      <c r="AR114" s="8"/>
      <c r="AS114" s="10"/>
      <c r="AT114" s="8"/>
      <c r="AU114" s="8"/>
      <c r="AV114" s="10"/>
      <c r="AW114" s="8"/>
      <c r="AX114" s="8"/>
      <c r="AY114" s="10"/>
      <c r="AZ114" s="8"/>
      <c r="BA114" s="8"/>
      <c r="BB114" s="37">
        <v>2.25</v>
      </c>
    </row>
    <row r="115" ht="15.75" customHeight="1">
      <c r="A115" s="39" t="s">
        <v>234</v>
      </c>
      <c r="B115" s="36">
        <f t="shared" si="1"/>
        <v>2</v>
      </c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  <c r="AE115" s="8"/>
      <c r="AF115" s="8"/>
      <c r="AG115" s="8"/>
      <c r="AH115" s="8"/>
      <c r="AI115" s="8"/>
      <c r="AJ115" s="8"/>
      <c r="AK115" s="8"/>
      <c r="AL115" s="8"/>
      <c r="AM115" s="8"/>
      <c r="AN115" s="8"/>
      <c r="AO115" s="8"/>
      <c r="AP115" s="8"/>
      <c r="AQ115" s="8"/>
      <c r="AR115" s="8"/>
      <c r="AS115" s="10"/>
      <c r="AT115" s="8"/>
      <c r="AU115" s="8"/>
      <c r="AV115" s="10"/>
      <c r="AW115" s="8"/>
      <c r="AX115" s="8"/>
      <c r="AY115" s="10"/>
      <c r="AZ115" s="8"/>
      <c r="BA115" s="8"/>
      <c r="BB115" s="37">
        <v>2.0</v>
      </c>
    </row>
    <row r="116" ht="15.75" customHeight="1">
      <c r="A116" s="39" t="s">
        <v>361</v>
      </c>
      <c r="B116" s="36">
        <f t="shared" si="1"/>
        <v>2</v>
      </c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  <c r="AE116" s="8"/>
      <c r="AF116" s="8"/>
      <c r="AG116" s="8"/>
      <c r="AH116" s="8"/>
      <c r="AI116" s="8"/>
      <c r="AJ116" s="8"/>
      <c r="AK116" s="8"/>
      <c r="AL116" s="8"/>
      <c r="AM116" s="8"/>
      <c r="AN116" s="8"/>
      <c r="AO116" s="8"/>
      <c r="AP116" s="8"/>
      <c r="AQ116" s="8"/>
      <c r="AR116" s="8"/>
      <c r="AS116" s="10"/>
      <c r="AT116" s="8"/>
      <c r="AU116" s="8"/>
      <c r="AV116" s="10"/>
      <c r="AW116" s="8"/>
      <c r="AX116" s="8"/>
      <c r="AY116" s="10"/>
      <c r="AZ116" s="8"/>
      <c r="BA116" s="8"/>
      <c r="BB116" s="37">
        <v>2.0</v>
      </c>
    </row>
    <row r="117" ht="15.75" customHeight="1">
      <c r="A117" s="35"/>
      <c r="B117" s="36">
        <f t="shared" si="1"/>
        <v>0</v>
      </c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  <c r="AE117" s="8"/>
      <c r="AF117" s="8"/>
      <c r="AG117" s="8"/>
      <c r="AH117" s="8"/>
      <c r="AI117" s="8"/>
      <c r="AJ117" s="8"/>
      <c r="AK117" s="8"/>
      <c r="AL117" s="8"/>
      <c r="AM117" s="8"/>
      <c r="AN117" s="8"/>
      <c r="AO117" s="8"/>
      <c r="AP117" s="8"/>
      <c r="AQ117" s="8"/>
      <c r="AR117" s="8"/>
      <c r="AS117" s="10"/>
      <c r="AT117" s="8"/>
      <c r="AU117" s="8"/>
      <c r="AV117" s="10"/>
      <c r="AW117" s="8"/>
      <c r="AX117" s="8"/>
      <c r="AY117" s="10"/>
      <c r="AZ117" s="8"/>
      <c r="BA117" s="8"/>
      <c r="BB117" s="10"/>
    </row>
    <row r="118" ht="15.75" customHeight="1">
      <c r="A118" s="35"/>
      <c r="B118" s="36">
        <f t="shared" si="1"/>
        <v>0</v>
      </c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  <c r="AE118" s="8"/>
      <c r="AF118" s="8"/>
      <c r="AG118" s="8"/>
      <c r="AH118" s="8"/>
      <c r="AI118" s="8"/>
      <c r="AJ118" s="8"/>
      <c r="AK118" s="8"/>
      <c r="AL118" s="8"/>
      <c r="AM118" s="8"/>
      <c r="AN118" s="8"/>
      <c r="AO118" s="8"/>
      <c r="AP118" s="8"/>
      <c r="AQ118" s="8"/>
      <c r="AR118" s="8"/>
      <c r="AS118" s="10"/>
      <c r="AT118" s="8"/>
      <c r="AU118" s="8"/>
      <c r="AV118" s="10"/>
      <c r="AW118" s="8"/>
      <c r="AX118" s="8"/>
      <c r="AY118" s="10"/>
      <c r="AZ118" s="8"/>
      <c r="BA118" s="8"/>
      <c r="BB118" s="10"/>
    </row>
    <row r="119" ht="15.75" customHeight="1">
      <c r="A119" s="35"/>
      <c r="B119" s="36">
        <f t="shared" si="1"/>
        <v>0</v>
      </c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  <c r="AE119" s="8"/>
      <c r="AF119" s="8"/>
      <c r="AG119" s="8"/>
      <c r="AH119" s="8"/>
      <c r="AI119" s="8"/>
      <c r="AJ119" s="8"/>
      <c r="AK119" s="8"/>
      <c r="AL119" s="8"/>
      <c r="AM119" s="8"/>
      <c r="AN119" s="8"/>
      <c r="AO119" s="8"/>
      <c r="AP119" s="8"/>
      <c r="AQ119" s="8"/>
      <c r="AR119" s="8"/>
      <c r="AS119" s="10"/>
      <c r="AT119" s="8"/>
      <c r="AU119" s="8"/>
      <c r="AV119" s="10"/>
      <c r="AW119" s="8"/>
      <c r="AX119" s="8"/>
      <c r="AY119" s="10"/>
      <c r="AZ119" s="8"/>
      <c r="BA119" s="8"/>
      <c r="BB119" s="10"/>
    </row>
    <row r="120" ht="15.75" customHeight="1">
      <c r="A120" s="35"/>
      <c r="B120" s="36">
        <f t="shared" si="1"/>
        <v>0</v>
      </c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  <c r="AE120" s="8"/>
      <c r="AF120" s="8"/>
      <c r="AG120" s="8"/>
      <c r="AH120" s="8"/>
      <c r="AI120" s="8"/>
      <c r="AJ120" s="8"/>
      <c r="AK120" s="8"/>
      <c r="AL120" s="8"/>
      <c r="AM120" s="8"/>
      <c r="AN120" s="8"/>
      <c r="AO120" s="8"/>
      <c r="AP120" s="8"/>
      <c r="AQ120" s="8"/>
      <c r="AR120" s="8"/>
      <c r="AS120" s="10"/>
      <c r="AT120" s="8"/>
      <c r="AU120" s="8"/>
      <c r="AV120" s="10"/>
      <c r="AW120" s="8"/>
      <c r="AX120" s="8"/>
      <c r="AY120" s="10"/>
      <c r="AZ120" s="8"/>
      <c r="BA120" s="8"/>
      <c r="BB120" s="10"/>
    </row>
    <row r="121" ht="15.75" customHeight="1">
      <c r="A121" s="35"/>
      <c r="B121" s="36">
        <f t="shared" si="1"/>
        <v>0</v>
      </c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  <c r="AE121" s="8"/>
      <c r="AF121" s="8"/>
      <c r="AG121" s="8"/>
      <c r="AH121" s="8"/>
      <c r="AI121" s="8"/>
      <c r="AJ121" s="8"/>
      <c r="AK121" s="8"/>
      <c r="AL121" s="8"/>
      <c r="AM121" s="8"/>
      <c r="AN121" s="8"/>
      <c r="AO121" s="8"/>
      <c r="AP121" s="8"/>
      <c r="AQ121" s="8"/>
      <c r="AR121" s="8"/>
      <c r="AS121" s="10"/>
      <c r="AT121" s="8"/>
      <c r="AU121" s="8"/>
      <c r="AV121" s="10"/>
      <c r="AW121" s="8"/>
      <c r="AX121" s="8"/>
      <c r="AY121" s="10"/>
      <c r="AZ121" s="8"/>
      <c r="BA121" s="8"/>
      <c r="BB121" s="10"/>
    </row>
    <row r="122" ht="15.75" customHeight="1">
      <c r="A122" s="35"/>
      <c r="B122" s="36">
        <f t="shared" si="1"/>
        <v>0</v>
      </c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  <c r="AE122" s="8"/>
      <c r="AF122" s="8"/>
      <c r="AG122" s="8"/>
      <c r="AH122" s="8"/>
      <c r="AI122" s="8"/>
      <c r="AJ122" s="8"/>
      <c r="AK122" s="8"/>
      <c r="AL122" s="8"/>
      <c r="AM122" s="8"/>
      <c r="AN122" s="8"/>
      <c r="AO122" s="8"/>
      <c r="AP122" s="8"/>
      <c r="AQ122" s="8"/>
      <c r="AR122" s="8"/>
      <c r="AS122" s="10"/>
      <c r="AT122" s="8"/>
      <c r="AU122" s="8"/>
      <c r="AV122" s="10"/>
      <c r="AW122" s="8"/>
      <c r="AX122" s="8"/>
      <c r="AY122" s="10"/>
      <c r="AZ122" s="8"/>
      <c r="BA122" s="8"/>
      <c r="BB122" s="10"/>
    </row>
    <row r="123" ht="15.75" customHeight="1">
      <c r="A123" s="35"/>
      <c r="B123" s="36">
        <f t="shared" si="1"/>
        <v>0</v>
      </c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  <c r="AE123" s="8"/>
      <c r="AF123" s="8"/>
      <c r="AG123" s="8"/>
      <c r="AH123" s="8"/>
      <c r="AI123" s="8"/>
      <c r="AJ123" s="8"/>
      <c r="AK123" s="8"/>
      <c r="AL123" s="8"/>
      <c r="AM123" s="8"/>
      <c r="AN123" s="8"/>
      <c r="AO123" s="8"/>
      <c r="AP123" s="8"/>
      <c r="AQ123" s="8"/>
      <c r="AR123" s="8"/>
      <c r="AS123" s="10"/>
      <c r="AT123" s="8"/>
      <c r="AU123" s="8"/>
      <c r="AV123" s="10"/>
      <c r="AW123" s="8"/>
      <c r="AX123" s="8"/>
      <c r="AY123" s="10"/>
      <c r="AZ123" s="8"/>
      <c r="BA123" s="8"/>
      <c r="BB123" s="10"/>
    </row>
    <row r="124" ht="15.75" customHeight="1">
      <c r="A124" s="35"/>
      <c r="B124" s="36">
        <f t="shared" si="1"/>
        <v>0</v>
      </c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  <c r="AE124" s="8"/>
      <c r="AF124" s="8"/>
      <c r="AG124" s="8"/>
      <c r="AH124" s="8"/>
      <c r="AI124" s="8"/>
      <c r="AJ124" s="8"/>
      <c r="AK124" s="8"/>
      <c r="AL124" s="8"/>
      <c r="AM124" s="8"/>
      <c r="AN124" s="8"/>
      <c r="AO124" s="8"/>
      <c r="AP124" s="8"/>
      <c r="AQ124" s="8"/>
      <c r="AR124" s="8"/>
      <c r="AS124" s="10"/>
      <c r="AT124" s="8"/>
      <c r="AU124" s="8"/>
      <c r="AV124" s="10"/>
      <c r="AW124" s="8"/>
      <c r="AX124" s="8"/>
      <c r="AY124" s="10"/>
      <c r="AZ124" s="8"/>
      <c r="BA124" s="8"/>
      <c r="BB124" s="10"/>
    </row>
    <row r="125" ht="15.75" customHeight="1">
      <c r="A125" s="35"/>
      <c r="B125" s="36">
        <f t="shared" si="1"/>
        <v>0</v>
      </c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8"/>
      <c r="AF125" s="8"/>
      <c r="AG125" s="8"/>
      <c r="AH125" s="8"/>
      <c r="AI125" s="8"/>
      <c r="AJ125" s="8"/>
      <c r="AK125" s="8"/>
      <c r="AL125" s="8"/>
      <c r="AM125" s="8"/>
      <c r="AN125" s="8"/>
      <c r="AO125" s="8"/>
      <c r="AP125" s="8"/>
      <c r="AQ125" s="8"/>
      <c r="AR125" s="8"/>
      <c r="AS125" s="10"/>
      <c r="AT125" s="8"/>
      <c r="AU125" s="8"/>
      <c r="AV125" s="10"/>
      <c r="AW125" s="8"/>
      <c r="AX125" s="8"/>
      <c r="AY125" s="10"/>
      <c r="AZ125" s="8"/>
      <c r="BA125" s="8"/>
      <c r="BB125" s="10"/>
    </row>
    <row r="126" ht="15.75" customHeight="1">
      <c r="A126" s="35"/>
      <c r="B126" s="36">
        <f t="shared" si="1"/>
        <v>0</v>
      </c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  <c r="AE126" s="8"/>
      <c r="AF126" s="8"/>
      <c r="AG126" s="8"/>
      <c r="AH126" s="8"/>
      <c r="AI126" s="8"/>
      <c r="AJ126" s="8"/>
      <c r="AK126" s="8"/>
      <c r="AL126" s="8"/>
      <c r="AM126" s="8"/>
      <c r="AN126" s="8"/>
      <c r="AO126" s="8"/>
      <c r="AP126" s="8"/>
      <c r="AQ126" s="8"/>
      <c r="AR126" s="8"/>
      <c r="AS126" s="10"/>
      <c r="AT126" s="8"/>
      <c r="AU126" s="8"/>
      <c r="AV126" s="10"/>
      <c r="AW126" s="8"/>
      <c r="AX126" s="8"/>
      <c r="AY126" s="10"/>
      <c r="AZ126" s="8"/>
      <c r="BA126" s="8"/>
      <c r="BB126" s="10"/>
    </row>
    <row r="127" ht="15.75" customHeight="1">
      <c r="A127" s="35"/>
      <c r="B127" s="36">
        <f t="shared" si="1"/>
        <v>0</v>
      </c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  <c r="AE127" s="8"/>
      <c r="AF127" s="8"/>
      <c r="AG127" s="8"/>
      <c r="AH127" s="8"/>
      <c r="AI127" s="8"/>
      <c r="AJ127" s="8"/>
      <c r="AK127" s="8"/>
      <c r="AL127" s="8"/>
      <c r="AM127" s="8"/>
      <c r="AN127" s="8"/>
      <c r="AO127" s="8"/>
      <c r="AP127" s="8"/>
      <c r="AQ127" s="8"/>
      <c r="AR127" s="8"/>
      <c r="AS127" s="10"/>
      <c r="AT127" s="8"/>
      <c r="AU127" s="8"/>
      <c r="AV127" s="10"/>
      <c r="AW127" s="8"/>
      <c r="AX127" s="8"/>
      <c r="AY127" s="10"/>
      <c r="AZ127" s="8"/>
      <c r="BA127" s="8"/>
      <c r="BB127" s="10"/>
    </row>
    <row r="128" ht="15.75" customHeight="1">
      <c r="A128" s="35"/>
      <c r="B128" s="36">
        <f t="shared" si="1"/>
        <v>0</v>
      </c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  <c r="AE128" s="8"/>
      <c r="AF128" s="8"/>
      <c r="AG128" s="8"/>
      <c r="AH128" s="8"/>
      <c r="AI128" s="8"/>
      <c r="AJ128" s="8"/>
      <c r="AK128" s="8"/>
      <c r="AL128" s="8"/>
      <c r="AM128" s="8"/>
      <c r="AN128" s="8"/>
      <c r="AO128" s="8"/>
      <c r="AP128" s="8"/>
      <c r="AQ128" s="8"/>
      <c r="AR128" s="8"/>
      <c r="AS128" s="10"/>
      <c r="AT128" s="8"/>
      <c r="AU128" s="8"/>
      <c r="AV128" s="10"/>
      <c r="AW128" s="8"/>
      <c r="AX128" s="8"/>
      <c r="AY128" s="10"/>
      <c r="AZ128" s="8"/>
      <c r="BA128" s="8"/>
      <c r="BB128" s="10"/>
    </row>
    <row r="129" ht="15.75" customHeight="1">
      <c r="A129" s="35"/>
      <c r="B129" s="36">
        <f t="shared" si="1"/>
        <v>0</v>
      </c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  <c r="AE129" s="8"/>
      <c r="AF129" s="8"/>
      <c r="AG129" s="8"/>
      <c r="AH129" s="8"/>
      <c r="AI129" s="8"/>
      <c r="AJ129" s="8"/>
      <c r="AK129" s="8"/>
      <c r="AL129" s="8"/>
      <c r="AM129" s="8"/>
      <c r="AN129" s="8"/>
      <c r="AO129" s="8"/>
      <c r="AP129" s="8"/>
      <c r="AQ129" s="8"/>
      <c r="AR129" s="8"/>
      <c r="AS129" s="10"/>
      <c r="AT129" s="8"/>
      <c r="AU129" s="8"/>
      <c r="AV129" s="10"/>
      <c r="AW129" s="8"/>
      <c r="AX129" s="8"/>
      <c r="AY129" s="10"/>
      <c r="AZ129" s="8"/>
      <c r="BA129" s="8"/>
      <c r="BB129" s="10"/>
    </row>
    <row r="130" ht="15.75" customHeight="1">
      <c r="A130" s="35"/>
      <c r="B130" s="36">
        <f t="shared" si="1"/>
        <v>0</v>
      </c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  <c r="AE130" s="8"/>
      <c r="AF130" s="8"/>
      <c r="AG130" s="8"/>
      <c r="AH130" s="8"/>
      <c r="AI130" s="8"/>
      <c r="AJ130" s="8"/>
      <c r="AK130" s="8"/>
      <c r="AL130" s="8"/>
      <c r="AM130" s="8"/>
      <c r="AN130" s="8"/>
      <c r="AO130" s="8"/>
      <c r="AP130" s="8"/>
      <c r="AQ130" s="8"/>
      <c r="AR130" s="8"/>
      <c r="AS130" s="10"/>
      <c r="AT130" s="8"/>
      <c r="AU130" s="8"/>
      <c r="AV130" s="10"/>
      <c r="AW130" s="8"/>
      <c r="AX130" s="8"/>
      <c r="AY130" s="10"/>
      <c r="AZ130" s="8"/>
      <c r="BA130" s="8"/>
      <c r="BB130" s="10"/>
    </row>
    <row r="131" ht="15.75" customHeight="1">
      <c r="A131" s="35"/>
      <c r="B131" s="36">
        <f t="shared" si="1"/>
        <v>0</v>
      </c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  <c r="AE131" s="8"/>
      <c r="AF131" s="8"/>
      <c r="AG131" s="8"/>
      <c r="AH131" s="8"/>
      <c r="AI131" s="8"/>
      <c r="AJ131" s="8"/>
      <c r="AK131" s="8"/>
      <c r="AL131" s="8"/>
      <c r="AM131" s="8"/>
      <c r="AN131" s="8"/>
      <c r="AO131" s="8"/>
      <c r="AP131" s="8"/>
      <c r="AQ131" s="8"/>
      <c r="AR131" s="8"/>
      <c r="AS131" s="10"/>
      <c r="AT131" s="8"/>
      <c r="AU131" s="8"/>
      <c r="AV131" s="10"/>
      <c r="AW131" s="8"/>
      <c r="AX131" s="8"/>
      <c r="AY131" s="10"/>
      <c r="AZ131" s="8"/>
      <c r="BA131" s="8"/>
      <c r="BB131" s="10"/>
    </row>
    <row r="132" ht="15.75" customHeight="1">
      <c r="A132" s="35"/>
      <c r="B132" s="36">
        <f t="shared" si="1"/>
        <v>0</v>
      </c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  <c r="AE132" s="8"/>
      <c r="AF132" s="8"/>
      <c r="AG132" s="8"/>
      <c r="AH132" s="8"/>
      <c r="AI132" s="8"/>
      <c r="AJ132" s="8"/>
      <c r="AK132" s="8"/>
      <c r="AL132" s="8"/>
      <c r="AM132" s="8"/>
      <c r="AN132" s="8"/>
      <c r="AO132" s="8"/>
      <c r="AP132" s="8"/>
      <c r="AQ132" s="8"/>
      <c r="AR132" s="8"/>
      <c r="AS132" s="10"/>
      <c r="AT132" s="8"/>
      <c r="AU132" s="8"/>
      <c r="AV132" s="10"/>
      <c r="AW132" s="8"/>
      <c r="AX132" s="8"/>
      <c r="AY132" s="10"/>
      <c r="AZ132" s="8"/>
      <c r="BA132" s="8"/>
      <c r="BB132" s="10"/>
    </row>
    <row r="133" ht="15.75" customHeight="1">
      <c r="A133" s="35"/>
      <c r="B133" s="36">
        <f t="shared" si="1"/>
        <v>0</v>
      </c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  <c r="AE133" s="8"/>
      <c r="AF133" s="8"/>
      <c r="AG133" s="8"/>
      <c r="AH133" s="8"/>
      <c r="AI133" s="8"/>
      <c r="AJ133" s="8"/>
      <c r="AK133" s="8"/>
      <c r="AL133" s="8"/>
      <c r="AM133" s="8"/>
      <c r="AN133" s="8"/>
      <c r="AO133" s="8"/>
      <c r="AP133" s="8"/>
      <c r="AQ133" s="8"/>
      <c r="AR133" s="8"/>
      <c r="AS133" s="10"/>
      <c r="AT133" s="8"/>
      <c r="AU133" s="8"/>
      <c r="AV133" s="10"/>
      <c r="AW133" s="8"/>
      <c r="AX133" s="8"/>
      <c r="AY133" s="10"/>
      <c r="AZ133" s="8"/>
      <c r="BA133" s="8"/>
      <c r="BB133" s="10"/>
    </row>
    <row r="134" ht="15.75" customHeight="1">
      <c r="A134" s="35"/>
      <c r="B134" s="36">
        <f t="shared" si="1"/>
        <v>0</v>
      </c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  <c r="AE134" s="8"/>
      <c r="AF134" s="8"/>
      <c r="AG134" s="8"/>
      <c r="AH134" s="8"/>
      <c r="AI134" s="8"/>
      <c r="AJ134" s="8"/>
      <c r="AK134" s="8"/>
      <c r="AL134" s="8"/>
      <c r="AM134" s="8"/>
      <c r="AN134" s="8"/>
      <c r="AO134" s="8"/>
      <c r="AP134" s="8"/>
      <c r="AQ134" s="8"/>
      <c r="AR134" s="8"/>
      <c r="AS134" s="10"/>
      <c r="AT134" s="8"/>
      <c r="AU134" s="8"/>
      <c r="AV134" s="10"/>
      <c r="AW134" s="8"/>
      <c r="AX134" s="8"/>
      <c r="AY134" s="10"/>
      <c r="AZ134" s="8"/>
      <c r="BA134" s="8"/>
      <c r="BB134" s="10"/>
    </row>
    <row r="135" ht="15.75" customHeight="1">
      <c r="A135" s="35"/>
      <c r="B135" s="36">
        <f t="shared" si="1"/>
        <v>0</v>
      </c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  <c r="AE135" s="8"/>
      <c r="AF135" s="8"/>
      <c r="AG135" s="8"/>
      <c r="AH135" s="8"/>
      <c r="AI135" s="8"/>
      <c r="AJ135" s="8"/>
      <c r="AK135" s="8"/>
      <c r="AL135" s="8"/>
      <c r="AM135" s="8"/>
      <c r="AN135" s="8"/>
      <c r="AO135" s="8"/>
      <c r="AP135" s="8"/>
      <c r="AQ135" s="8"/>
      <c r="AR135" s="8"/>
      <c r="AS135" s="10"/>
      <c r="AT135" s="8"/>
      <c r="AU135" s="8"/>
      <c r="AV135" s="10"/>
      <c r="AW135" s="8"/>
      <c r="AX135" s="8"/>
      <c r="AY135" s="10"/>
      <c r="AZ135" s="8"/>
      <c r="BA135" s="8"/>
      <c r="BB135" s="10"/>
    </row>
    <row r="136" ht="15.75" customHeight="1">
      <c r="A136" s="35"/>
      <c r="B136" s="36">
        <f t="shared" si="1"/>
        <v>0</v>
      </c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  <c r="AE136" s="8"/>
      <c r="AF136" s="8"/>
      <c r="AG136" s="8"/>
      <c r="AH136" s="8"/>
      <c r="AI136" s="8"/>
      <c r="AJ136" s="8"/>
      <c r="AK136" s="8"/>
      <c r="AL136" s="8"/>
      <c r="AM136" s="8"/>
      <c r="AN136" s="8"/>
      <c r="AO136" s="8"/>
      <c r="AP136" s="8"/>
      <c r="AQ136" s="8"/>
      <c r="AR136" s="8"/>
      <c r="AS136" s="10"/>
      <c r="AT136" s="8"/>
      <c r="AU136" s="8"/>
      <c r="AV136" s="10"/>
      <c r="AW136" s="8"/>
      <c r="AX136" s="8"/>
      <c r="AY136" s="10"/>
      <c r="AZ136" s="8"/>
      <c r="BA136" s="8"/>
      <c r="BB136" s="10"/>
    </row>
    <row r="137" ht="15.75" customHeight="1">
      <c r="A137" s="35"/>
      <c r="B137" s="36">
        <f t="shared" si="1"/>
        <v>0</v>
      </c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  <c r="AD137" s="8"/>
      <c r="AE137" s="8"/>
      <c r="AF137" s="8"/>
      <c r="AG137" s="8"/>
      <c r="AH137" s="8"/>
      <c r="AI137" s="8"/>
      <c r="AJ137" s="8"/>
      <c r="AK137" s="8"/>
      <c r="AL137" s="8"/>
      <c r="AM137" s="8"/>
      <c r="AN137" s="8"/>
      <c r="AO137" s="8"/>
      <c r="AP137" s="8"/>
      <c r="AQ137" s="8"/>
      <c r="AR137" s="8"/>
      <c r="AS137" s="10"/>
      <c r="AT137" s="8"/>
      <c r="AU137" s="8"/>
      <c r="AV137" s="10"/>
      <c r="AW137" s="8"/>
      <c r="AX137" s="8"/>
      <c r="AY137" s="10"/>
      <c r="AZ137" s="8"/>
      <c r="BA137" s="8"/>
      <c r="BB137" s="10"/>
    </row>
    <row r="138" ht="15.75" customHeight="1">
      <c r="A138" s="35"/>
      <c r="B138" s="36">
        <f t="shared" si="1"/>
        <v>0</v>
      </c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  <c r="AD138" s="8"/>
      <c r="AE138" s="8"/>
      <c r="AF138" s="8"/>
      <c r="AG138" s="8"/>
      <c r="AH138" s="8"/>
      <c r="AI138" s="8"/>
      <c r="AJ138" s="8"/>
      <c r="AK138" s="8"/>
      <c r="AL138" s="8"/>
      <c r="AM138" s="8"/>
      <c r="AN138" s="8"/>
      <c r="AO138" s="8"/>
      <c r="AP138" s="8"/>
      <c r="AQ138" s="8"/>
      <c r="AR138" s="8"/>
      <c r="AS138" s="10"/>
      <c r="AT138" s="8"/>
      <c r="AU138" s="8"/>
      <c r="AV138" s="10"/>
      <c r="AW138" s="8"/>
      <c r="AX138" s="8"/>
      <c r="AY138" s="10"/>
      <c r="AZ138" s="8"/>
      <c r="BA138" s="8"/>
      <c r="BB138" s="10"/>
    </row>
    <row r="139" ht="15.75" customHeight="1">
      <c r="A139" s="35"/>
      <c r="B139" s="36">
        <f t="shared" si="1"/>
        <v>0</v>
      </c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  <c r="AD139" s="8"/>
      <c r="AE139" s="8"/>
      <c r="AF139" s="8"/>
      <c r="AG139" s="8"/>
      <c r="AH139" s="8"/>
      <c r="AI139" s="8"/>
      <c r="AJ139" s="8"/>
      <c r="AK139" s="8"/>
      <c r="AL139" s="8"/>
      <c r="AM139" s="8"/>
      <c r="AN139" s="8"/>
      <c r="AO139" s="8"/>
      <c r="AP139" s="8"/>
      <c r="AQ139" s="8"/>
      <c r="AR139" s="8"/>
      <c r="AS139" s="10"/>
      <c r="AT139" s="8"/>
      <c r="AU139" s="8"/>
      <c r="AV139" s="10"/>
      <c r="AW139" s="8"/>
      <c r="AX139" s="8"/>
      <c r="AY139" s="10"/>
      <c r="AZ139" s="8"/>
      <c r="BA139" s="8"/>
      <c r="BB139" s="10"/>
    </row>
    <row r="140" ht="15.75" customHeight="1">
      <c r="A140" s="35"/>
      <c r="B140" s="36">
        <f t="shared" si="1"/>
        <v>0</v>
      </c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  <c r="AD140" s="8"/>
      <c r="AE140" s="8"/>
      <c r="AF140" s="8"/>
      <c r="AG140" s="8"/>
      <c r="AH140" s="8"/>
      <c r="AI140" s="8"/>
      <c r="AJ140" s="8"/>
      <c r="AK140" s="8"/>
      <c r="AL140" s="8"/>
      <c r="AM140" s="8"/>
      <c r="AN140" s="8"/>
      <c r="AO140" s="8"/>
      <c r="AP140" s="8"/>
      <c r="AQ140" s="8"/>
      <c r="AR140" s="8"/>
      <c r="AS140" s="10"/>
      <c r="AT140" s="8"/>
      <c r="AU140" s="8"/>
      <c r="AV140" s="10"/>
      <c r="AW140" s="8"/>
      <c r="AX140" s="8"/>
      <c r="AY140" s="10"/>
      <c r="AZ140" s="8"/>
      <c r="BA140" s="8"/>
      <c r="BB140" s="10"/>
    </row>
    <row r="141" ht="15.75" customHeight="1">
      <c r="A141" s="35"/>
      <c r="B141" s="36">
        <f t="shared" si="1"/>
        <v>0</v>
      </c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  <c r="AD141" s="8"/>
      <c r="AE141" s="8"/>
      <c r="AF141" s="8"/>
      <c r="AG141" s="8"/>
      <c r="AH141" s="8"/>
      <c r="AI141" s="8"/>
      <c r="AJ141" s="8"/>
      <c r="AK141" s="8"/>
      <c r="AL141" s="8"/>
      <c r="AM141" s="8"/>
      <c r="AN141" s="8"/>
      <c r="AO141" s="8"/>
      <c r="AP141" s="8"/>
      <c r="AQ141" s="8"/>
      <c r="AR141" s="8"/>
      <c r="AS141" s="10"/>
      <c r="AT141" s="8"/>
      <c r="AU141" s="8"/>
      <c r="AV141" s="10"/>
      <c r="AW141" s="8"/>
      <c r="AX141" s="8"/>
      <c r="AY141" s="10"/>
      <c r="AZ141" s="8"/>
      <c r="BA141" s="8"/>
      <c r="BB141" s="10"/>
    </row>
    <row r="142" ht="15.75" customHeight="1">
      <c r="A142" s="35"/>
      <c r="B142" s="36">
        <f t="shared" si="1"/>
        <v>0</v>
      </c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8"/>
      <c r="AD142" s="8"/>
      <c r="AE142" s="8"/>
      <c r="AF142" s="8"/>
      <c r="AG142" s="8"/>
      <c r="AH142" s="8"/>
      <c r="AI142" s="8"/>
      <c r="AJ142" s="8"/>
      <c r="AK142" s="8"/>
      <c r="AL142" s="8"/>
      <c r="AM142" s="8"/>
      <c r="AN142" s="8"/>
      <c r="AO142" s="8"/>
      <c r="AP142" s="8"/>
      <c r="AQ142" s="8"/>
      <c r="AR142" s="8"/>
      <c r="AS142" s="10"/>
      <c r="AT142" s="8"/>
      <c r="AU142" s="8"/>
      <c r="AV142" s="10"/>
      <c r="AW142" s="8"/>
      <c r="AX142" s="8"/>
      <c r="AY142" s="10"/>
      <c r="AZ142" s="8"/>
      <c r="BA142" s="8"/>
      <c r="BB142" s="10"/>
    </row>
    <row r="143" ht="15.75" customHeight="1">
      <c r="A143" s="35"/>
      <c r="B143" s="36">
        <f t="shared" si="1"/>
        <v>0</v>
      </c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8"/>
      <c r="AD143" s="8"/>
      <c r="AE143" s="8"/>
      <c r="AF143" s="8"/>
      <c r="AG143" s="8"/>
      <c r="AH143" s="8"/>
      <c r="AI143" s="8"/>
      <c r="AJ143" s="8"/>
      <c r="AK143" s="8"/>
      <c r="AL143" s="8"/>
      <c r="AM143" s="8"/>
      <c r="AN143" s="8"/>
      <c r="AO143" s="8"/>
      <c r="AP143" s="8"/>
      <c r="AQ143" s="8"/>
      <c r="AR143" s="8"/>
      <c r="AS143" s="10"/>
      <c r="AT143" s="8"/>
      <c r="AU143" s="8"/>
      <c r="AV143" s="10"/>
      <c r="AW143" s="8"/>
      <c r="AX143" s="8"/>
      <c r="AY143" s="10"/>
      <c r="AZ143" s="8"/>
      <c r="BA143" s="8"/>
      <c r="BB143" s="10"/>
    </row>
    <row r="144" ht="15.75" customHeight="1">
      <c r="A144" s="35"/>
      <c r="B144" s="36">
        <f t="shared" si="1"/>
        <v>0</v>
      </c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  <c r="AE144" s="8"/>
      <c r="AF144" s="8"/>
      <c r="AG144" s="8"/>
      <c r="AH144" s="8"/>
      <c r="AI144" s="8"/>
      <c r="AJ144" s="8"/>
      <c r="AK144" s="8"/>
      <c r="AL144" s="8"/>
      <c r="AM144" s="8"/>
      <c r="AN144" s="8"/>
      <c r="AO144" s="8"/>
      <c r="AP144" s="8"/>
      <c r="AQ144" s="8"/>
      <c r="AR144" s="8"/>
      <c r="AS144" s="10"/>
      <c r="AT144" s="8"/>
      <c r="AU144" s="8"/>
      <c r="AV144" s="10"/>
      <c r="AW144" s="8"/>
      <c r="AX144" s="8"/>
      <c r="AY144" s="10"/>
      <c r="AZ144" s="8"/>
      <c r="BA144" s="8"/>
      <c r="BB144" s="10"/>
    </row>
    <row r="145" ht="15.75" customHeight="1">
      <c r="A145" s="35"/>
      <c r="B145" s="36">
        <f t="shared" si="1"/>
        <v>0</v>
      </c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  <c r="AE145" s="8"/>
      <c r="AF145" s="8"/>
      <c r="AG145" s="8"/>
      <c r="AH145" s="8"/>
      <c r="AI145" s="8"/>
      <c r="AJ145" s="8"/>
      <c r="AK145" s="8"/>
      <c r="AL145" s="8"/>
      <c r="AM145" s="8"/>
      <c r="AN145" s="8"/>
      <c r="AO145" s="8"/>
      <c r="AP145" s="8"/>
      <c r="AQ145" s="8"/>
      <c r="AR145" s="8"/>
      <c r="AS145" s="10"/>
      <c r="AT145" s="8"/>
      <c r="AU145" s="8"/>
      <c r="AV145" s="10"/>
      <c r="AW145" s="8"/>
      <c r="AX145" s="8"/>
      <c r="AY145" s="10"/>
      <c r="AZ145" s="8"/>
      <c r="BA145" s="8"/>
      <c r="BB145" s="10"/>
    </row>
    <row r="146" ht="15.75" customHeight="1">
      <c r="A146" s="35"/>
      <c r="B146" s="36">
        <f t="shared" si="1"/>
        <v>0</v>
      </c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  <c r="AD146" s="8"/>
      <c r="AE146" s="8"/>
      <c r="AF146" s="8"/>
      <c r="AG146" s="8"/>
      <c r="AH146" s="8"/>
      <c r="AI146" s="8"/>
      <c r="AJ146" s="8"/>
      <c r="AK146" s="8"/>
      <c r="AL146" s="8"/>
      <c r="AM146" s="8"/>
      <c r="AN146" s="8"/>
      <c r="AO146" s="8"/>
      <c r="AP146" s="8"/>
      <c r="AQ146" s="8"/>
      <c r="AR146" s="8"/>
      <c r="AS146" s="10"/>
      <c r="AT146" s="8"/>
      <c r="AU146" s="8"/>
      <c r="AV146" s="10"/>
      <c r="AW146" s="8"/>
      <c r="AX146" s="8"/>
      <c r="AY146" s="10"/>
      <c r="AZ146" s="8"/>
      <c r="BA146" s="8"/>
      <c r="BB146" s="10"/>
    </row>
    <row r="147" ht="15.75" customHeight="1">
      <c r="A147" s="35"/>
      <c r="B147" s="36">
        <f t="shared" si="1"/>
        <v>0</v>
      </c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  <c r="AE147" s="8"/>
      <c r="AF147" s="8"/>
      <c r="AG147" s="8"/>
      <c r="AH147" s="8"/>
      <c r="AI147" s="8"/>
      <c r="AJ147" s="8"/>
      <c r="AK147" s="8"/>
      <c r="AL147" s="8"/>
      <c r="AM147" s="8"/>
      <c r="AN147" s="8"/>
      <c r="AO147" s="8"/>
      <c r="AP147" s="8"/>
      <c r="AQ147" s="8"/>
      <c r="AR147" s="8"/>
      <c r="AS147" s="10"/>
      <c r="AT147" s="8"/>
      <c r="AU147" s="8"/>
      <c r="AV147" s="10"/>
      <c r="AW147" s="8"/>
      <c r="AX147" s="8"/>
      <c r="AY147" s="10"/>
      <c r="AZ147" s="8"/>
      <c r="BA147" s="8"/>
      <c r="BB147" s="10"/>
    </row>
    <row r="148" ht="15.75" customHeight="1">
      <c r="A148" s="35"/>
      <c r="B148" s="36">
        <f t="shared" si="1"/>
        <v>0</v>
      </c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  <c r="AC148" s="8"/>
      <c r="AD148" s="8"/>
      <c r="AE148" s="8"/>
      <c r="AF148" s="8"/>
      <c r="AG148" s="8"/>
      <c r="AH148" s="8"/>
      <c r="AI148" s="8"/>
      <c r="AJ148" s="8"/>
      <c r="AK148" s="8"/>
      <c r="AL148" s="8"/>
      <c r="AM148" s="8"/>
      <c r="AN148" s="8"/>
      <c r="AO148" s="8"/>
      <c r="AP148" s="8"/>
      <c r="AQ148" s="8"/>
      <c r="AR148" s="8"/>
      <c r="AS148" s="10"/>
      <c r="AT148" s="8"/>
      <c r="AU148" s="8"/>
      <c r="AV148" s="10"/>
      <c r="AW148" s="8"/>
      <c r="AX148" s="8"/>
      <c r="AY148" s="10"/>
      <c r="AZ148" s="8"/>
      <c r="BA148" s="8"/>
      <c r="BB148" s="10"/>
    </row>
    <row r="149" ht="15.75" customHeight="1">
      <c r="A149" s="35"/>
      <c r="B149" s="36">
        <f t="shared" si="1"/>
        <v>0</v>
      </c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  <c r="AE149" s="8"/>
      <c r="AF149" s="8"/>
      <c r="AG149" s="8"/>
      <c r="AH149" s="8"/>
      <c r="AI149" s="8"/>
      <c r="AJ149" s="8"/>
      <c r="AK149" s="8"/>
      <c r="AL149" s="8"/>
      <c r="AM149" s="8"/>
      <c r="AN149" s="8"/>
      <c r="AO149" s="8"/>
      <c r="AP149" s="8"/>
      <c r="AQ149" s="8"/>
      <c r="AR149" s="8"/>
      <c r="AS149" s="10"/>
      <c r="AT149" s="8"/>
      <c r="AU149" s="8"/>
      <c r="AV149" s="10"/>
      <c r="AW149" s="8"/>
      <c r="AX149" s="8"/>
      <c r="AY149" s="10"/>
      <c r="AZ149" s="8"/>
      <c r="BA149" s="8"/>
      <c r="BB149" s="10"/>
    </row>
    <row r="150" ht="15.75" customHeight="1">
      <c r="A150" s="35"/>
      <c r="B150" s="36">
        <f t="shared" si="1"/>
        <v>0</v>
      </c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  <c r="AD150" s="8"/>
      <c r="AE150" s="8"/>
      <c r="AF150" s="8"/>
      <c r="AG150" s="8"/>
      <c r="AH150" s="8"/>
      <c r="AI150" s="8"/>
      <c r="AJ150" s="8"/>
      <c r="AK150" s="8"/>
      <c r="AL150" s="8"/>
      <c r="AM150" s="8"/>
      <c r="AN150" s="8"/>
      <c r="AO150" s="8"/>
      <c r="AP150" s="8"/>
      <c r="AQ150" s="8"/>
      <c r="AR150" s="8"/>
      <c r="AS150" s="10"/>
      <c r="AT150" s="8"/>
      <c r="AU150" s="8"/>
      <c r="AV150" s="10"/>
      <c r="AW150" s="8"/>
      <c r="AX150" s="8"/>
      <c r="AY150" s="10"/>
      <c r="AZ150" s="8"/>
      <c r="BA150" s="8"/>
      <c r="BB150" s="10"/>
    </row>
    <row r="151" ht="15.75" customHeight="1">
      <c r="A151" s="35"/>
      <c r="B151" s="36">
        <f t="shared" si="1"/>
        <v>0</v>
      </c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  <c r="AC151" s="8"/>
      <c r="AD151" s="8"/>
      <c r="AE151" s="8"/>
      <c r="AF151" s="8"/>
      <c r="AG151" s="8"/>
      <c r="AH151" s="8"/>
      <c r="AI151" s="8"/>
      <c r="AJ151" s="8"/>
      <c r="AK151" s="8"/>
      <c r="AL151" s="8"/>
      <c r="AM151" s="8"/>
      <c r="AN151" s="8"/>
      <c r="AO151" s="8"/>
      <c r="AP151" s="8"/>
      <c r="AQ151" s="8"/>
      <c r="AR151" s="8"/>
      <c r="AS151" s="10"/>
      <c r="AT151" s="8"/>
      <c r="AU151" s="8"/>
      <c r="AV151" s="10"/>
      <c r="AW151" s="8"/>
      <c r="AX151" s="8"/>
      <c r="AY151" s="10"/>
      <c r="AZ151" s="8"/>
      <c r="BA151" s="8"/>
      <c r="BB151" s="10"/>
    </row>
    <row r="152" ht="15.75" customHeight="1">
      <c r="A152" s="35"/>
      <c r="B152" s="36">
        <f t="shared" si="1"/>
        <v>0</v>
      </c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  <c r="AC152" s="8"/>
      <c r="AD152" s="8"/>
      <c r="AE152" s="8"/>
      <c r="AF152" s="8"/>
      <c r="AG152" s="8"/>
      <c r="AH152" s="8"/>
      <c r="AI152" s="8"/>
      <c r="AJ152" s="8"/>
      <c r="AK152" s="8"/>
      <c r="AL152" s="8"/>
      <c r="AM152" s="8"/>
      <c r="AN152" s="8"/>
      <c r="AO152" s="8"/>
      <c r="AP152" s="8"/>
      <c r="AQ152" s="8"/>
      <c r="AR152" s="8"/>
      <c r="AS152" s="10"/>
      <c r="AT152" s="8"/>
      <c r="AU152" s="8"/>
      <c r="AV152" s="10"/>
      <c r="AW152" s="8"/>
      <c r="AX152" s="8"/>
      <c r="AY152" s="10"/>
      <c r="AZ152" s="8"/>
      <c r="BA152" s="8"/>
      <c r="BB152" s="10"/>
    </row>
    <row r="153" ht="15.75" customHeight="1">
      <c r="A153" s="35"/>
      <c r="B153" s="36">
        <f t="shared" si="1"/>
        <v>0</v>
      </c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  <c r="AC153" s="8"/>
      <c r="AD153" s="8"/>
      <c r="AE153" s="8"/>
      <c r="AF153" s="8"/>
      <c r="AG153" s="8"/>
      <c r="AH153" s="8"/>
      <c r="AI153" s="8"/>
      <c r="AJ153" s="8"/>
      <c r="AK153" s="8"/>
      <c r="AL153" s="8"/>
      <c r="AM153" s="8"/>
      <c r="AN153" s="8"/>
      <c r="AO153" s="8"/>
      <c r="AP153" s="8"/>
      <c r="AQ153" s="8"/>
      <c r="AR153" s="8"/>
      <c r="AS153" s="10"/>
      <c r="AT153" s="8"/>
      <c r="AU153" s="8"/>
      <c r="AV153" s="10"/>
      <c r="AW153" s="8"/>
      <c r="AX153" s="8"/>
      <c r="AY153" s="10"/>
      <c r="AZ153" s="8"/>
      <c r="BA153" s="8"/>
      <c r="BB153" s="10"/>
    </row>
    <row r="154" ht="15.75" customHeight="1">
      <c r="A154" s="35"/>
      <c r="B154" s="36">
        <f t="shared" si="1"/>
        <v>0</v>
      </c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  <c r="AC154" s="8"/>
      <c r="AD154" s="8"/>
      <c r="AE154" s="8"/>
      <c r="AF154" s="8"/>
      <c r="AG154" s="8"/>
      <c r="AH154" s="8"/>
      <c r="AI154" s="8"/>
      <c r="AJ154" s="8"/>
      <c r="AK154" s="8"/>
      <c r="AL154" s="8"/>
      <c r="AM154" s="8"/>
      <c r="AN154" s="8"/>
      <c r="AO154" s="8"/>
      <c r="AP154" s="8"/>
      <c r="AQ154" s="8"/>
      <c r="AR154" s="8"/>
      <c r="AS154" s="10"/>
      <c r="AT154" s="8"/>
      <c r="AU154" s="8"/>
      <c r="AV154" s="10"/>
      <c r="AW154" s="8"/>
      <c r="AX154" s="8"/>
      <c r="AY154" s="10"/>
      <c r="AZ154" s="8"/>
      <c r="BA154" s="8"/>
      <c r="BB154" s="10"/>
    </row>
    <row r="155" ht="15.75" customHeight="1">
      <c r="A155" s="35"/>
      <c r="B155" s="36">
        <f t="shared" si="1"/>
        <v>0</v>
      </c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  <c r="AC155" s="8"/>
      <c r="AD155" s="8"/>
      <c r="AE155" s="8"/>
      <c r="AF155" s="8"/>
      <c r="AG155" s="8"/>
      <c r="AH155" s="8"/>
      <c r="AI155" s="8"/>
      <c r="AJ155" s="8"/>
      <c r="AK155" s="8"/>
      <c r="AL155" s="8"/>
      <c r="AM155" s="8"/>
      <c r="AN155" s="8"/>
      <c r="AO155" s="8"/>
      <c r="AP155" s="8"/>
      <c r="AQ155" s="8"/>
      <c r="AR155" s="8"/>
      <c r="AS155" s="10"/>
      <c r="AT155" s="8"/>
      <c r="AU155" s="8"/>
      <c r="AV155" s="10"/>
      <c r="AW155" s="8"/>
      <c r="AX155" s="8"/>
      <c r="AY155" s="10"/>
      <c r="AZ155" s="8"/>
      <c r="BA155" s="8"/>
      <c r="BB155" s="10"/>
    </row>
    <row r="156" ht="15.75" customHeight="1">
      <c r="A156" s="35"/>
      <c r="B156" s="36">
        <f t="shared" si="1"/>
        <v>0</v>
      </c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  <c r="AC156" s="8"/>
      <c r="AD156" s="8"/>
      <c r="AE156" s="8"/>
      <c r="AF156" s="8"/>
      <c r="AG156" s="8"/>
      <c r="AH156" s="8"/>
      <c r="AI156" s="8"/>
      <c r="AJ156" s="8"/>
      <c r="AK156" s="8"/>
      <c r="AL156" s="8"/>
      <c r="AM156" s="8"/>
      <c r="AN156" s="8"/>
      <c r="AO156" s="8"/>
      <c r="AP156" s="8"/>
      <c r="AQ156" s="8"/>
      <c r="AR156" s="8"/>
      <c r="AS156" s="10"/>
      <c r="AT156" s="8"/>
      <c r="AU156" s="8"/>
      <c r="AV156" s="10"/>
      <c r="AW156" s="8"/>
      <c r="AX156" s="8"/>
      <c r="AY156" s="10"/>
      <c r="AZ156" s="8"/>
      <c r="BA156" s="8"/>
      <c r="BB156" s="10"/>
    </row>
    <row r="157" ht="15.75" customHeight="1">
      <c r="A157" s="35"/>
      <c r="B157" s="36">
        <f t="shared" si="1"/>
        <v>0</v>
      </c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  <c r="AE157" s="8"/>
      <c r="AF157" s="8"/>
      <c r="AG157" s="8"/>
      <c r="AH157" s="8"/>
      <c r="AI157" s="8"/>
      <c r="AJ157" s="8"/>
      <c r="AK157" s="8"/>
      <c r="AL157" s="8"/>
      <c r="AM157" s="8"/>
      <c r="AN157" s="8"/>
      <c r="AO157" s="8"/>
      <c r="AP157" s="8"/>
      <c r="AQ157" s="8"/>
      <c r="AR157" s="8"/>
      <c r="AS157" s="10"/>
      <c r="AT157" s="8"/>
      <c r="AU157" s="8"/>
      <c r="AV157" s="10"/>
      <c r="AW157" s="8"/>
      <c r="AX157" s="8"/>
      <c r="AY157" s="10"/>
      <c r="AZ157" s="8"/>
      <c r="BA157" s="8"/>
      <c r="BB157" s="10"/>
    </row>
    <row r="158" ht="15.75" customHeight="1">
      <c r="A158" s="35"/>
      <c r="B158" s="36">
        <f t="shared" si="1"/>
        <v>0</v>
      </c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  <c r="AD158" s="8"/>
      <c r="AE158" s="8"/>
      <c r="AF158" s="8"/>
      <c r="AG158" s="8"/>
      <c r="AH158" s="8"/>
      <c r="AI158" s="8"/>
      <c r="AJ158" s="8"/>
      <c r="AK158" s="8"/>
      <c r="AL158" s="8"/>
      <c r="AM158" s="8"/>
      <c r="AN158" s="8"/>
      <c r="AO158" s="8"/>
      <c r="AP158" s="8"/>
      <c r="AQ158" s="8"/>
      <c r="AR158" s="8"/>
      <c r="AS158" s="10"/>
      <c r="AT158" s="8"/>
      <c r="AU158" s="8"/>
      <c r="AV158" s="10"/>
      <c r="AW158" s="8"/>
      <c r="AX158" s="8"/>
      <c r="AY158" s="10"/>
      <c r="AZ158" s="8"/>
      <c r="BA158" s="8"/>
      <c r="BB158" s="10"/>
    </row>
    <row r="159" ht="15.75" customHeight="1">
      <c r="A159" s="35"/>
      <c r="B159" s="36">
        <f t="shared" si="1"/>
        <v>0</v>
      </c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  <c r="AC159" s="8"/>
      <c r="AD159" s="8"/>
      <c r="AE159" s="8"/>
      <c r="AF159" s="8"/>
      <c r="AG159" s="8"/>
      <c r="AH159" s="8"/>
      <c r="AI159" s="8"/>
      <c r="AJ159" s="8"/>
      <c r="AK159" s="8"/>
      <c r="AL159" s="8"/>
      <c r="AM159" s="8"/>
      <c r="AN159" s="8"/>
      <c r="AO159" s="8"/>
      <c r="AP159" s="8"/>
      <c r="AQ159" s="8"/>
      <c r="AR159" s="8"/>
      <c r="AS159" s="10"/>
      <c r="AT159" s="8"/>
      <c r="AU159" s="8"/>
      <c r="AV159" s="10"/>
      <c r="AW159" s="8"/>
      <c r="AX159" s="8"/>
      <c r="AY159" s="10"/>
      <c r="AZ159" s="8"/>
      <c r="BA159" s="8"/>
      <c r="BB159" s="10"/>
    </row>
    <row r="160" ht="15.75" customHeight="1">
      <c r="A160" s="35"/>
      <c r="B160" s="36">
        <f t="shared" si="1"/>
        <v>0</v>
      </c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  <c r="AC160" s="8"/>
      <c r="AD160" s="8"/>
      <c r="AE160" s="8"/>
      <c r="AF160" s="8"/>
      <c r="AG160" s="8"/>
      <c r="AH160" s="8"/>
      <c r="AI160" s="8"/>
      <c r="AJ160" s="8"/>
      <c r="AK160" s="8"/>
      <c r="AL160" s="8"/>
      <c r="AM160" s="8"/>
      <c r="AN160" s="8"/>
      <c r="AO160" s="8"/>
      <c r="AP160" s="8"/>
      <c r="AQ160" s="8"/>
      <c r="AR160" s="8"/>
      <c r="AS160" s="10"/>
      <c r="AT160" s="8"/>
      <c r="AU160" s="8"/>
      <c r="AV160" s="10"/>
      <c r="AW160" s="8"/>
      <c r="AX160" s="8"/>
      <c r="AY160" s="10"/>
      <c r="AZ160" s="8"/>
      <c r="BA160" s="8"/>
      <c r="BB160" s="10"/>
    </row>
    <row r="161" ht="15.75" customHeight="1">
      <c r="A161" s="35"/>
      <c r="B161" s="36">
        <f t="shared" si="1"/>
        <v>0</v>
      </c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  <c r="AC161" s="8"/>
      <c r="AD161" s="8"/>
      <c r="AE161" s="8"/>
      <c r="AF161" s="8"/>
      <c r="AG161" s="8"/>
      <c r="AH161" s="8"/>
      <c r="AI161" s="8"/>
      <c r="AJ161" s="8"/>
      <c r="AK161" s="8"/>
      <c r="AL161" s="8"/>
      <c r="AM161" s="8"/>
      <c r="AN161" s="8"/>
      <c r="AO161" s="8"/>
      <c r="AP161" s="8"/>
      <c r="AQ161" s="8"/>
      <c r="AR161" s="8"/>
      <c r="AS161" s="10"/>
      <c r="AT161" s="8"/>
      <c r="AU161" s="8"/>
      <c r="AV161" s="10"/>
      <c r="AW161" s="8"/>
      <c r="AX161" s="8"/>
      <c r="AY161" s="10"/>
      <c r="AZ161" s="8"/>
      <c r="BA161" s="8"/>
      <c r="BB161" s="10"/>
    </row>
    <row r="162" ht="15.75" customHeight="1">
      <c r="A162" s="35"/>
      <c r="B162" s="36">
        <f t="shared" si="1"/>
        <v>0</v>
      </c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8"/>
      <c r="AC162" s="8"/>
      <c r="AD162" s="8"/>
      <c r="AE162" s="8"/>
      <c r="AF162" s="8"/>
      <c r="AG162" s="8"/>
      <c r="AH162" s="8"/>
      <c r="AI162" s="8"/>
      <c r="AJ162" s="8"/>
      <c r="AK162" s="8"/>
      <c r="AL162" s="8"/>
      <c r="AM162" s="8"/>
      <c r="AN162" s="8"/>
      <c r="AO162" s="8"/>
      <c r="AP162" s="8"/>
      <c r="AQ162" s="8"/>
      <c r="AR162" s="8"/>
      <c r="AS162" s="10"/>
      <c r="AT162" s="8"/>
      <c r="AU162" s="8"/>
      <c r="AV162" s="10"/>
      <c r="AW162" s="8"/>
      <c r="AX162" s="8"/>
      <c r="AY162" s="10"/>
      <c r="AZ162" s="8"/>
      <c r="BA162" s="8"/>
      <c r="BB162" s="10"/>
    </row>
    <row r="163" ht="15.75" customHeight="1">
      <c r="A163" s="35"/>
      <c r="B163" s="36">
        <f t="shared" si="1"/>
        <v>0</v>
      </c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  <c r="AB163" s="8"/>
      <c r="AC163" s="8"/>
      <c r="AD163" s="8"/>
      <c r="AE163" s="8"/>
      <c r="AF163" s="8"/>
      <c r="AG163" s="8"/>
      <c r="AH163" s="8"/>
      <c r="AI163" s="8"/>
      <c r="AJ163" s="8"/>
      <c r="AK163" s="8"/>
      <c r="AL163" s="8"/>
      <c r="AM163" s="8"/>
      <c r="AN163" s="8"/>
      <c r="AO163" s="8"/>
      <c r="AP163" s="8"/>
      <c r="AQ163" s="8"/>
      <c r="AR163" s="8"/>
      <c r="AS163" s="10"/>
      <c r="AT163" s="8"/>
      <c r="AU163" s="8"/>
      <c r="AV163" s="10"/>
      <c r="AW163" s="8"/>
      <c r="AX163" s="8"/>
      <c r="AY163" s="10"/>
      <c r="AZ163" s="8"/>
      <c r="BA163" s="8"/>
      <c r="BB163" s="10"/>
    </row>
    <row r="164" ht="15.75" customHeight="1">
      <c r="A164" s="35"/>
      <c r="B164" s="36">
        <f t="shared" si="1"/>
        <v>0</v>
      </c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  <c r="AB164" s="8"/>
      <c r="AC164" s="8"/>
      <c r="AD164" s="8"/>
      <c r="AE164" s="8"/>
      <c r="AF164" s="8"/>
      <c r="AG164" s="8"/>
      <c r="AH164" s="8"/>
      <c r="AI164" s="8"/>
      <c r="AJ164" s="8"/>
      <c r="AK164" s="8"/>
      <c r="AL164" s="8"/>
      <c r="AM164" s="8"/>
      <c r="AN164" s="8"/>
      <c r="AO164" s="8"/>
      <c r="AP164" s="8"/>
      <c r="AQ164" s="8"/>
      <c r="AR164" s="8"/>
      <c r="AS164" s="10"/>
      <c r="AT164" s="8"/>
      <c r="AU164" s="8"/>
      <c r="AV164" s="10"/>
      <c r="AW164" s="8"/>
      <c r="AX164" s="8"/>
      <c r="AY164" s="10"/>
      <c r="AZ164" s="8"/>
      <c r="BA164" s="8"/>
      <c r="BB164" s="10"/>
    </row>
    <row r="165" ht="15.75" customHeight="1">
      <c r="A165" s="35"/>
      <c r="B165" s="36">
        <f t="shared" si="1"/>
        <v>0</v>
      </c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  <c r="AB165" s="8"/>
      <c r="AC165" s="8"/>
      <c r="AD165" s="8"/>
      <c r="AE165" s="8"/>
      <c r="AF165" s="8"/>
      <c r="AG165" s="8"/>
      <c r="AH165" s="8"/>
      <c r="AI165" s="8"/>
      <c r="AJ165" s="8"/>
      <c r="AK165" s="8"/>
      <c r="AL165" s="8"/>
      <c r="AM165" s="8"/>
      <c r="AN165" s="8"/>
      <c r="AO165" s="8"/>
      <c r="AP165" s="8"/>
      <c r="AQ165" s="8"/>
      <c r="AR165" s="8"/>
      <c r="AS165" s="10"/>
      <c r="AT165" s="8"/>
      <c r="AU165" s="8"/>
      <c r="AV165" s="10"/>
      <c r="AW165" s="8"/>
      <c r="AX165" s="8"/>
      <c r="AY165" s="10"/>
      <c r="AZ165" s="8"/>
      <c r="BA165" s="8"/>
      <c r="BB165" s="10"/>
    </row>
    <row r="166" ht="15.75" customHeight="1">
      <c r="A166" s="35"/>
      <c r="B166" s="36">
        <f t="shared" si="1"/>
        <v>0</v>
      </c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  <c r="AB166" s="8"/>
      <c r="AC166" s="8"/>
      <c r="AD166" s="8"/>
      <c r="AE166" s="8"/>
      <c r="AF166" s="8"/>
      <c r="AG166" s="8"/>
      <c r="AH166" s="8"/>
      <c r="AI166" s="8"/>
      <c r="AJ166" s="8"/>
      <c r="AK166" s="8"/>
      <c r="AL166" s="8"/>
      <c r="AM166" s="8"/>
      <c r="AN166" s="8"/>
      <c r="AO166" s="8"/>
      <c r="AP166" s="8"/>
      <c r="AQ166" s="8"/>
      <c r="AR166" s="8"/>
      <c r="AS166" s="10"/>
      <c r="AT166" s="8"/>
      <c r="AU166" s="8"/>
      <c r="AV166" s="10"/>
      <c r="AW166" s="8"/>
      <c r="AX166" s="8"/>
      <c r="AY166" s="10"/>
      <c r="AZ166" s="8"/>
      <c r="BA166" s="8"/>
      <c r="BB166" s="10"/>
    </row>
    <row r="167" ht="15.75" customHeight="1">
      <c r="A167" s="35"/>
      <c r="B167" s="36">
        <f t="shared" si="1"/>
        <v>0</v>
      </c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  <c r="AC167" s="8"/>
      <c r="AD167" s="8"/>
      <c r="AE167" s="8"/>
      <c r="AF167" s="8"/>
      <c r="AG167" s="8"/>
      <c r="AH167" s="8"/>
      <c r="AI167" s="8"/>
      <c r="AJ167" s="8"/>
      <c r="AK167" s="8"/>
      <c r="AL167" s="8"/>
      <c r="AM167" s="8"/>
      <c r="AN167" s="8"/>
      <c r="AO167" s="8"/>
      <c r="AP167" s="8"/>
      <c r="AQ167" s="8"/>
      <c r="AR167" s="8"/>
      <c r="AS167" s="10"/>
      <c r="AT167" s="8"/>
      <c r="AU167" s="8"/>
      <c r="AV167" s="10"/>
      <c r="AW167" s="8"/>
      <c r="AX167" s="8"/>
      <c r="AY167" s="10"/>
      <c r="AZ167" s="8"/>
      <c r="BA167" s="8"/>
      <c r="BB167" s="10"/>
    </row>
    <row r="168" ht="15.75" customHeight="1">
      <c r="A168" s="35"/>
      <c r="B168" s="36">
        <f t="shared" si="1"/>
        <v>0</v>
      </c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  <c r="AB168" s="8"/>
      <c r="AC168" s="8"/>
      <c r="AD168" s="8"/>
      <c r="AE168" s="8"/>
      <c r="AF168" s="8"/>
      <c r="AG168" s="8"/>
      <c r="AH168" s="8"/>
      <c r="AI168" s="8"/>
      <c r="AJ168" s="8"/>
      <c r="AK168" s="8"/>
      <c r="AL168" s="8"/>
      <c r="AM168" s="8"/>
      <c r="AN168" s="8"/>
      <c r="AO168" s="8"/>
      <c r="AP168" s="8"/>
      <c r="AQ168" s="8"/>
      <c r="AR168" s="8"/>
      <c r="AS168" s="10"/>
      <c r="AT168" s="8"/>
      <c r="AU168" s="8"/>
      <c r="AV168" s="10"/>
      <c r="AW168" s="8"/>
      <c r="AX168" s="8"/>
      <c r="AY168" s="10"/>
      <c r="AZ168" s="8"/>
      <c r="BA168" s="8"/>
      <c r="BB168" s="10"/>
    </row>
    <row r="169" ht="15.75" customHeight="1">
      <c r="A169" s="35"/>
      <c r="B169" s="36">
        <f t="shared" si="1"/>
        <v>0</v>
      </c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8"/>
      <c r="AC169" s="8"/>
      <c r="AD169" s="8"/>
      <c r="AE169" s="8"/>
      <c r="AF169" s="8"/>
      <c r="AG169" s="8"/>
      <c r="AH169" s="8"/>
      <c r="AI169" s="8"/>
      <c r="AJ169" s="8"/>
      <c r="AK169" s="8"/>
      <c r="AL169" s="8"/>
      <c r="AM169" s="8"/>
      <c r="AN169" s="8"/>
      <c r="AO169" s="8"/>
      <c r="AP169" s="8"/>
      <c r="AQ169" s="8"/>
      <c r="AR169" s="8"/>
      <c r="AS169" s="10"/>
      <c r="AT169" s="8"/>
      <c r="AU169" s="8"/>
      <c r="AV169" s="10"/>
      <c r="AW169" s="8"/>
      <c r="AX169" s="8"/>
      <c r="AY169" s="10"/>
      <c r="AZ169" s="8"/>
      <c r="BA169" s="8"/>
      <c r="BB169" s="10"/>
    </row>
    <row r="170" ht="15.75" customHeight="1">
      <c r="A170" s="35"/>
      <c r="B170" s="36">
        <f t="shared" si="1"/>
        <v>0</v>
      </c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8"/>
      <c r="AC170" s="8"/>
      <c r="AD170" s="8"/>
      <c r="AE170" s="8"/>
      <c r="AF170" s="8"/>
      <c r="AG170" s="8"/>
      <c r="AH170" s="8"/>
      <c r="AI170" s="8"/>
      <c r="AJ170" s="8"/>
      <c r="AK170" s="8"/>
      <c r="AL170" s="8"/>
      <c r="AM170" s="8"/>
      <c r="AN170" s="8"/>
      <c r="AO170" s="8"/>
      <c r="AP170" s="8"/>
      <c r="AQ170" s="8"/>
      <c r="AR170" s="8"/>
      <c r="AS170" s="10"/>
      <c r="AT170" s="8"/>
      <c r="AU170" s="8"/>
      <c r="AV170" s="10"/>
      <c r="AW170" s="8"/>
      <c r="AX170" s="8"/>
      <c r="AY170" s="10"/>
      <c r="AZ170" s="8"/>
      <c r="BA170" s="8"/>
      <c r="BB170" s="10"/>
    </row>
    <row r="171" ht="15.75" customHeight="1">
      <c r="A171" s="35"/>
      <c r="B171" s="36">
        <f t="shared" si="1"/>
        <v>0</v>
      </c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  <c r="AC171" s="8"/>
      <c r="AD171" s="8"/>
      <c r="AE171" s="8"/>
      <c r="AF171" s="8"/>
      <c r="AG171" s="8"/>
      <c r="AH171" s="8"/>
      <c r="AI171" s="8"/>
      <c r="AJ171" s="8"/>
      <c r="AK171" s="8"/>
      <c r="AL171" s="8"/>
      <c r="AM171" s="8"/>
      <c r="AN171" s="8"/>
      <c r="AO171" s="8"/>
      <c r="AP171" s="8"/>
      <c r="AQ171" s="8"/>
      <c r="AR171" s="8"/>
      <c r="AS171" s="10"/>
      <c r="AT171" s="8"/>
      <c r="AU171" s="8"/>
      <c r="AV171" s="10"/>
      <c r="AW171" s="8"/>
      <c r="AX171" s="8"/>
      <c r="AY171" s="10"/>
      <c r="AZ171" s="8"/>
      <c r="BA171" s="8"/>
      <c r="BB171" s="10"/>
    </row>
    <row r="172" ht="15.75" customHeight="1">
      <c r="A172" s="35"/>
      <c r="B172" s="36">
        <f t="shared" si="1"/>
        <v>0</v>
      </c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  <c r="AC172" s="8"/>
      <c r="AD172" s="8"/>
      <c r="AE172" s="8"/>
      <c r="AF172" s="8"/>
      <c r="AG172" s="8"/>
      <c r="AH172" s="8"/>
      <c r="AI172" s="8"/>
      <c r="AJ172" s="8"/>
      <c r="AK172" s="8"/>
      <c r="AL172" s="8"/>
      <c r="AM172" s="8"/>
      <c r="AN172" s="8"/>
      <c r="AO172" s="8"/>
      <c r="AP172" s="8"/>
      <c r="AQ172" s="8"/>
      <c r="AR172" s="8"/>
      <c r="AS172" s="10"/>
      <c r="AT172" s="8"/>
      <c r="AU172" s="8"/>
      <c r="AV172" s="10"/>
      <c r="AW172" s="8"/>
      <c r="AX172" s="8"/>
      <c r="AY172" s="10"/>
      <c r="AZ172" s="8"/>
      <c r="BA172" s="8"/>
      <c r="BB172" s="10"/>
    </row>
    <row r="173" ht="15.75" customHeight="1">
      <c r="A173" s="35"/>
      <c r="B173" s="36">
        <f t="shared" si="1"/>
        <v>0</v>
      </c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  <c r="AC173" s="8"/>
      <c r="AD173" s="8"/>
      <c r="AE173" s="8"/>
      <c r="AF173" s="8"/>
      <c r="AG173" s="8"/>
      <c r="AH173" s="8"/>
      <c r="AI173" s="8"/>
      <c r="AJ173" s="8"/>
      <c r="AK173" s="8"/>
      <c r="AL173" s="8"/>
      <c r="AM173" s="8"/>
      <c r="AN173" s="8"/>
      <c r="AO173" s="8"/>
      <c r="AP173" s="8"/>
      <c r="AQ173" s="8"/>
      <c r="AR173" s="8"/>
      <c r="AS173" s="10"/>
      <c r="AT173" s="8"/>
      <c r="AU173" s="8"/>
      <c r="AV173" s="10"/>
      <c r="AW173" s="8"/>
      <c r="AX173" s="8"/>
      <c r="AY173" s="10"/>
      <c r="AZ173" s="8"/>
      <c r="BA173" s="8"/>
      <c r="BB173" s="10"/>
    </row>
    <row r="174" ht="15.75" customHeight="1">
      <c r="A174" s="35"/>
      <c r="B174" s="36">
        <f t="shared" si="1"/>
        <v>0</v>
      </c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  <c r="AC174" s="8"/>
      <c r="AD174" s="8"/>
      <c r="AE174" s="8"/>
      <c r="AF174" s="8"/>
      <c r="AG174" s="8"/>
      <c r="AH174" s="8"/>
      <c r="AI174" s="8"/>
      <c r="AJ174" s="8"/>
      <c r="AK174" s="8"/>
      <c r="AL174" s="8"/>
      <c r="AM174" s="8"/>
      <c r="AN174" s="8"/>
      <c r="AO174" s="8"/>
      <c r="AP174" s="8"/>
      <c r="AQ174" s="8"/>
      <c r="AR174" s="8"/>
      <c r="AS174" s="10"/>
      <c r="AT174" s="8"/>
      <c r="AU174" s="8"/>
      <c r="AV174" s="10"/>
      <c r="AW174" s="8"/>
      <c r="AX174" s="8"/>
      <c r="AY174" s="10"/>
      <c r="AZ174" s="8"/>
      <c r="BA174" s="8"/>
      <c r="BB174" s="10"/>
    </row>
    <row r="175" ht="15.75" customHeight="1">
      <c r="A175" s="35"/>
      <c r="B175" s="36">
        <f t="shared" si="1"/>
        <v>0</v>
      </c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  <c r="AC175" s="8"/>
      <c r="AD175" s="8"/>
      <c r="AE175" s="8"/>
      <c r="AF175" s="8"/>
      <c r="AG175" s="8"/>
      <c r="AH175" s="8"/>
      <c r="AI175" s="8"/>
      <c r="AJ175" s="8"/>
      <c r="AK175" s="8"/>
      <c r="AL175" s="8"/>
      <c r="AM175" s="8"/>
      <c r="AN175" s="8"/>
      <c r="AO175" s="8"/>
      <c r="AP175" s="8"/>
      <c r="AQ175" s="8"/>
      <c r="AR175" s="8"/>
      <c r="AS175" s="10"/>
      <c r="AT175" s="8"/>
      <c r="AU175" s="8"/>
      <c r="AV175" s="10"/>
      <c r="AW175" s="8"/>
      <c r="AX175" s="8"/>
      <c r="AY175" s="10"/>
      <c r="AZ175" s="8"/>
      <c r="BA175" s="8"/>
      <c r="BB175" s="10"/>
    </row>
    <row r="176" ht="15.75" customHeight="1">
      <c r="A176" s="35"/>
      <c r="B176" s="36">
        <f t="shared" si="1"/>
        <v>0</v>
      </c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  <c r="AC176" s="8"/>
      <c r="AD176" s="8"/>
      <c r="AE176" s="8"/>
      <c r="AF176" s="8"/>
      <c r="AG176" s="8"/>
      <c r="AH176" s="8"/>
      <c r="AI176" s="8"/>
      <c r="AJ176" s="8"/>
      <c r="AK176" s="8"/>
      <c r="AL176" s="8"/>
      <c r="AM176" s="8"/>
      <c r="AN176" s="8"/>
      <c r="AO176" s="8"/>
      <c r="AP176" s="8"/>
      <c r="AQ176" s="8"/>
      <c r="AR176" s="8"/>
      <c r="AS176" s="10"/>
      <c r="AT176" s="8"/>
      <c r="AU176" s="8"/>
      <c r="AV176" s="10"/>
      <c r="AW176" s="8"/>
      <c r="AX176" s="8"/>
      <c r="AY176" s="10"/>
      <c r="AZ176" s="8"/>
      <c r="BA176" s="8"/>
      <c r="BB176" s="10"/>
    </row>
    <row r="177" ht="15.75" customHeight="1">
      <c r="A177" s="35"/>
      <c r="B177" s="36">
        <f t="shared" si="1"/>
        <v>0</v>
      </c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  <c r="AC177" s="8"/>
      <c r="AD177" s="8"/>
      <c r="AE177" s="8"/>
      <c r="AF177" s="8"/>
      <c r="AG177" s="8"/>
      <c r="AH177" s="8"/>
      <c r="AI177" s="8"/>
      <c r="AJ177" s="8"/>
      <c r="AK177" s="8"/>
      <c r="AL177" s="8"/>
      <c r="AM177" s="8"/>
      <c r="AN177" s="8"/>
      <c r="AO177" s="8"/>
      <c r="AP177" s="8"/>
      <c r="AQ177" s="8"/>
      <c r="AR177" s="8"/>
      <c r="AS177" s="10"/>
      <c r="AT177" s="8"/>
      <c r="AU177" s="8"/>
      <c r="AV177" s="10"/>
      <c r="AW177" s="8"/>
      <c r="AX177" s="8"/>
      <c r="AY177" s="10"/>
      <c r="AZ177" s="8"/>
      <c r="BA177" s="8"/>
      <c r="BB177" s="10"/>
    </row>
    <row r="178" ht="15.75" customHeight="1">
      <c r="A178" s="35"/>
      <c r="B178" s="36">
        <f t="shared" si="1"/>
        <v>0</v>
      </c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  <c r="AC178" s="8"/>
      <c r="AD178" s="8"/>
      <c r="AE178" s="8"/>
      <c r="AF178" s="8"/>
      <c r="AG178" s="8"/>
      <c r="AH178" s="8"/>
      <c r="AI178" s="8"/>
      <c r="AJ178" s="8"/>
      <c r="AK178" s="8"/>
      <c r="AL178" s="8"/>
      <c r="AM178" s="8"/>
      <c r="AN178" s="8"/>
      <c r="AO178" s="8"/>
      <c r="AP178" s="8"/>
      <c r="AQ178" s="8"/>
      <c r="AR178" s="8"/>
      <c r="AS178" s="10"/>
      <c r="AT178" s="8"/>
      <c r="AU178" s="8"/>
      <c r="AV178" s="10"/>
      <c r="AW178" s="8"/>
      <c r="AX178" s="8"/>
      <c r="AY178" s="10"/>
      <c r="AZ178" s="8"/>
      <c r="BA178" s="8"/>
      <c r="BB178" s="10"/>
    </row>
    <row r="179" ht="15.75" customHeight="1">
      <c r="A179" s="35"/>
      <c r="B179" s="36">
        <f t="shared" si="1"/>
        <v>0</v>
      </c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  <c r="AC179" s="8"/>
      <c r="AD179" s="8"/>
      <c r="AE179" s="8"/>
      <c r="AF179" s="8"/>
      <c r="AG179" s="8"/>
      <c r="AH179" s="8"/>
      <c r="AI179" s="8"/>
      <c r="AJ179" s="8"/>
      <c r="AK179" s="8"/>
      <c r="AL179" s="8"/>
      <c r="AM179" s="8"/>
      <c r="AN179" s="8"/>
      <c r="AO179" s="8"/>
      <c r="AP179" s="8"/>
      <c r="AQ179" s="8"/>
      <c r="AR179" s="8"/>
      <c r="AS179" s="10"/>
      <c r="AT179" s="8"/>
      <c r="AU179" s="8"/>
      <c r="AV179" s="10"/>
      <c r="AW179" s="8"/>
      <c r="AX179" s="8"/>
      <c r="AY179" s="10"/>
      <c r="AZ179" s="8"/>
      <c r="BA179" s="8"/>
      <c r="BB179" s="10"/>
    </row>
    <row r="180" ht="15.75" customHeight="1">
      <c r="A180" s="35"/>
      <c r="B180" s="36">
        <f t="shared" si="1"/>
        <v>0</v>
      </c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  <c r="AC180" s="8"/>
      <c r="AD180" s="8"/>
      <c r="AE180" s="8"/>
      <c r="AF180" s="8"/>
      <c r="AG180" s="8"/>
      <c r="AH180" s="8"/>
      <c r="AI180" s="8"/>
      <c r="AJ180" s="8"/>
      <c r="AK180" s="8"/>
      <c r="AL180" s="8"/>
      <c r="AM180" s="8"/>
      <c r="AN180" s="8"/>
      <c r="AO180" s="8"/>
      <c r="AP180" s="8"/>
      <c r="AQ180" s="8"/>
      <c r="AR180" s="8"/>
      <c r="AS180" s="10"/>
      <c r="AT180" s="8"/>
      <c r="AU180" s="8"/>
      <c r="AV180" s="10"/>
      <c r="AW180" s="8"/>
      <c r="AX180" s="8"/>
      <c r="AY180" s="10"/>
      <c r="AZ180" s="8"/>
      <c r="BA180" s="8"/>
      <c r="BB180" s="10"/>
    </row>
    <row r="181" ht="15.75" customHeight="1">
      <c r="A181" s="35"/>
      <c r="B181" s="36">
        <f t="shared" si="1"/>
        <v>0</v>
      </c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  <c r="AC181" s="8"/>
      <c r="AD181" s="8"/>
      <c r="AE181" s="8"/>
      <c r="AF181" s="8"/>
      <c r="AG181" s="8"/>
      <c r="AH181" s="8"/>
      <c r="AI181" s="8"/>
      <c r="AJ181" s="8"/>
      <c r="AK181" s="8"/>
      <c r="AL181" s="8"/>
      <c r="AM181" s="8"/>
      <c r="AN181" s="8"/>
      <c r="AO181" s="8"/>
      <c r="AP181" s="8"/>
      <c r="AQ181" s="8"/>
      <c r="AR181" s="8"/>
      <c r="AS181" s="10"/>
      <c r="AT181" s="8"/>
      <c r="AU181" s="8"/>
      <c r="AV181" s="10"/>
      <c r="AW181" s="8"/>
      <c r="AX181" s="8"/>
      <c r="AY181" s="10"/>
      <c r="AZ181" s="8"/>
      <c r="BA181" s="8"/>
      <c r="BB181" s="10"/>
    </row>
    <row r="182" ht="15.75" customHeight="1">
      <c r="A182" s="35"/>
      <c r="B182" s="36">
        <f t="shared" si="1"/>
        <v>0</v>
      </c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  <c r="AC182" s="8"/>
      <c r="AD182" s="8"/>
      <c r="AE182" s="8"/>
      <c r="AF182" s="8"/>
      <c r="AG182" s="8"/>
      <c r="AH182" s="8"/>
      <c r="AI182" s="8"/>
      <c r="AJ182" s="8"/>
      <c r="AK182" s="8"/>
      <c r="AL182" s="8"/>
      <c r="AM182" s="8"/>
      <c r="AN182" s="8"/>
      <c r="AO182" s="8"/>
      <c r="AP182" s="8"/>
      <c r="AQ182" s="8"/>
      <c r="AR182" s="8"/>
      <c r="AS182" s="10"/>
      <c r="AT182" s="8"/>
      <c r="AU182" s="8"/>
      <c r="AV182" s="10"/>
      <c r="AW182" s="8"/>
      <c r="AX182" s="8"/>
      <c r="AY182" s="10"/>
      <c r="AZ182" s="8"/>
      <c r="BA182" s="8"/>
      <c r="BB182" s="10"/>
    </row>
    <row r="183" ht="15.75" customHeight="1">
      <c r="A183" s="35"/>
      <c r="B183" s="36">
        <f t="shared" si="1"/>
        <v>0</v>
      </c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  <c r="AC183" s="8"/>
      <c r="AD183" s="8"/>
      <c r="AE183" s="8"/>
      <c r="AF183" s="8"/>
      <c r="AG183" s="8"/>
      <c r="AH183" s="8"/>
      <c r="AI183" s="8"/>
      <c r="AJ183" s="8"/>
      <c r="AK183" s="8"/>
      <c r="AL183" s="8"/>
      <c r="AM183" s="8"/>
      <c r="AN183" s="8"/>
      <c r="AO183" s="8"/>
      <c r="AP183" s="8"/>
      <c r="AQ183" s="8"/>
      <c r="AR183" s="8"/>
      <c r="AS183" s="10"/>
      <c r="AT183" s="8"/>
      <c r="AU183" s="8"/>
      <c r="AV183" s="10"/>
      <c r="AW183" s="8"/>
      <c r="AX183" s="8"/>
      <c r="AY183" s="10"/>
      <c r="AZ183" s="8"/>
      <c r="BA183" s="8"/>
      <c r="BB183" s="10"/>
    </row>
    <row r="184" ht="15.75" customHeight="1">
      <c r="A184" s="35"/>
      <c r="B184" s="36">
        <f t="shared" si="1"/>
        <v>0</v>
      </c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  <c r="AC184" s="8"/>
      <c r="AD184" s="8"/>
      <c r="AE184" s="8"/>
      <c r="AF184" s="8"/>
      <c r="AG184" s="8"/>
      <c r="AH184" s="8"/>
      <c r="AI184" s="8"/>
      <c r="AJ184" s="8"/>
      <c r="AK184" s="8"/>
      <c r="AL184" s="8"/>
      <c r="AM184" s="8"/>
      <c r="AN184" s="8"/>
      <c r="AO184" s="8"/>
      <c r="AP184" s="8"/>
      <c r="AQ184" s="8"/>
      <c r="AR184" s="8"/>
      <c r="AS184" s="10"/>
      <c r="AT184" s="8"/>
      <c r="AU184" s="8"/>
      <c r="AV184" s="10"/>
      <c r="AW184" s="8"/>
      <c r="AX184" s="8"/>
      <c r="AY184" s="10"/>
      <c r="AZ184" s="8"/>
      <c r="BA184" s="8"/>
      <c r="BB184" s="10"/>
    </row>
    <row r="185" ht="15.75" customHeight="1">
      <c r="A185" s="35"/>
      <c r="B185" s="36">
        <f t="shared" si="1"/>
        <v>0</v>
      </c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  <c r="AC185" s="8"/>
      <c r="AD185" s="8"/>
      <c r="AE185" s="8"/>
      <c r="AF185" s="8"/>
      <c r="AG185" s="8"/>
      <c r="AH185" s="8"/>
      <c r="AI185" s="8"/>
      <c r="AJ185" s="8"/>
      <c r="AK185" s="8"/>
      <c r="AL185" s="8"/>
      <c r="AM185" s="8"/>
      <c r="AN185" s="8"/>
      <c r="AO185" s="8"/>
      <c r="AP185" s="8"/>
      <c r="AQ185" s="8"/>
      <c r="AR185" s="8"/>
      <c r="AS185" s="10"/>
      <c r="AT185" s="8"/>
      <c r="AU185" s="8"/>
      <c r="AV185" s="10"/>
      <c r="AW185" s="8"/>
      <c r="AX185" s="8"/>
      <c r="AY185" s="10"/>
      <c r="AZ185" s="8"/>
      <c r="BA185" s="8"/>
      <c r="BB185" s="10"/>
    </row>
    <row r="186" ht="15.75" customHeight="1">
      <c r="A186" s="35"/>
      <c r="B186" s="36">
        <f t="shared" si="1"/>
        <v>0</v>
      </c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  <c r="AC186" s="8"/>
      <c r="AD186" s="8"/>
      <c r="AE186" s="8"/>
      <c r="AF186" s="8"/>
      <c r="AG186" s="8"/>
      <c r="AH186" s="8"/>
      <c r="AI186" s="8"/>
      <c r="AJ186" s="8"/>
      <c r="AK186" s="8"/>
      <c r="AL186" s="8"/>
      <c r="AM186" s="8"/>
      <c r="AN186" s="8"/>
      <c r="AO186" s="8"/>
      <c r="AP186" s="8"/>
      <c r="AQ186" s="8"/>
      <c r="AR186" s="8"/>
      <c r="AS186" s="10"/>
      <c r="AT186" s="8"/>
      <c r="AU186" s="8"/>
      <c r="AV186" s="10"/>
      <c r="AW186" s="8"/>
      <c r="AX186" s="8"/>
      <c r="AY186" s="10"/>
      <c r="AZ186" s="8"/>
      <c r="BA186" s="8"/>
      <c r="BB186" s="10"/>
    </row>
    <row r="187" ht="15.75" customHeight="1">
      <c r="A187" s="35"/>
      <c r="B187" s="36">
        <f t="shared" si="1"/>
        <v>0</v>
      </c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8"/>
      <c r="AD187" s="8"/>
      <c r="AE187" s="8"/>
      <c r="AF187" s="8"/>
      <c r="AG187" s="8"/>
      <c r="AH187" s="8"/>
      <c r="AI187" s="8"/>
      <c r="AJ187" s="8"/>
      <c r="AK187" s="8"/>
      <c r="AL187" s="8"/>
      <c r="AM187" s="8"/>
      <c r="AN187" s="8"/>
      <c r="AO187" s="8"/>
      <c r="AP187" s="8"/>
      <c r="AQ187" s="8"/>
      <c r="AR187" s="8"/>
      <c r="AS187" s="10"/>
      <c r="AT187" s="8"/>
      <c r="AU187" s="8"/>
      <c r="AV187" s="10"/>
      <c r="AW187" s="8"/>
      <c r="AX187" s="8"/>
      <c r="AY187" s="10"/>
      <c r="AZ187" s="8"/>
      <c r="BA187" s="8"/>
      <c r="BB187" s="10"/>
    </row>
    <row r="188" ht="15.75" customHeight="1">
      <c r="A188" s="35"/>
      <c r="B188" s="36">
        <f t="shared" si="1"/>
        <v>0</v>
      </c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  <c r="AD188" s="8"/>
      <c r="AE188" s="8"/>
      <c r="AF188" s="8"/>
      <c r="AG188" s="8"/>
      <c r="AH188" s="8"/>
      <c r="AI188" s="8"/>
      <c r="AJ188" s="8"/>
      <c r="AK188" s="8"/>
      <c r="AL188" s="8"/>
      <c r="AM188" s="8"/>
      <c r="AN188" s="8"/>
      <c r="AO188" s="8"/>
      <c r="AP188" s="8"/>
      <c r="AQ188" s="8"/>
      <c r="AR188" s="8"/>
      <c r="AS188" s="10"/>
      <c r="AT188" s="8"/>
      <c r="AU188" s="8"/>
      <c r="AV188" s="10"/>
      <c r="AW188" s="8"/>
      <c r="AX188" s="8"/>
      <c r="AY188" s="10"/>
      <c r="AZ188" s="8"/>
      <c r="BA188" s="8"/>
      <c r="BB188" s="10"/>
    </row>
    <row r="189" ht="15.75" customHeight="1">
      <c r="A189" s="35"/>
      <c r="B189" s="36">
        <f t="shared" si="1"/>
        <v>0</v>
      </c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  <c r="AC189" s="8"/>
      <c r="AD189" s="8"/>
      <c r="AE189" s="8"/>
      <c r="AF189" s="8"/>
      <c r="AG189" s="8"/>
      <c r="AH189" s="8"/>
      <c r="AI189" s="8"/>
      <c r="AJ189" s="8"/>
      <c r="AK189" s="8"/>
      <c r="AL189" s="8"/>
      <c r="AM189" s="8"/>
      <c r="AN189" s="8"/>
      <c r="AO189" s="8"/>
      <c r="AP189" s="8"/>
      <c r="AQ189" s="8"/>
      <c r="AR189" s="8"/>
      <c r="AS189" s="10"/>
      <c r="AT189" s="8"/>
      <c r="AU189" s="8"/>
      <c r="AV189" s="10"/>
      <c r="AW189" s="8"/>
      <c r="AX189" s="8"/>
      <c r="AY189" s="10"/>
      <c r="AZ189" s="8"/>
      <c r="BA189" s="8"/>
      <c r="BB189" s="10"/>
    </row>
    <row r="190" ht="15.75" customHeight="1">
      <c r="A190" s="35"/>
      <c r="B190" s="36">
        <f t="shared" si="1"/>
        <v>0</v>
      </c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  <c r="AC190" s="8"/>
      <c r="AD190" s="8"/>
      <c r="AE190" s="8"/>
      <c r="AF190" s="8"/>
      <c r="AG190" s="8"/>
      <c r="AH190" s="8"/>
      <c r="AI190" s="8"/>
      <c r="AJ190" s="8"/>
      <c r="AK190" s="8"/>
      <c r="AL190" s="8"/>
      <c r="AM190" s="8"/>
      <c r="AN190" s="8"/>
      <c r="AO190" s="8"/>
      <c r="AP190" s="8"/>
      <c r="AQ190" s="8"/>
      <c r="AR190" s="8"/>
      <c r="AS190" s="10"/>
      <c r="AT190" s="8"/>
      <c r="AU190" s="8"/>
      <c r="AV190" s="10"/>
      <c r="AW190" s="8"/>
      <c r="AX190" s="8"/>
      <c r="AY190" s="10"/>
      <c r="AZ190" s="8"/>
      <c r="BA190" s="8"/>
      <c r="BB190" s="10"/>
    </row>
    <row r="191" ht="15.75" customHeight="1">
      <c r="A191" s="35"/>
      <c r="B191" s="36">
        <f t="shared" si="1"/>
        <v>0</v>
      </c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  <c r="AC191" s="8"/>
      <c r="AD191" s="8"/>
      <c r="AE191" s="8"/>
      <c r="AF191" s="8"/>
      <c r="AG191" s="8"/>
      <c r="AH191" s="8"/>
      <c r="AI191" s="8"/>
      <c r="AJ191" s="8"/>
      <c r="AK191" s="8"/>
      <c r="AL191" s="8"/>
      <c r="AM191" s="8"/>
      <c r="AN191" s="8"/>
      <c r="AO191" s="8"/>
      <c r="AP191" s="8"/>
      <c r="AQ191" s="8"/>
      <c r="AR191" s="8"/>
      <c r="AS191" s="10"/>
      <c r="AT191" s="8"/>
      <c r="AU191" s="8"/>
      <c r="AV191" s="10"/>
      <c r="AW191" s="8"/>
      <c r="AX191" s="8"/>
      <c r="AY191" s="10"/>
      <c r="AZ191" s="8"/>
      <c r="BA191" s="8"/>
      <c r="BB191" s="10"/>
    </row>
    <row r="192" ht="15.75" customHeight="1">
      <c r="A192" s="35"/>
      <c r="B192" s="36">
        <f t="shared" si="1"/>
        <v>0</v>
      </c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8"/>
      <c r="AD192" s="8"/>
      <c r="AE192" s="8"/>
      <c r="AF192" s="8"/>
      <c r="AG192" s="8"/>
      <c r="AH192" s="8"/>
      <c r="AI192" s="8"/>
      <c r="AJ192" s="8"/>
      <c r="AK192" s="8"/>
      <c r="AL192" s="8"/>
      <c r="AM192" s="8"/>
      <c r="AN192" s="8"/>
      <c r="AO192" s="8"/>
      <c r="AP192" s="8"/>
      <c r="AQ192" s="8"/>
      <c r="AR192" s="8"/>
      <c r="AS192" s="10"/>
      <c r="AT192" s="8"/>
      <c r="AU192" s="8"/>
      <c r="AV192" s="10"/>
      <c r="AW192" s="8"/>
      <c r="AX192" s="8"/>
      <c r="AY192" s="10"/>
      <c r="AZ192" s="8"/>
      <c r="BA192" s="8"/>
      <c r="BB192" s="10"/>
    </row>
    <row r="193" ht="15.75" customHeight="1">
      <c r="A193" s="35"/>
      <c r="B193" s="36">
        <f t="shared" si="1"/>
        <v>0</v>
      </c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  <c r="AD193" s="8"/>
      <c r="AE193" s="8"/>
      <c r="AF193" s="8"/>
      <c r="AG193" s="8"/>
      <c r="AH193" s="8"/>
      <c r="AI193" s="8"/>
      <c r="AJ193" s="8"/>
      <c r="AK193" s="8"/>
      <c r="AL193" s="8"/>
      <c r="AM193" s="8"/>
      <c r="AN193" s="8"/>
      <c r="AO193" s="8"/>
      <c r="AP193" s="8"/>
      <c r="AQ193" s="8"/>
      <c r="AR193" s="8"/>
      <c r="AS193" s="10"/>
      <c r="AT193" s="8"/>
      <c r="AU193" s="8"/>
      <c r="AV193" s="10"/>
      <c r="AW193" s="8"/>
      <c r="AX193" s="8"/>
      <c r="AY193" s="10"/>
      <c r="AZ193" s="8"/>
      <c r="BA193" s="8"/>
      <c r="BB193" s="10"/>
    </row>
    <row r="194" ht="15.75" customHeight="1">
      <c r="A194" s="35"/>
      <c r="B194" s="36">
        <f t="shared" si="1"/>
        <v>0</v>
      </c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  <c r="AD194" s="8"/>
      <c r="AE194" s="8"/>
      <c r="AF194" s="8"/>
      <c r="AG194" s="8"/>
      <c r="AH194" s="8"/>
      <c r="AI194" s="8"/>
      <c r="AJ194" s="8"/>
      <c r="AK194" s="8"/>
      <c r="AL194" s="8"/>
      <c r="AM194" s="8"/>
      <c r="AN194" s="8"/>
      <c r="AO194" s="8"/>
      <c r="AP194" s="8"/>
      <c r="AQ194" s="8"/>
      <c r="AR194" s="8"/>
      <c r="AS194" s="10"/>
      <c r="AT194" s="8"/>
      <c r="AU194" s="8"/>
      <c r="AV194" s="10"/>
      <c r="AW194" s="8"/>
      <c r="AX194" s="8"/>
      <c r="AY194" s="10"/>
      <c r="AZ194" s="8"/>
      <c r="BA194" s="8"/>
      <c r="BB194" s="10"/>
    </row>
    <row r="195" ht="15.75" customHeight="1">
      <c r="A195" s="35"/>
      <c r="B195" s="36">
        <f t="shared" si="1"/>
        <v>0</v>
      </c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  <c r="AC195" s="8"/>
      <c r="AD195" s="8"/>
      <c r="AE195" s="8"/>
      <c r="AF195" s="8"/>
      <c r="AG195" s="8"/>
      <c r="AH195" s="8"/>
      <c r="AI195" s="8"/>
      <c r="AJ195" s="8"/>
      <c r="AK195" s="8"/>
      <c r="AL195" s="8"/>
      <c r="AM195" s="8"/>
      <c r="AN195" s="8"/>
      <c r="AO195" s="8"/>
      <c r="AP195" s="8"/>
      <c r="AQ195" s="8"/>
      <c r="AR195" s="8"/>
      <c r="AS195" s="10"/>
      <c r="AT195" s="8"/>
      <c r="AU195" s="8"/>
      <c r="AV195" s="10"/>
      <c r="AW195" s="8"/>
      <c r="AX195" s="8"/>
      <c r="AY195" s="10"/>
      <c r="AZ195" s="8"/>
      <c r="BA195" s="8"/>
      <c r="BB195" s="10"/>
    </row>
    <row r="196" ht="15.75" customHeight="1">
      <c r="A196" s="35"/>
      <c r="B196" s="36">
        <f t="shared" si="1"/>
        <v>0</v>
      </c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  <c r="AC196" s="8"/>
      <c r="AD196" s="8"/>
      <c r="AE196" s="8"/>
      <c r="AF196" s="8"/>
      <c r="AG196" s="8"/>
      <c r="AH196" s="8"/>
      <c r="AI196" s="8"/>
      <c r="AJ196" s="8"/>
      <c r="AK196" s="8"/>
      <c r="AL196" s="8"/>
      <c r="AM196" s="8"/>
      <c r="AN196" s="8"/>
      <c r="AO196" s="8"/>
      <c r="AP196" s="8"/>
      <c r="AQ196" s="8"/>
      <c r="AR196" s="8"/>
      <c r="AS196" s="10"/>
      <c r="AT196" s="8"/>
      <c r="AU196" s="8"/>
      <c r="AV196" s="10"/>
      <c r="AW196" s="8"/>
      <c r="AX196" s="8"/>
      <c r="AY196" s="10"/>
      <c r="AZ196" s="8"/>
      <c r="BA196" s="8"/>
      <c r="BB196" s="10"/>
    </row>
    <row r="197" ht="15.75" customHeight="1">
      <c r="A197" s="35"/>
      <c r="B197" s="36">
        <f t="shared" si="1"/>
        <v>0</v>
      </c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  <c r="AD197" s="8"/>
      <c r="AE197" s="8"/>
      <c r="AF197" s="8"/>
      <c r="AG197" s="8"/>
      <c r="AH197" s="8"/>
      <c r="AI197" s="8"/>
      <c r="AJ197" s="8"/>
      <c r="AK197" s="8"/>
      <c r="AL197" s="8"/>
      <c r="AM197" s="8"/>
      <c r="AN197" s="8"/>
      <c r="AO197" s="8"/>
      <c r="AP197" s="8"/>
      <c r="AQ197" s="8"/>
      <c r="AR197" s="8"/>
      <c r="AS197" s="10"/>
      <c r="AT197" s="8"/>
      <c r="AU197" s="8"/>
      <c r="AV197" s="10"/>
      <c r="AW197" s="8"/>
      <c r="AX197" s="8"/>
      <c r="AY197" s="10"/>
      <c r="AZ197" s="8"/>
      <c r="BA197" s="8"/>
      <c r="BB197" s="10"/>
    </row>
    <row r="198" ht="15.75" customHeight="1">
      <c r="A198" s="35"/>
      <c r="B198" s="36">
        <f t="shared" si="1"/>
        <v>0</v>
      </c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  <c r="AC198" s="8"/>
      <c r="AD198" s="8"/>
      <c r="AE198" s="8"/>
      <c r="AF198" s="8"/>
      <c r="AG198" s="8"/>
      <c r="AH198" s="8"/>
      <c r="AI198" s="8"/>
      <c r="AJ198" s="8"/>
      <c r="AK198" s="8"/>
      <c r="AL198" s="8"/>
      <c r="AM198" s="8"/>
      <c r="AN198" s="8"/>
      <c r="AO198" s="8"/>
      <c r="AP198" s="8"/>
      <c r="AQ198" s="8"/>
      <c r="AR198" s="8"/>
      <c r="AS198" s="10"/>
      <c r="AT198" s="8"/>
      <c r="AU198" s="8"/>
      <c r="AV198" s="10"/>
      <c r="AW198" s="8"/>
      <c r="AX198" s="8"/>
      <c r="AY198" s="10"/>
      <c r="AZ198" s="8"/>
      <c r="BA198" s="8"/>
      <c r="BB198" s="10"/>
    </row>
    <row r="199" ht="15.75" customHeight="1">
      <c r="A199" s="35"/>
      <c r="B199" s="36">
        <f t="shared" si="1"/>
        <v>0</v>
      </c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  <c r="AC199" s="8"/>
      <c r="AD199" s="8"/>
      <c r="AE199" s="8"/>
      <c r="AF199" s="8"/>
      <c r="AG199" s="8"/>
      <c r="AH199" s="8"/>
      <c r="AI199" s="8"/>
      <c r="AJ199" s="8"/>
      <c r="AK199" s="8"/>
      <c r="AL199" s="8"/>
      <c r="AM199" s="8"/>
      <c r="AN199" s="8"/>
      <c r="AO199" s="8"/>
      <c r="AP199" s="8"/>
      <c r="AQ199" s="8"/>
      <c r="AR199" s="8"/>
      <c r="AS199" s="10"/>
      <c r="AT199" s="8"/>
      <c r="AU199" s="8"/>
      <c r="AV199" s="10"/>
      <c r="AW199" s="8"/>
      <c r="AX199" s="8"/>
      <c r="AY199" s="10"/>
      <c r="AZ199" s="8"/>
      <c r="BA199" s="8"/>
      <c r="BB199" s="10"/>
    </row>
    <row r="200" ht="15.75" customHeight="1">
      <c r="A200" s="35"/>
      <c r="B200" s="36">
        <f t="shared" si="1"/>
        <v>0</v>
      </c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  <c r="AD200" s="8"/>
      <c r="AE200" s="8"/>
      <c r="AF200" s="8"/>
      <c r="AG200" s="8"/>
      <c r="AH200" s="8"/>
      <c r="AI200" s="8"/>
      <c r="AJ200" s="8"/>
      <c r="AK200" s="8"/>
      <c r="AL200" s="8"/>
      <c r="AM200" s="8"/>
      <c r="AN200" s="8"/>
      <c r="AO200" s="8"/>
      <c r="AP200" s="8"/>
      <c r="AQ200" s="8"/>
      <c r="AR200" s="8"/>
      <c r="AS200" s="10"/>
      <c r="AT200" s="8"/>
      <c r="AU200" s="8"/>
      <c r="AV200" s="10"/>
      <c r="AW200" s="8"/>
      <c r="AX200" s="8"/>
      <c r="AY200" s="10"/>
      <c r="AZ200" s="8"/>
      <c r="BA200" s="8"/>
      <c r="BB200" s="10"/>
    </row>
    <row r="201" ht="15.75" customHeight="1">
      <c r="A201" s="35"/>
      <c r="B201" s="36">
        <f t="shared" si="1"/>
        <v>0</v>
      </c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8"/>
      <c r="AC201" s="8"/>
      <c r="AD201" s="8"/>
      <c r="AE201" s="8"/>
      <c r="AF201" s="8"/>
      <c r="AG201" s="8"/>
      <c r="AH201" s="8"/>
      <c r="AI201" s="8"/>
      <c r="AJ201" s="8"/>
      <c r="AK201" s="8"/>
      <c r="AL201" s="8"/>
      <c r="AM201" s="8"/>
      <c r="AN201" s="8"/>
      <c r="AO201" s="8"/>
      <c r="AP201" s="8"/>
      <c r="AQ201" s="8"/>
      <c r="AR201" s="8"/>
      <c r="AS201" s="10"/>
      <c r="AT201" s="8"/>
      <c r="AU201" s="8"/>
      <c r="AV201" s="10"/>
      <c r="AW201" s="8"/>
      <c r="AX201" s="8"/>
      <c r="AY201" s="10"/>
      <c r="AZ201" s="8"/>
      <c r="BA201" s="8"/>
      <c r="BB201" s="10"/>
    </row>
    <row r="202" ht="15.75" customHeight="1">
      <c r="A202" s="35"/>
      <c r="B202" s="36">
        <f t="shared" si="1"/>
        <v>0</v>
      </c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  <c r="AB202" s="8"/>
      <c r="AC202" s="8"/>
      <c r="AD202" s="8"/>
      <c r="AE202" s="8"/>
      <c r="AF202" s="8"/>
      <c r="AG202" s="8"/>
      <c r="AH202" s="8"/>
      <c r="AI202" s="8"/>
      <c r="AJ202" s="8"/>
      <c r="AK202" s="8"/>
      <c r="AL202" s="8"/>
      <c r="AM202" s="8"/>
      <c r="AN202" s="8"/>
      <c r="AO202" s="8"/>
      <c r="AP202" s="8"/>
      <c r="AQ202" s="8"/>
      <c r="AR202" s="8"/>
      <c r="AS202" s="10"/>
      <c r="AT202" s="8"/>
      <c r="AU202" s="8"/>
      <c r="AV202" s="10"/>
      <c r="AW202" s="8"/>
      <c r="AX202" s="8"/>
      <c r="AY202" s="10"/>
      <c r="AZ202" s="8"/>
      <c r="BA202" s="8"/>
      <c r="BB202" s="10"/>
    </row>
    <row r="203" ht="15.75" customHeight="1">
      <c r="A203" s="35"/>
      <c r="B203" s="36">
        <f t="shared" si="1"/>
        <v>0</v>
      </c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  <c r="AC203" s="8"/>
      <c r="AD203" s="8"/>
      <c r="AE203" s="8"/>
      <c r="AF203" s="8"/>
      <c r="AG203" s="8"/>
      <c r="AH203" s="8"/>
      <c r="AI203" s="8"/>
      <c r="AJ203" s="8"/>
      <c r="AK203" s="8"/>
      <c r="AL203" s="8"/>
      <c r="AM203" s="8"/>
      <c r="AN203" s="8"/>
      <c r="AO203" s="8"/>
      <c r="AP203" s="8"/>
      <c r="AQ203" s="8"/>
      <c r="AR203" s="8"/>
      <c r="AS203" s="10"/>
      <c r="AT203" s="8"/>
      <c r="AU203" s="8"/>
      <c r="AV203" s="10"/>
      <c r="AW203" s="8"/>
      <c r="AX203" s="8"/>
      <c r="AY203" s="10"/>
      <c r="AZ203" s="8"/>
      <c r="BA203" s="8"/>
      <c r="BB203" s="10"/>
    </row>
    <row r="204" ht="15.75" customHeight="1">
      <c r="A204" s="35"/>
      <c r="B204" s="36">
        <f t="shared" si="1"/>
        <v>0</v>
      </c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  <c r="AC204" s="8"/>
      <c r="AD204" s="8"/>
      <c r="AE204" s="8"/>
      <c r="AF204" s="8"/>
      <c r="AG204" s="8"/>
      <c r="AH204" s="8"/>
      <c r="AI204" s="8"/>
      <c r="AJ204" s="8"/>
      <c r="AK204" s="8"/>
      <c r="AL204" s="8"/>
      <c r="AM204" s="8"/>
      <c r="AN204" s="8"/>
      <c r="AO204" s="8"/>
      <c r="AP204" s="8"/>
      <c r="AQ204" s="8"/>
      <c r="AR204" s="8"/>
      <c r="AS204" s="10"/>
      <c r="AT204" s="8"/>
      <c r="AU204" s="8"/>
      <c r="AV204" s="10"/>
      <c r="AW204" s="8"/>
      <c r="AX204" s="8"/>
      <c r="AY204" s="10"/>
      <c r="AZ204" s="8"/>
      <c r="BA204" s="8"/>
      <c r="BB204" s="10"/>
    </row>
    <row r="205" ht="15.75" customHeight="1">
      <c r="A205" s="35"/>
      <c r="B205" s="36">
        <f t="shared" si="1"/>
        <v>0</v>
      </c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  <c r="AC205" s="8"/>
      <c r="AD205" s="8"/>
      <c r="AE205" s="8"/>
      <c r="AF205" s="8"/>
      <c r="AG205" s="8"/>
      <c r="AH205" s="8"/>
      <c r="AI205" s="8"/>
      <c r="AJ205" s="8"/>
      <c r="AK205" s="8"/>
      <c r="AL205" s="8"/>
      <c r="AM205" s="8"/>
      <c r="AN205" s="8"/>
      <c r="AO205" s="8"/>
      <c r="AP205" s="8"/>
      <c r="AQ205" s="8"/>
      <c r="AR205" s="8"/>
      <c r="AS205" s="10"/>
      <c r="AT205" s="8"/>
      <c r="AU205" s="8"/>
      <c r="AV205" s="10"/>
      <c r="AW205" s="8"/>
      <c r="AX205" s="8"/>
      <c r="AY205" s="10"/>
      <c r="AZ205" s="8"/>
      <c r="BA205" s="8"/>
      <c r="BB205" s="10"/>
    </row>
    <row r="206" ht="15.75" customHeight="1">
      <c r="A206" s="35"/>
      <c r="B206" s="36">
        <f t="shared" si="1"/>
        <v>0</v>
      </c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  <c r="AC206" s="8"/>
      <c r="AD206" s="8"/>
      <c r="AE206" s="8"/>
      <c r="AF206" s="8"/>
      <c r="AG206" s="8"/>
      <c r="AH206" s="8"/>
      <c r="AI206" s="8"/>
      <c r="AJ206" s="8"/>
      <c r="AK206" s="8"/>
      <c r="AL206" s="8"/>
      <c r="AM206" s="8"/>
      <c r="AN206" s="8"/>
      <c r="AO206" s="8"/>
      <c r="AP206" s="8"/>
      <c r="AQ206" s="8"/>
      <c r="AR206" s="8"/>
      <c r="AS206" s="10"/>
      <c r="AT206" s="8"/>
      <c r="AU206" s="8"/>
      <c r="AV206" s="10"/>
      <c r="AW206" s="8"/>
      <c r="AX206" s="8"/>
      <c r="AY206" s="10"/>
      <c r="AZ206" s="8"/>
      <c r="BA206" s="8"/>
      <c r="BB206" s="10"/>
    </row>
    <row r="207" ht="15.75" customHeight="1">
      <c r="A207" s="35"/>
      <c r="B207" s="36">
        <f t="shared" si="1"/>
        <v>0</v>
      </c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  <c r="AC207" s="8"/>
      <c r="AD207" s="8"/>
      <c r="AE207" s="8"/>
      <c r="AF207" s="8"/>
      <c r="AG207" s="8"/>
      <c r="AH207" s="8"/>
      <c r="AI207" s="8"/>
      <c r="AJ207" s="8"/>
      <c r="AK207" s="8"/>
      <c r="AL207" s="8"/>
      <c r="AM207" s="8"/>
      <c r="AN207" s="8"/>
      <c r="AO207" s="8"/>
      <c r="AP207" s="8"/>
      <c r="AQ207" s="8"/>
      <c r="AR207" s="8"/>
      <c r="AS207" s="10"/>
      <c r="AT207" s="8"/>
      <c r="AU207" s="8"/>
      <c r="AV207" s="10"/>
      <c r="AW207" s="8"/>
      <c r="AX207" s="8"/>
      <c r="AY207" s="10"/>
      <c r="AZ207" s="8"/>
      <c r="BA207" s="8"/>
      <c r="BB207" s="10"/>
    </row>
    <row r="208" ht="15.75" customHeight="1">
      <c r="A208" s="35"/>
      <c r="B208" s="36">
        <f t="shared" si="1"/>
        <v>0</v>
      </c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  <c r="AC208" s="8"/>
      <c r="AD208" s="8"/>
      <c r="AE208" s="8"/>
      <c r="AF208" s="8"/>
      <c r="AG208" s="8"/>
      <c r="AH208" s="8"/>
      <c r="AI208" s="8"/>
      <c r="AJ208" s="8"/>
      <c r="AK208" s="8"/>
      <c r="AL208" s="8"/>
      <c r="AM208" s="8"/>
      <c r="AN208" s="8"/>
      <c r="AO208" s="8"/>
      <c r="AP208" s="8"/>
      <c r="AQ208" s="8"/>
      <c r="AR208" s="8"/>
      <c r="AS208" s="10"/>
      <c r="AT208" s="8"/>
      <c r="AU208" s="8"/>
      <c r="AV208" s="10"/>
      <c r="AW208" s="8"/>
      <c r="AX208" s="8"/>
      <c r="AY208" s="10"/>
      <c r="AZ208" s="8"/>
      <c r="BA208" s="8"/>
      <c r="BB208" s="10"/>
    </row>
    <row r="209" ht="15.75" customHeight="1">
      <c r="A209" s="35"/>
      <c r="B209" s="36">
        <f t="shared" si="1"/>
        <v>0</v>
      </c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  <c r="AC209" s="8"/>
      <c r="AD209" s="8"/>
      <c r="AE209" s="8"/>
      <c r="AF209" s="8"/>
      <c r="AG209" s="8"/>
      <c r="AH209" s="8"/>
      <c r="AI209" s="8"/>
      <c r="AJ209" s="8"/>
      <c r="AK209" s="8"/>
      <c r="AL209" s="8"/>
      <c r="AM209" s="8"/>
      <c r="AN209" s="8"/>
      <c r="AO209" s="8"/>
      <c r="AP209" s="8"/>
      <c r="AQ209" s="8"/>
      <c r="AR209" s="8"/>
      <c r="AS209" s="10"/>
      <c r="AT209" s="8"/>
      <c r="AU209" s="8"/>
      <c r="AV209" s="10"/>
      <c r="AW209" s="8"/>
      <c r="AX209" s="8"/>
      <c r="AY209" s="10"/>
      <c r="AZ209" s="8"/>
      <c r="BA209" s="8"/>
      <c r="BB209" s="10"/>
    </row>
    <row r="210" ht="15.75" customHeight="1">
      <c r="A210" s="35"/>
      <c r="B210" s="36">
        <f t="shared" si="1"/>
        <v>0</v>
      </c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  <c r="AC210" s="8"/>
      <c r="AD210" s="8"/>
      <c r="AE210" s="8"/>
      <c r="AF210" s="8"/>
      <c r="AG210" s="8"/>
      <c r="AH210" s="8"/>
      <c r="AI210" s="8"/>
      <c r="AJ210" s="8"/>
      <c r="AK210" s="8"/>
      <c r="AL210" s="8"/>
      <c r="AM210" s="8"/>
      <c r="AN210" s="8"/>
      <c r="AO210" s="8"/>
      <c r="AP210" s="8"/>
      <c r="AQ210" s="8"/>
      <c r="AR210" s="8"/>
      <c r="AS210" s="10"/>
      <c r="AT210" s="8"/>
      <c r="AU210" s="8"/>
      <c r="AV210" s="10"/>
      <c r="AW210" s="8"/>
      <c r="AX210" s="8"/>
      <c r="AY210" s="10"/>
      <c r="AZ210" s="8"/>
      <c r="BA210" s="8"/>
      <c r="BB210" s="10"/>
    </row>
    <row r="211" ht="15.75" customHeight="1">
      <c r="A211" s="35"/>
      <c r="B211" s="36">
        <f t="shared" si="1"/>
        <v>0</v>
      </c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  <c r="AC211" s="8"/>
      <c r="AD211" s="8"/>
      <c r="AE211" s="8"/>
      <c r="AF211" s="8"/>
      <c r="AG211" s="8"/>
      <c r="AH211" s="8"/>
      <c r="AI211" s="8"/>
      <c r="AJ211" s="8"/>
      <c r="AK211" s="8"/>
      <c r="AL211" s="8"/>
      <c r="AM211" s="8"/>
      <c r="AN211" s="8"/>
      <c r="AO211" s="8"/>
      <c r="AP211" s="8"/>
      <c r="AQ211" s="8"/>
      <c r="AR211" s="8"/>
      <c r="AS211" s="10"/>
      <c r="AT211" s="8"/>
      <c r="AU211" s="8"/>
      <c r="AV211" s="10"/>
      <c r="AW211" s="8"/>
      <c r="AX211" s="8"/>
      <c r="AY211" s="10"/>
      <c r="AZ211" s="8"/>
      <c r="BA211" s="8"/>
      <c r="BB211" s="10"/>
    </row>
    <row r="212" ht="15.75" customHeight="1">
      <c r="A212" s="35"/>
      <c r="B212" s="36">
        <f t="shared" si="1"/>
        <v>0</v>
      </c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  <c r="AB212" s="8"/>
      <c r="AC212" s="8"/>
      <c r="AD212" s="8"/>
      <c r="AE212" s="8"/>
      <c r="AF212" s="8"/>
      <c r="AG212" s="8"/>
      <c r="AH212" s="8"/>
      <c r="AI212" s="8"/>
      <c r="AJ212" s="8"/>
      <c r="AK212" s="8"/>
      <c r="AL212" s="8"/>
      <c r="AM212" s="8"/>
      <c r="AN212" s="8"/>
      <c r="AO212" s="8"/>
      <c r="AP212" s="8"/>
      <c r="AQ212" s="8"/>
      <c r="AR212" s="8"/>
      <c r="AS212" s="10"/>
      <c r="AT212" s="8"/>
      <c r="AU212" s="8"/>
      <c r="AV212" s="10"/>
      <c r="AW212" s="8"/>
      <c r="AX212" s="8"/>
      <c r="AY212" s="10"/>
      <c r="AZ212" s="8"/>
      <c r="BA212" s="8"/>
      <c r="BB212" s="10"/>
    </row>
    <row r="213" ht="15.75" customHeight="1">
      <c r="A213" s="35"/>
      <c r="B213" s="36">
        <f t="shared" si="1"/>
        <v>0</v>
      </c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  <c r="AB213" s="8"/>
      <c r="AC213" s="8"/>
      <c r="AD213" s="8"/>
      <c r="AE213" s="8"/>
      <c r="AF213" s="8"/>
      <c r="AG213" s="8"/>
      <c r="AH213" s="8"/>
      <c r="AI213" s="8"/>
      <c r="AJ213" s="8"/>
      <c r="AK213" s="8"/>
      <c r="AL213" s="8"/>
      <c r="AM213" s="8"/>
      <c r="AN213" s="8"/>
      <c r="AO213" s="8"/>
      <c r="AP213" s="8"/>
      <c r="AQ213" s="8"/>
      <c r="AR213" s="8"/>
      <c r="AS213" s="10"/>
      <c r="AT213" s="8"/>
      <c r="AU213" s="8"/>
      <c r="AV213" s="10"/>
      <c r="AW213" s="8"/>
      <c r="AX213" s="8"/>
      <c r="AY213" s="10"/>
      <c r="AZ213" s="8"/>
      <c r="BA213" s="8"/>
      <c r="BB213" s="10"/>
    </row>
    <row r="214" ht="15.75" customHeight="1">
      <c r="A214" s="35"/>
      <c r="B214" s="36">
        <f t="shared" si="1"/>
        <v>0</v>
      </c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  <c r="AB214" s="8"/>
      <c r="AC214" s="8"/>
      <c r="AD214" s="8"/>
      <c r="AE214" s="8"/>
      <c r="AF214" s="8"/>
      <c r="AG214" s="8"/>
      <c r="AH214" s="8"/>
      <c r="AI214" s="8"/>
      <c r="AJ214" s="8"/>
      <c r="AK214" s="8"/>
      <c r="AL214" s="8"/>
      <c r="AM214" s="8"/>
      <c r="AN214" s="8"/>
      <c r="AO214" s="8"/>
      <c r="AP214" s="8"/>
      <c r="AQ214" s="8"/>
      <c r="AR214" s="8"/>
      <c r="AS214" s="10"/>
      <c r="AT214" s="8"/>
      <c r="AU214" s="8"/>
      <c r="AV214" s="10"/>
      <c r="AW214" s="8"/>
      <c r="AX214" s="8"/>
      <c r="AY214" s="10"/>
      <c r="AZ214" s="8"/>
      <c r="BA214" s="8"/>
      <c r="BB214" s="10"/>
    </row>
    <row r="215" ht="15.75" customHeight="1">
      <c r="A215" s="35"/>
      <c r="B215" s="36">
        <f t="shared" si="1"/>
        <v>0</v>
      </c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  <c r="AC215" s="8"/>
      <c r="AD215" s="8"/>
      <c r="AE215" s="8"/>
      <c r="AF215" s="8"/>
      <c r="AG215" s="8"/>
      <c r="AH215" s="8"/>
      <c r="AI215" s="8"/>
      <c r="AJ215" s="8"/>
      <c r="AK215" s="8"/>
      <c r="AL215" s="8"/>
      <c r="AM215" s="8"/>
      <c r="AN215" s="8"/>
      <c r="AO215" s="8"/>
      <c r="AP215" s="8"/>
      <c r="AQ215" s="8"/>
      <c r="AR215" s="8"/>
      <c r="AS215" s="10"/>
      <c r="AT215" s="8"/>
      <c r="AU215" s="8"/>
      <c r="AV215" s="10"/>
      <c r="AW215" s="8"/>
      <c r="AX215" s="8"/>
      <c r="AY215" s="10"/>
      <c r="AZ215" s="8"/>
      <c r="BA215" s="8"/>
      <c r="BB215" s="10"/>
    </row>
    <row r="216" ht="15.75" customHeight="1">
      <c r="A216" s="35"/>
      <c r="B216" s="36">
        <f t="shared" si="1"/>
        <v>0</v>
      </c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  <c r="AC216" s="8"/>
      <c r="AD216" s="8"/>
      <c r="AE216" s="8"/>
      <c r="AF216" s="8"/>
      <c r="AG216" s="8"/>
      <c r="AH216" s="8"/>
      <c r="AI216" s="8"/>
      <c r="AJ216" s="8"/>
      <c r="AK216" s="8"/>
      <c r="AL216" s="8"/>
      <c r="AM216" s="8"/>
      <c r="AN216" s="8"/>
      <c r="AO216" s="8"/>
      <c r="AP216" s="8"/>
      <c r="AQ216" s="8"/>
      <c r="AR216" s="8"/>
      <c r="AS216" s="10"/>
      <c r="AT216" s="8"/>
      <c r="AU216" s="8"/>
      <c r="AV216" s="10"/>
      <c r="AW216" s="8"/>
      <c r="AX216" s="8"/>
      <c r="AY216" s="10"/>
      <c r="AZ216" s="8"/>
      <c r="BA216" s="8"/>
      <c r="BB216" s="10"/>
    </row>
    <row r="217" ht="15.75" customHeight="1">
      <c r="A217" s="35"/>
      <c r="B217" s="36">
        <f t="shared" si="1"/>
        <v>0</v>
      </c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  <c r="AC217" s="8"/>
      <c r="AD217" s="8"/>
      <c r="AE217" s="8"/>
      <c r="AF217" s="8"/>
      <c r="AG217" s="8"/>
      <c r="AH217" s="8"/>
      <c r="AI217" s="8"/>
      <c r="AJ217" s="8"/>
      <c r="AK217" s="8"/>
      <c r="AL217" s="8"/>
      <c r="AM217" s="8"/>
      <c r="AN217" s="8"/>
      <c r="AO217" s="8"/>
      <c r="AP217" s="8"/>
      <c r="AQ217" s="8"/>
      <c r="AR217" s="8"/>
      <c r="AS217" s="10"/>
      <c r="AT217" s="8"/>
      <c r="AU217" s="8"/>
      <c r="AV217" s="10"/>
      <c r="AW217" s="8"/>
      <c r="AX217" s="8"/>
      <c r="AY217" s="10"/>
      <c r="AZ217" s="8"/>
      <c r="BA217" s="8"/>
      <c r="BB217" s="10"/>
    </row>
    <row r="218" ht="15.75" customHeight="1">
      <c r="A218" s="35"/>
      <c r="B218" s="36">
        <f t="shared" si="1"/>
        <v>0</v>
      </c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  <c r="AE218" s="8"/>
      <c r="AF218" s="8"/>
      <c r="AG218" s="8"/>
      <c r="AH218" s="8"/>
      <c r="AI218" s="8"/>
      <c r="AJ218" s="8"/>
      <c r="AK218" s="8"/>
      <c r="AL218" s="8"/>
      <c r="AM218" s="8"/>
      <c r="AN218" s="8"/>
      <c r="AO218" s="8"/>
      <c r="AP218" s="8"/>
      <c r="AQ218" s="8"/>
      <c r="AR218" s="8"/>
      <c r="AS218" s="10"/>
      <c r="AT218" s="8"/>
      <c r="AU218" s="8"/>
      <c r="AV218" s="10"/>
      <c r="AW218" s="8"/>
      <c r="AX218" s="8"/>
      <c r="AY218" s="10"/>
      <c r="AZ218" s="8"/>
      <c r="BA218" s="8"/>
      <c r="BB218" s="10"/>
    </row>
    <row r="219" ht="15.75" customHeight="1">
      <c r="A219" s="35"/>
      <c r="B219" s="36">
        <f t="shared" si="1"/>
        <v>0</v>
      </c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  <c r="AE219" s="8"/>
      <c r="AF219" s="8"/>
      <c r="AG219" s="8"/>
      <c r="AH219" s="8"/>
      <c r="AI219" s="8"/>
      <c r="AJ219" s="8"/>
      <c r="AK219" s="8"/>
      <c r="AL219" s="8"/>
      <c r="AM219" s="8"/>
      <c r="AN219" s="8"/>
      <c r="AO219" s="8"/>
      <c r="AP219" s="8"/>
      <c r="AQ219" s="8"/>
      <c r="AR219" s="8"/>
      <c r="AS219" s="10"/>
      <c r="AT219" s="8"/>
      <c r="AU219" s="8"/>
      <c r="AV219" s="10"/>
      <c r="AW219" s="8"/>
      <c r="AX219" s="8"/>
      <c r="AY219" s="10"/>
      <c r="AZ219" s="8"/>
      <c r="BA219" s="8"/>
      <c r="BB219" s="10"/>
    </row>
    <row r="220" ht="15.75" customHeight="1">
      <c r="A220" s="35"/>
      <c r="B220" s="36">
        <f t="shared" si="1"/>
        <v>0</v>
      </c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  <c r="AE220" s="8"/>
      <c r="AF220" s="8"/>
      <c r="AG220" s="8"/>
      <c r="AH220" s="8"/>
      <c r="AI220" s="8"/>
      <c r="AJ220" s="8"/>
      <c r="AK220" s="8"/>
      <c r="AL220" s="8"/>
      <c r="AM220" s="8"/>
      <c r="AN220" s="8"/>
      <c r="AO220" s="8"/>
      <c r="AP220" s="8"/>
      <c r="AQ220" s="8"/>
      <c r="AR220" s="8"/>
      <c r="AS220" s="10"/>
      <c r="AT220" s="8"/>
      <c r="AU220" s="8"/>
      <c r="AV220" s="10"/>
      <c r="AW220" s="8"/>
      <c r="AX220" s="8"/>
      <c r="AY220" s="10"/>
      <c r="AZ220" s="8"/>
      <c r="BA220" s="8"/>
      <c r="BB220" s="10"/>
    </row>
    <row r="221" ht="15.75" customHeight="1">
      <c r="A221" s="35"/>
      <c r="B221" s="36">
        <f t="shared" si="1"/>
        <v>0</v>
      </c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  <c r="AE221" s="8"/>
      <c r="AF221" s="8"/>
      <c r="AG221" s="8"/>
      <c r="AH221" s="8"/>
      <c r="AI221" s="8"/>
      <c r="AJ221" s="8"/>
      <c r="AK221" s="8"/>
      <c r="AL221" s="8"/>
      <c r="AM221" s="8"/>
      <c r="AN221" s="8"/>
      <c r="AO221" s="8"/>
      <c r="AP221" s="8"/>
      <c r="AQ221" s="8"/>
      <c r="AR221" s="8"/>
      <c r="AS221" s="10"/>
      <c r="AT221" s="8"/>
      <c r="AU221" s="8"/>
      <c r="AV221" s="10"/>
      <c r="AW221" s="8"/>
      <c r="AX221" s="8"/>
      <c r="AY221" s="10"/>
      <c r="AZ221" s="8"/>
      <c r="BA221" s="8"/>
      <c r="BB221" s="10"/>
    </row>
    <row r="222" ht="15.75" customHeight="1">
      <c r="A222" s="35"/>
      <c r="B222" s="36">
        <f t="shared" si="1"/>
        <v>0</v>
      </c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  <c r="AE222" s="8"/>
      <c r="AF222" s="8"/>
      <c r="AG222" s="8"/>
      <c r="AH222" s="8"/>
      <c r="AI222" s="8"/>
      <c r="AJ222" s="8"/>
      <c r="AK222" s="8"/>
      <c r="AL222" s="8"/>
      <c r="AM222" s="8"/>
      <c r="AN222" s="8"/>
      <c r="AO222" s="8"/>
      <c r="AP222" s="8"/>
      <c r="AQ222" s="8"/>
      <c r="AR222" s="8"/>
      <c r="AS222" s="10"/>
      <c r="AT222" s="8"/>
      <c r="AU222" s="8"/>
      <c r="AV222" s="10"/>
      <c r="AW222" s="8"/>
      <c r="AX222" s="8"/>
      <c r="AY222" s="10"/>
      <c r="AZ222" s="8"/>
      <c r="BA222" s="8"/>
      <c r="BB222" s="10"/>
    </row>
    <row r="223" ht="15.75" customHeight="1">
      <c r="A223" s="35"/>
      <c r="B223" s="36">
        <f t="shared" si="1"/>
        <v>0</v>
      </c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  <c r="AE223" s="8"/>
      <c r="AF223" s="8"/>
      <c r="AG223" s="8"/>
      <c r="AH223" s="8"/>
      <c r="AI223" s="8"/>
      <c r="AJ223" s="8"/>
      <c r="AK223" s="8"/>
      <c r="AL223" s="8"/>
      <c r="AM223" s="8"/>
      <c r="AN223" s="8"/>
      <c r="AO223" s="8"/>
      <c r="AP223" s="8"/>
      <c r="AQ223" s="8"/>
      <c r="AR223" s="8"/>
      <c r="AS223" s="10"/>
      <c r="AT223" s="8"/>
      <c r="AU223" s="8"/>
      <c r="AV223" s="10"/>
      <c r="AW223" s="8"/>
      <c r="AX223" s="8"/>
      <c r="AY223" s="10"/>
      <c r="AZ223" s="8"/>
      <c r="BA223" s="8"/>
      <c r="BB223" s="10"/>
    </row>
    <row r="224" ht="15.75" customHeight="1">
      <c r="A224" s="35"/>
      <c r="B224" s="36">
        <f t="shared" si="1"/>
        <v>0</v>
      </c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  <c r="AE224" s="8"/>
      <c r="AF224" s="8"/>
      <c r="AG224" s="8"/>
      <c r="AH224" s="8"/>
      <c r="AI224" s="8"/>
      <c r="AJ224" s="8"/>
      <c r="AK224" s="8"/>
      <c r="AL224" s="8"/>
      <c r="AM224" s="8"/>
      <c r="AN224" s="8"/>
      <c r="AO224" s="8"/>
      <c r="AP224" s="8"/>
      <c r="AQ224" s="8"/>
      <c r="AR224" s="8"/>
      <c r="AS224" s="10"/>
      <c r="AT224" s="8"/>
      <c r="AU224" s="8"/>
      <c r="AV224" s="10"/>
      <c r="AW224" s="8"/>
      <c r="AX224" s="8"/>
      <c r="AY224" s="10"/>
      <c r="AZ224" s="8"/>
      <c r="BA224" s="8"/>
      <c r="BB224" s="10"/>
    </row>
    <row r="225" ht="15.75" customHeight="1">
      <c r="A225" s="35"/>
      <c r="B225" s="36">
        <f t="shared" si="1"/>
        <v>0</v>
      </c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  <c r="AE225" s="8"/>
      <c r="AF225" s="8"/>
      <c r="AG225" s="8"/>
      <c r="AH225" s="8"/>
      <c r="AI225" s="8"/>
      <c r="AJ225" s="8"/>
      <c r="AK225" s="8"/>
      <c r="AL225" s="8"/>
      <c r="AM225" s="8"/>
      <c r="AN225" s="8"/>
      <c r="AO225" s="8"/>
      <c r="AP225" s="8"/>
      <c r="AQ225" s="8"/>
      <c r="AR225" s="8"/>
      <c r="AS225" s="10"/>
      <c r="AT225" s="8"/>
      <c r="AU225" s="8"/>
      <c r="AV225" s="10"/>
      <c r="AW225" s="8"/>
      <c r="AX225" s="8"/>
      <c r="AY225" s="10"/>
      <c r="AZ225" s="8"/>
      <c r="BA225" s="8"/>
      <c r="BB225" s="10"/>
    </row>
    <row r="226" ht="15.75" customHeight="1">
      <c r="A226" s="35"/>
      <c r="B226" s="36">
        <f t="shared" si="1"/>
        <v>0</v>
      </c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  <c r="AE226" s="8"/>
      <c r="AF226" s="8"/>
      <c r="AG226" s="8"/>
      <c r="AH226" s="8"/>
      <c r="AI226" s="8"/>
      <c r="AJ226" s="8"/>
      <c r="AK226" s="8"/>
      <c r="AL226" s="8"/>
      <c r="AM226" s="8"/>
      <c r="AN226" s="8"/>
      <c r="AO226" s="8"/>
      <c r="AP226" s="8"/>
      <c r="AQ226" s="8"/>
      <c r="AR226" s="8"/>
      <c r="AS226" s="10"/>
      <c r="AT226" s="8"/>
      <c r="AU226" s="8"/>
      <c r="AV226" s="10"/>
      <c r="AW226" s="8"/>
      <c r="AX226" s="8"/>
      <c r="AY226" s="10"/>
      <c r="AZ226" s="8"/>
      <c r="BA226" s="8"/>
      <c r="BB226" s="10"/>
    </row>
    <row r="227" ht="15.75" customHeight="1">
      <c r="A227" s="35"/>
      <c r="B227" s="36">
        <f t="shared" si="1"/>
        <v>0</v>
      </c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  <c r="AE227" s="8"/>
      <c r="AF227" s="8"/>
      <c r="AG227" s="8"/>
      <c r="AH227" s="8"/>
      <c r="AI227" s="8"/>
      <c r="AJ227" s="8"/>
      <c r="AK227" s="8"/>
      <c r="AL227" s="8"/>
      <c r="AM227" s="8"/>
      <c r="AN227" s="8"/>
      <c r="AO227" s="8"/>
      <c r="AP227" s="8"/>
      <c r="AQ227" s="8"/>
      <c r="AR227" s="8"/>
      <c r="AS227" s="10"/>
      <c r="AT227" s="8"/>
      <c r="AU227" s="8"/>
      <c r="AV227" s="10"/>
      <c r="AW227" s="8"/>
      <c r="AX227" s="8"/>
      <c r="AY227" s="10"/>
      <c r="AZ227" s="8"/>
      <c r="BA227" s="8"/>
      <c r="BB227" s="10"/>
    </row>
    <row r="228" ht="15.75" customHeight="1">
      <c r="A228" s="35"/>
      <c r="B228" s="36">
        <f t="shared" si="1"/>
        <v>0</v>
      </c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  <c r="AE228" s="8"/>
      <c r="AF228" s="8"/>
      <c r="AG228" s="8"/>
      <c r="AH228" s="8"/>
      <c r="AI228" s="8"/>
      <c r="AJ228" s="8"/>
      <c r="AK228" s="8"/>
      <c r="AL228" s="8"/>
      <c r="AM228" s="8"/>
      <c r="AN228" s="8"/>
      <c r="AO228" s="8"/>
      <c r="AP228" s="8"/>
      <c r="AQ228" s="8"/>
      <c r="AR228" s="8"/>
      <c r="AS228" s="10"/>
      <c r="AT228" s="8"/>
      <c r="AU228" s="8"/>
      <c r="AV228" s="10"/>
      <c r="AW228" s="8"/>
      <c r="AX228" s="8"/>
      <c r="AY228" s="10"/>
      <c r="AZ228" s="8"/>
      <c r="BA228" s="8"/>
      <c r="BB228" s="10"/>
    </row>
    <row r="229" ht="15.75" customHeight="1">
      <c r="A229" s="35"/>
      <c r="B229" s="36">
        <f t="shared" si="1"/>
        <v>0</v>
      </c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  <c r="AE229" s="8"/>
      <c r="AF229" s="8"/>
      <c r="AG229" s="8"/>
      <c r="AH229" s="8"/>
      <c r="AI229" s="8"/>
      <c r="AJ229" s="8"/>
      <c r="AK229" s="8"/>
      <c r="AL229" s="8"/>
      <c r="AM229" s="8"/>
      <c r="AN229" s="8"/>
      <c r="AO229" s="8"/>
      <c r="AP229" s="8"/>
      <c r="AQ229" s="8"/>
      <c r="AR229" s="8"/>
      <c r="AS229" s="10"/>
      <c r="AT229" s="8"/>
      <c r="AU229" s="8"/>
      <c r="AV229" s="10"/>
      <c r="AW229" s="8"/>
      <c r="AX229" s="8"/>
      <c r="AY229" s="10"/>
      <c r="AZ229" s="8"/>
      <c r="BA229" s="8"/>
      <c r="BB229" s="10"/>
    </row>
    <row r="230" ht="15.75" customHeight="1">
      <c r="A230" s="35"/>
      <c r="B230" s="36">
        <f t="shared" si="1"/>
        <v>0</v>
      </c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  <c r="AE230" s="8"/>
      <c r="AF230" s="8"/>
      <c r="AG230" s="8"/>
      <c r="AH230" s="8"/>
      <c r="AI230" s="8"/>
      <c r="AJ230" s="8"/>
      <c r="AK230" s="8"/>
      <c r="AL230" s="8"/>
      <c r="AM230" s="8"/>
      <c r="AN230" s="8"/>
      <c r="AO230" s="8"/>
      <c r="AP230" s="8"/>
      <c r="AQ230" s="8"/>
      <c r="AR230" s="8"/>
      <c r="AS230" s="10"/>
      <c r="AT230" s="8"/>
      <c r="AU230" s="8"/>
      <c r="AV230" s="10"/>
      <c r="AW230" s="8"/>
      <c r="AX230" s="8"/>
      <c r="AY230" s="10"/>
      <c r="AZ230" s="8"/>
      <c r="BA230" s="8"/>
      <c r="BB230" s="10"/>
    </row>
    <row r="231" ht="15.75" customHeight="1">
      <c r="A231" s="35"/>
      <c r="B231" s="36">
        <f t="shared" si="1"/>
        <v>0</v>
      </c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  <c r="AE231" s="8"/>
      <c r="AF231" s="8"/>
      <c r="AG231" s="8"/>
      <c r="AH231" s="8"/>
      <c r="AI231" s="8"/>
      <c r="AJ231" s="8"/>
      <c r="AK231" s="8"/>
      <c r="AL231" s="8"/>
      <c r="AM231" s="8"/>
      <c r="AN231" s="8"/>
      <c r="AO231" s="8"/>
      <c r="AP231" s="8"/>
      <c r="AQ231" s="8"/>
      <c r="AR231" s="8"/>
      <c r="AS231" s="10"/>
      <c r="AT231" s="8"/>
      <c r="AU231" s="8"/>
      <c r="AV231" s="10"/>
      <c r="AW231" s="8"/>
      <c r="AX231" s="8"/>
      <c r="AY231" s="10"/>
      <c r="AZ231" s="8"/>
      <c r="BA231" s="8"/>
      <c r="BB231" s="10"/>
    </row>
    <row r="232" ht="15.75" customHeight="1">
      <c r="A232" s="35"/>
      <c r="B232" s="36">
        <f t="shared" si="1"/>
        <v>0</v>
      </c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  <c r="AE232" s="8"/>
      <c r="AF232" s="8"/>
      <c r="AG232" s="8"/>
      <c r="AH232" s="8"/>
      <c r="AI232" s="8"/>
      <c r="AJ232" s="8"/>
      <c r="AK232" s="8"/>
      <c r="AL232" s="8"/>
      <c r="AM232" s="8"/>
      <c r="AN232" s="8"/>
      <c r="AO232" s="8"/>
      <c r="AP232" s="8"/>
      <c r="AQ232" s="8"/>
      <c r="AR232" s="8"/>
      <c r="AS232" s="10"/>
      <c r="AT232" s="8"/>
      <c r="AU232" s="8"/>
      <c r="AV232" s="10"/>
      <c r="AW232" s="8"/>
      <c r="AX232" s="8"/>
      <c r="AY232" s="10"/>
      <c r="AZ232" s="8"/>
      <c r="BA232" s="8"/>
      <c r="BB232" s="10"/>
    </row>
    <row r="233" ht="15.75" customHeight="1">
      <c r="A233" s="35"/>
      <c r="B233" s="36">
        <f t="shared" si="1"/>
        <v>0</v>
      </c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  <c r="AE233" s="8"/>
      <c r="AF233" s="8"/>
      <c r="AG233" s="8"/>
      <c r="AH233" s="8"/>
      <c r="AI233" s="8"/>
      <c r="AJ233" s="8"/>
      <c r="AK233" s="8"/>
      <c r="AL233" s="8"/>
      <c r="AM233" s="8"/>
      <c r="AN233" s="8"/>
      <c r="AO233" s="8"/>
      <c r="AP233" s="8"/>
      <c r="AQ233" s="8"/>
      <c r="AR233" s="8"/>
      <c r="AS233" s="10"/>
      <c r="AT233" s="8"/>
      <c r="AU233" s="8"/>
      <c r="AV233" s="10"/>
      <c r="AW233" s="8"/>
      <c r="AX233" s="8"/>
      <c r="AY233" s="10"/>
      <c r="AZ233" s="8"/>
      <c r="BA233" s="8"/>
      <c r="BB233" s="10"/>
    </row>
    <row r="234" ht="15.75" customHeight="1">
      <c r="A234" s="35"/>
      <c r="B234" s="36">
        <f t="shared" si="1"/>
        <v>0</v>
      </c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  <c r="AE234" s="8"/>
      <c r="AF234" s="8"/>
      <c r="AG234" s="8"/>
      <c r="AH234" s="8"/>
      <c r="AI234" s="8"/>
      <c r="AJ234" s="8"/>
      <c r="AK234" s="8"/>
      <c r="AL234" s="8"/>
      <c r="AM234" s="8"/>
      <c r="AN234" s="8"/>
      <c r="AO234" s="8"/>
      <c r="AP234" s="8"/>
      <c r="AQ234" s="8"/>
      <c r="AR234" s="8"/>
      <c r="AS234" s="10"/>
      <c r="AT234" s="8"/>
      <c r="AU234" s="8"/>
      <c r="AV234" s="10"/>
      <c r="AW234" s="8"/>
      <c r="AX234" s="8"/>
      <c r="AY234" s="10"/>
      <c r="AZ234" s="8"/>
      <c r="BA234" s="8"/>
      <c r="BB234" s="10"/>
    </row>
    <row r="235" ht="15.75" customHeight="1">
      <c r="A235" s="35"/>
      <c r="B235" s="36">
        <f t="shared" si="1"/>
        <v>0</v>
      </c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  <c r="AE235" s="8"/>
      <c r="AF235" s="8"/>
      <c r="AG235" s="8"/>
      <c r="AH235" s="8"/>
      <c r="AI235" s="8"/>
      <c r="AJ235" s="8"/>
      <c r="AK235" s="8"/>
      <c r="AL235" s="8"/>
      <c r="AM235" s="8"/>
      <c r="AN235" s="8"/>
      <c r="AO235" s="8"/>
      <c r="AP235" s="8"/>
      <c r="AQ235" s="8"/>
      <c r="AR235" s="8"/>
      <c r="AS235" s="10"/>
      <c r="AT235" s="8"/>
      <c r="AU235" s="8"/>
      <c r="AV235" s="10"/>
      <c r="AW235" s="8"/>
      <c r="AX235" s="8"/>
      <c r="AY235" s="10"/>
      <c r="AZ235" s="8"/>
      <c r="BA235" s="8"/>
      <c r="BB235" s="10"/>
    </row>
    <row r="236" ht="15.75" customHeight="1">
      <c r="A236" s="35"/>
      <c r="B236" s="36">
        <f t="shared" si="1"/>
        <v>0</v>
      </c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  <c r="AE236" s="8"/>
      <c r="AF236" s="8"/>
      <c r="AG236" s="8"/>
      <c r="AH236" s="8"/>
      <c r="AI236" s="8"/>
      <c r="AJ236" s="8"/>
      <c r="AK236" s="8"/>
      <c r="AL236" s="8"/>
      <c r="AM236" s="8"/>
      <c r="AN236" s="8"/>
      <c r="AO236" s="8"/>
      <c r="AP236" s="8"/>
      <c r="AQ236" s="8"/>
      <c r="AR236" s="8"/>
      <c r="AS236" s="10"/>
      <c r="AT236" s="8"/>
      <c r="AU236" s="8"/>
      <c r="AV236" s="10"/>
      <c r="AW236" s="8"/>
      <c r="AX236" s="8"/>
      <c r="AY236" s="10"/>
      <c r="AZ236" s="8"/>
      <c r="BA236" s="8"/>
      <c r="BB236" s="10"/>
    </row>
    <row r="237" ht="15.75" customHeight="1">
      <c r="A237" s="35"/>
      <c r="B237" s="36">
        <f t="shared" si="1"/>
        <v>0</v>
      </c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  <c r="AE237" s="8"/>
      <c r="AF237" s="8"/>
      <c r="AG237" s="8"/>
      <c r="AH237" s="8"/>
      <c r="AI237" s="8"/>
      <c r="AJ237" s="8"/>
      <c r="AK237" s="8"/>
      <c r="AL237" s="8"/>
      <c r="AM237" s="8"/>
      <c r="AN237" s="8"/>
      <c r="AO237" s="8"/>
      <c r="AP237" s="8"/>
      <c r="AQ237" s="8"/>
      <c r="AR237" s="8"/>
      <c r="AS237" s="10"/>
      <c r="AT237" s="8"/>
      <c r="AU237" s="8"/>
      <c r="AV237" s="10"/>
      <c r="AW237" s="8"/>
      <c r="AX237" s="8"/>
      <c r="AY237" s="10"/>
      <c r="AZ237" s="8"/>
      <c r="BA237" s="8"/>
      <c r="BB237" s="10"/>
    </row>
    <row r="238" ht="15.75" customHeight="1">
      <c r="A238" s="35"/>
      <c r="B238" s="36">
        <f t="shared" si="1"/>
        <v>0</v>
      </c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  <c r="AE238" s="8"/>
      <c r="AF238" s="8"/>
      <c r="AG238" s="8"/>
      <c r="AH238" s="8"/>
      <c r="AI238" s="8"/>
      <c r="AJ238" s="8"/>
      <c r="AK238" s="8"/>
      <c r="AL238" s="8"/>
      <c r="AM238" s="8"/>
      <c r="AN238" s="8"/>
      <c r="AO238" s="8"/>
      <c r="AP238" s="8"/>
      <c r="AQ238" s="8"/>
      <c r="AR238" s="8"/>
      <c r="AS238" s="10"/>
      <c r="AT238" s="8"/>
      <c r="AU238" s="8"/>
      <c r="AV238" s="10"/>
      <c r="AW238" s="8"/>
      <c r="AX238" s="8"/>
      <c r="AY238" s="10"/>
      <c r="AZ238" s="8"/>
      <c r="BA238" s="8"/>
      <c r="BB238" s="10"/>
    </row>
    <row r="239" ht="15.75" customHeight="1">
      <c r="A239" s="35"/>
      <c r="B239" s="36">
        <f t="shared" si="1"/>
        <v>0</v>
      </c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  <c r="AE239" s="8"/>
      <c r="AF239" s="8"/>
      <c r="AG239" s="8"/>
      <c r="AH239" s="8"/>
      <c r="AI239" s="8"/>
      <c r="AJ239" s="8"/>
      <c r="AK239" s="8"/>
      <c r="AL239" s="8"/>
      <c r="AM239" s="8"/>
      <c r="AN239" s="8"/>
      <c r="AO239" s="8"/>
      <c r="AP239" s="8"/>
      <c r="AQ239" s="8"/>
      <c r="AR239" s="8"/>
      <c r="AS239" s="10"/>
      <c r="AT239" s="8"/>
      <c r="AU239" s="8"/>
      <c r="AV239" s="10"/>
      <c r="AW239" s="8"/>
      <c r="AX239" s="8"/>
      <c r="AY239" s="10"/>
      <c r="AZ239" s="8"/>
      <c r="BA239" s="8"/>
      <c r="BB239" s="10"/>
    </row>
    <row r="240" ht="15.75" customHeight="1">
      <c r="A240" s="35"/>
      <c r="B240" s="36">
        <f t="shared" si="1"/>
        <v>0</v>
      </c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  <c r="AE240" s="8"/>
      <c r="AF240" s="8"/>
      <c r="AG240" s="8"/>
      <c r="AH240" s="8"/>
      <c r="AI240" s="8"/>
      <c r="AJ240" s="8"/>
      <c r="AK240" s="8"/>
      <c r="AL240" s="8"/>
      <c r="AM240" s="8"/>
      <c r="AN240" s="8"/>
      <c r="AO240" s="8"/>
      <c r="AP240" s="8"/>
      <c r="AQ240" s="8"/>
      <c r="AR240" s="8"/>
      <c r="AS240" s="10"/>
      <c r="AT240" s="8"/>
      <c r="AU240" s="8"/>
      <c r="AV240" s="10"/>
      <c r="AW240" s="8"/>
      <c r="AX240" s="8"/>
      <c r="AY240" s="10"/>
      <c r="AZ240" s="8"/>
      <c r="BA240" s="8"/>
      <c r="BB240" s="10"/>
    </row>
    <row r="241" ht="15.75" customHeight="1">
      <c r="A241" s="35"/>
      <c r="B241" s="36">
        <f t="shared" si="1"/>
        <v>0</v>
      </c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  <c r="AE241" s="8"/>
      <c r="AF241" s="8"/>
      <c r="AG241" s="8"/>
      <c r="AH241" s="8"/>
      <c r="AI241" s="8"/>
      <c r="AJ241" s="8"/>
      <c r="AK241" s="8"/>
      <c r="AL241" s="8"/>
      <c r="AM241" s="8"/>
      <c r="AN241" s="8"/>
      <c r="AO241" s="8"/>
      <c r="AP241" s="8"/>
      <c r="AQ241" s="8"/>
      <c r="AR241" s="8"/>
      <c r="AS241" s="10"/>
      <c r="AT241" s="8"/>
      <c r="AU241" s="8"/>
      <c r="AV241" s="10"/>
      <c r="AW241" s="8"/>
      <c r="AX241" s="8"/>
      <c r="AY241" s="10"/>
      <c r="AZ241" s="8"/>
      <c r="BA241" s="8"/>
      <c r="BB241" s="10"/>
    </row>
    <row r="242" ht="15.75" customHeight="1">
      <c r="A242" s="35"/>
      <c r="B242" s="36">
        <f t="shared" si="1"/>
        <v>0</v>
      </c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  <c r="AE242" s="8"/>
      <c r="AF242" s="8"/>
      <c r="AG242" s="8"/>
      <c r="AH242" s="8"/>
      <c r="AI242" s="8"/>
      <c r="AJ242" s="8"/>
      <c r="AK242" s="8"/>
      <c r="AL242" s="8"/>
      <c r="AM242" s="8"/>
      <c r="AN242" s="8"/>
      <c r="AO242" s="8"/>
      <c r="AP242" s="8"/>
      <c r="AQ242" s="8"/>
      <c r="AR242" s="8"/>
      <c r="AS242" s="10"/>
      <c r="AT242" s="8"/>
      <c r="AU242" s="8"/>
      <c r="AV242" s="10"/>
      <c r="AW242" s="8"/>
      <c r="AX242" s="8"/>
      <c r="AY242" s="10"/>
      <c r="AZ242" s="8"/>
      <c r="BA242" s="8"/>
      <c r="BB242" s="10"/>
    </row>
    <row r="243" ht="15.75" customHeight="1">
      <c r="A243" s="35"/>
      <c r="B243" s="36">
        <f t="shared" si="1"/>
        <v>0</v>
      </c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  <c r="AE243" s="8"/>
      <c r="AF243" s="8"/>
      <c r="AG243" s="8"/>
      <c r="AH243" s="8"/>
      <c r="AI243" s="8"/>
      <c r="AJ243" s="8"/>
      <c r="AK243" s="8"/>
      <c r="AL243" s="8"/>
      <c r="AM243" s="8"/>
      <c r="AN243" s="8"/>
      <c r="AO243" s="8"/>
      <c r="AP243" s="8"/>
      <c r="AQ243" s="8"/>
      <c r="AR243" s="8"/>
      <c r="AS243" s="10"/>
      <c r="AT243" s="8"/>
      <c r="AU243" s="8"/>
      <c r="AV243" s="10"/>
      <c r="AW243" s="8"/>
      <c r="AX243" s="8"/>
      <c r="AY243" s="10"/>
      <c r="AZ243" s="8"/>
      <c r="BA243" s="8"/>
      <c r="BB243" s="10"/>
    </row>
    <row r="244" ht="15.75" customHeight="1">
      <c r="A244" s="41"/>
      <c r="B244" s="36">
        <f t="shared" si="1"/>
        <v>0</v>
      </c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8"/>
      <c r="AS244" s="10"/>
      <c r="AT244" s="8"/>
      <c r="AU244" s="8"/>
      <c r="AV244" s="10"/>
      <c r="AW244" s="8"/>
      <c r="AX244" s="8"/>
      <c r="AY244" s="10"/>
      <c r="AZ244" s="8"/>
      <c r="BA244" s="8"/>
      <c r="BB244" s="10"/>
    </row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1.0"/>
    <col customWidth="1" min="2" max="2" width="18.63"/>
    <col customWidth="1" min="3" max="4" width="14.75"/>
    <col customWidth="1" min="5" max="7" width="9.38"/>
    <col customWidth="1" min="8" max="27" width="8.63"/>
    <col customWidth="1" min="28" max="30" width="10.25"/>
    <col customWidth="1" min="31" max="31" width="10.38"/>
    <col customWidth="1" min="32" max="34" width="10.25"/>
    <col customWidth="1" min="35" max="36" width="10.38"/>
    <col customWidth="1" min="37" max="39" width="10.25"/>
    <col customWidth="1" min="40" max="41" width="10.38"/>
    <col customWidth="1" min="42" max="43" width="8.63"/>
    <col customWidth="1" min="44" max="46" width="10.25"/>
  </cols>
  <sheetData>
    <row r="1">
      <c r="A1" s="1" t="s">
        <v>0</v>
      </c>
      <c r="B1" s="2" t="s">
        <v>1</v>
      </c>
      <c r="C1" s="5">
        <v>46025.0</v>
      </c>
      <c r="D1" s="5">
        <v>46032.0</v>
      </c>
      <c r="E1" s="5">
        <v>46039.0</v>
      </c>
      <c r="F1" s="5">
        <v>46046.0</v>
      </c>
      <c r="G1" s="5">
        <v>46053.0</v>
      </c>
      <c r="H1" s="5">
        <v>46060.0</v>
      </c>
      <c r="I1" s="5">
        <v>46067.0</v>
      </c>
      <c r="J1" s="5">
        <v>46074.0</v>
      </c>
      <c r="K1" s="5">
        <v>46081.0</v>
      </c>
      <c r="L1" s="5">
        <v>46088.0</v>
      </c>
      <c r="M1" s="5">
        <v>46095.0</v>
      </c>
      <c r="N1" s="5">
        <v>46102.0</v>
      </c>
      <c r="O1" s="5">
        <v>46109.0</v>
      </c>
      <c r="P1" s="5">
        <v>46116.0</v>
      </c>
      <c r="Q1" s="5">
        <v>46123.0</v>
      </c>
      <c r="R1" s="5">
        <v>46130.0</v>
      </c>
      <c r="S1" s="5">
        <v>46137.0</v>
      </c>
      <c r="T1" s="5">
        <v>46144.0</v>
      </c>
      <c r="U1" s="5">
        <v>46151.0</v>
      </c>
      <c r="V1" s="5">
        <v>46158.0</v>
      </c>
      <c r="W1" s="5">
        <v>46165.0</v>
      </c>
      <c r="X1" s="5">
        <v>46172.0</v>
      </c>
      <c r="Y1" s="5">
        <v>46179.0</v>
      </c>
      <c r="Z1" s="5">
        <v>46186.0</v>
      </c>
      <c r="AA1" s="5">
        <v>46193.0</v>
      </c>
      <c r="AB1" s="5">
        <v>46200.0</v>
      </c>
      <c r="AC1" s="5">
        <v>46207.0</v>
      </c>
      <c r="AD1" s="5">
        <v>46214.0</v>
      </c>
      <c r="AE1" s="5">
        <v>46221.0</v>
      </c>
      <c r="AF1" s="5">
        <v>46228.0</v>
      </c>
      <c r="AG1" s="5">
        <v>46235.0</v>
      </c>
      <c r="AH1" s="5">
        <v>46242.0</v>
      </c>
      <c r="AI1" s="5">
        <v>46249.0</v>
      </c>
      <c r="AJ1" s="5">
        <v>46256.0</v>
      </c>
      <c r="AK1" s="5">
        <v>46263.0</v>
      </c>
      <c r="AL1" s="5">
        <v>46270.0</v>
      </c>
      <c r="AM1" s="5">
        <v>46277.0</v>
      </c>
      <c r="AN1" s="5">
        <v>46284.0</v>
      </c>
      <c r="AO1" s="5">
        <v>46291.0</v>
      </c>
      <c r="AP1" s="5">
        <v>46298.0</v>
      </c>
      <c r="AQ1" s="5">
        <v>46305.0</v>
      </c>
      <c r="AR1" s="5">
        <v>46312.0</v>
      </c>
      <c r="AS1" s="5">
        <v>46319.0</v>
      </c>
      <c r="AT1" s="5">
        <v>46326.0</v>
      </c>
    </row>
    <row r="2">
      <c r="A2" s="1">
        <v>16.0</v>
      </c>
      <c r="B2" s="7">
        <f>SUM(B3:B315)</f>
        <v>623.5</v>
      </c>
      <c r="C2" s="8"/>
      <c r="D2" s="8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10"/>
    </row>
    <row r="3">
      <c r="A3" s="11" t="s">
        <v>3</v>
      </c>
      <c r="B3" s="8">
        <f t="shared" ref="B3:B347" si="1">SUM(C3:CB3)</f>
        <v>0</v>
      </c>
      <c r="C3" s="20" t="s">
        <v>62</v>
      </c>
      <c r="D3" s="20" t="s">
        <v>62</v>
      </c>
      <c r="E3" s="21" t="s">
        <v>62</v>
      </c>
      <c r="F3" s="21" t="s">
        <v>62</v>
      </c>
      <c r="G3" s="8"/>
      <c r="H3" s="20" t="s">
        <v>62</v>
      </c>
      <c r="I3" s="8"/>
      <c r="J3" s="20" t="s">
        <v>311</v>
      </c>
      <c r="K3" s="21" t="s">
        <v>62</v>
      </c>
      <c r="L3" s="8"/>
      <c r="M3" s="8"/>
      <c r="N3" s="20" t="s">
        <v>62</v>
      </c>
      <c r="O3" s="20" t="s">
        <v>62</v>
      </c>
      <c r="P3" s="20" t="s">
        <v>62</v>
      </c>
      <c r="Q3" s="20" t="s">
        <v>311</v>
      </c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20"/>
      <c r="AF3" s="20"/>
      <c r="AG3" s="20"/>
      <c r="AH3" s="20"/>
      <c r="AI3" s="21"/>
      <c r="AJ3" s="20"/>
      <c r="AK3" s="20"/>
      <c r="AL3" s="20"/>
      <c r="AM3" s="20"/>
      <c r="AN3" s="20"/>
      <c r="AO3" s="20"/>
      <c r="AP3" s="8"/>
      <c r="AQ3" s="8"/>
      <c r="AR3" s="8"/>
      <c r="AS3" s="8"/>
      <c r="AT3" s="10"/>
    </row>
    <row r="4">
      <c r="A4" s="11" t="s">
        <v>6</v>
      </c>
      <c r="B4" s="8">
        <f t="shared" si="1"/>
        <v>17</v>
      </c>
      <c r="C4" s="20">
        <v>1.5</v>
      </c>
      <c r="D4" s="20">
        <v>2.0</v>
      </c>
      <c r="E4" s="21">
        <v>2.5</v>
      </c>
      <c r="F4" s="21">
        <v>1.75</v>
      </c>
      <c r="G4" s="8"/>
      <c r="H4" s="20">
        <v>2.0</v>
      </c>
      <c r="I4" s="8"/>
      <c r="J4" s="20">
        <v>1.75</v>
      </c>
      <c r="K4" s="21">
        <v>2.0</v>
      </c>
      <c r="L4" s="8"/>
      <c r="M4" s="8"/>
      <c r="N4" s="8"/>
      <c r="O4" s="8"/>
      <c r="P4" s="20">
        <v>1.5</v>
      </c>
      <c r="Q4" s="20">
        <v>2.0</v>
      </c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8"/>
      <c r="AP4" s="8"/>
      <c r="AQ4" s="8"/>
      <c r="AR4" s="8"/>
      <c r="AS4" s="8"/>
      <c r="AT4" s="10"/>
    </row>
    <row r="5">
      <c r="A5" s="11" t="s">
        <v>7</v>
      </c>
      <c r="B5" s="8">
        <f t="shared" si="1"/>
        <v>18.75</v>
      </c>
      <c r="C5" s="20">
        <v>1.5</v>
      </c>
      <c r="D5" s="20">
        <v>2.0</v>
      </c>
      <c r="E5" s="21">
        <v>2.5</v>
      </c>
      <c r="F5" s="21">
        <v>1.75</v>
      </c>
      <c r="G5" s="20">
        <v>2.0</v>
      </c>
      <c r="H5" s="20">
        <v>2.0</v>
      </c>
      <c r="I5" s="20">
        <v>1.75</v>
      </c>
      <c r="J5" s="20">
        <v>1.75</v>
      </c>
      <c r="K5" s="8"/>
      <c r="L5" s="8"/>
      <c r="M5" s="8"/>
      <c r="N5" s="8"/>
      <c r="O5" s="8"/>
      <c r="P5" s="20">
        <v>1.5</v>
      </c>
      <c r="Q5" s="20">
        <v>2.0</v>
      </c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20"/>
      <c r="AE5" s="20"/>
      <c r="AF5" s="20"/>
      <c r="AG5" s="20"/>
      <c r="AH5" s="8"/>
      <c r="AI5" s="21"/>
      <c r="AJ5" s="20"/>
      <c r="AK5" s="20"/>
      <c r="AL5" s="20"/>
      <c r="AM5" s="8"/>
      <c r="AN5" s="20"/>
      <c r="AO5" s="20"/>
      <c r="AP5" s="8"/>
      <c r="AQ5" s="8"/>
      <c r="AR5" s="8"/>
      <c r="AS5" s="8"/>
      <c r="AT5" s="10"/>
    </row>
    <row r="6">
      <c r="A6" s="11" t="s">
        <v>51</v>
      </c>
      <c r="B6" s="8">
        <f t="shared" si="1"/>
        <v>1</v>
      </c>
      <c r="C6" s="8"/>
      <c r="D6" s="8"/>
      <c r="E6" s="8"/>
      <c r="F6" s="8"/>
      <c r="G6" s="8"/>
      <c r="H6" s="8"/>
      <c r="I6" s="8"/>
      <c r="J6" s="8"/>
      <c r="K6" s="21">
        <v>1.0</v>
      </c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20"/>
      <c r="AM6" s="8"/>
      <c r="AN6" s="8"/>
      <c r="AO6" s="8"/>
      <c r="AP6" s="8"/>
      <c r="AQ6" s="8"/>
      <c r="AR6" s="8"/>
      <c r="AS6" s="8"/>
      <c r="AT6" s="10"/>
    </row>
    <row r="7">
      <c r="A7" s="11" t="s">
        <v>13</v>
      </c>
      <c r="B7" s="8">
        <f t="shared" si="1"/>
        <v>0</v>
      </c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  <c r="AJ7" s="8"/>
      <c r="AK7" s="8"/>
      <c r="AL7" s="8"/>
      <c r="AM7" s="8"/>
      <c r="AN7" s="8"/>
      <c r="AO7" s="8"/>
      <c r="AP7" s="8"/>
      <c r="AQ7" s="8"/>
      <c r="AR7" s="8"/>
      <c r="AS7" s="8"/>
      <c r="AT7" s="10"/>
    </row>
    <row r="8">
      <c r="A8" s="11" t="s">
        <v>55</v>
      </c>
      <c r="B8" s="8">
        <f t="shared" si="1"/>
        <v>0</v>
      </c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  <c r="AO8" s="8"/>
      <c r="AP8" s="8"/>
      <c r="AQ8" s="8"/>
      <c r="AR8" s="8"/>
      <c r="AS8" s="8"/>
      <c r="AT8" s="10"/>
    </row>
    <row r="9">
      <c r="A9" s="11" t="s">
        <v>17</v>
      </c>
      <c r="B9" s="8">
        <f t="shared" si="1"/>
        <v>0</v>
      </c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8"/>
      <c r="AM9" s="8"/>
      <c r="AN9" s="8"/>
      <c r="AO9" s="8"/>
      <c r="AP9" s="8"/>
      <c r="AQ9" s="8"/>
      <c r="AR9" s="8"/>
      <c r="AS9" s="8"/>
      <c r="AT9" s="10"/>
    </row>
    <row r="10">
      <c r="A10" s="11" t="s">
        <v>64</v>
      </c>
      <c r="B10" s="8">
        <f t="shared" si="1"/>
        <v>0</v>
      </c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  <c r="AJ10" s="8"/>
      <c r="AK10" s="8"/>
      <c r="AL10" s="8"/>
      <c r="AM10" s="8"/>
      <c r="AN10" s="8"/>
      <c r="AO10" s="8"/>
      <c r="AP10" s="8"/>
      <c r="AQ10" s="8"/>
      <c r="AR10" s="8"/>
      <c r="AS10" s="8"/>
      <c r="AT10" s="10"/>
    </row>
    <row r="11">
      <c r="A11" s="11" t="s">
        <v>65</v>
      </c>
      <c r="B11" s="8">
        <f t="shared" si="1"/>
        <v>0</v>
      </c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  <c r="AN11" s="8"/>
      <c r="AO11" s="8"/>
      <c r="AP11" s="8"/>
      <c r="AQ11" s="8"/>
      <c r="AR11" s="8"/>
      <c r="AS11" s="8"/>
      <c r="AT11" s="10"/>
    </row>
    <row r="12">
      <c r="A12" s="11" t="s">
        <v>66</v>
      </c>
      <c r="B12" s="8">
        <f t="shared" si="1"/>
        <v>0</v>
      </c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  <c r="AO12" s="8"/>
      <c r="AP12" s="8"/>
      <c r="AQ12" s="8"/>
      <c r="AR12" s="8"/>
      <c r="AS12" s="8"/>
      <c r="AT12" s="10"/>
    </row>
    <row r="13">
      <c r="A13" s="11" t="s">
        <v>23</v>
      </c>
      <c r="B13" s="8">
        <f t="shared" si="1"/>
        <v>8.25</v>
      </c>
      <c r="C13" s="8"/>
      <c r="D13" s="8"/>
      <c r="E13" s="8"/>
      <c r="F13" s="8"/>
      <c r="G13" s="20">
        <v>3.0</v>
      </c>
      <c r="H13" s="8"/>
      <c r="I13" s="8"/>
      <c r="J13" s="8"/>
      <c r="K13" s="8"/>
      <c r="L13" s="20">
        <v>1.5</v>
      </c>
      <c r="M13" s="20">
        <v>1.75</v>
      </c>
      <c r="N13" s="20">
        <v>2.0</v>
      </c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  <c r="AO13" s="8"/>
      <c r="AP13" s="8"/>
      <c r="AQ13" s="8"/>
      <c r="AR13" s="8"/>
      <c r="AS13" s="8"/>
      <c r="AT13" s="10"/>
    </row>
    <row r="14">
      <c r="A14" s="11" t="s">
        <v>24</v>
      </c>
      <c r="B14" s="8">
        <f t="shared" si="1"/>
        <v>0</v>
      </c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10"/>
    </row>
    <row r="15">
      <c r="A15" s="11" t="s">
        <v>33</v>
      </c>
      <c r="B15" s="8">
        <f t="shared" si="1"/>
        <v>1.5</v>
      </c>
      <c r="C15" s="20">
        <v>1.5</v>
      </c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21"/>
      <c r="AJ15" s="20"/>
      <c r="AK15" s="8"/>
      <c r="AL15" s="8"/>
      <c r="AM15" s="8"/>
      <c r="AN15" s="8"/>
      <c r="AO15" s="8"/>
      <c r="AP15" s="8"/>
      <c r="AQ15" s="8"/>
      <c r="AR15" s="8"/>
      <c r="AS15" s="8"/>
      <c r="AT15" s="10"/>
    </row>
    <row r="16">
      <c r="A16" s="11" t="s">
        <v>61</v>
      </c>
      <c r="B16" s="8">
        <f t="shared" si="1"/>
        <v>1.5</v>
      </c>
      <c r="C16" s="20">
        <v>1.5</v>
      </c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21"/>
      <c r="AJ16" s="20"/>
      <c r="AK16" s="8"/>
      <c r="AL16" s="8"/>
      <c r="AM16" s="8"/>
      <c r="AN16" s="8"/>
      <c r="AO16" s="8"/>
      <c r="AP16" s="8"/>
      <c r="AQ16" s="8"/>
      <c r="AR16" s="8"/>
      <c r="AS16" s="8"/>
      <c r="AT16" s="10"/>
    </row>
    <row r="17">
      <c r="A17" s="11" t="s">
        <v>67</v>
      </c>
      <c r="B17" s="8">
        <f t="shared" si="1"/>
        <v>0</v>
      </c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  <c r="AL17" s="8"/>
      <c r="AM17" s="8"/>
      <c r="AN17" s="8"/>
      <c r="AO17" s="8"/>
      <c r="AP17" s="8"/>
      <c r="AQ17" s="8"/>
      <c r="AR17" s="8"/>
      <c r="AS17" s="8"/>
      <c r="AT17" s="10"/>
    </row>
    <row r="18">
      <c r="A18" s="11" t="s">
        <v>68</v>
      </c>
      <c r="B18" s="8">
        <f t="shared" si="1"/>
        <v>0</v>
      </c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10"/>
    </row>
    <row r="19">
      <c r="A19" s="11" t="s">
        <v>69</v>
      </c>
      <c r="B19" s="8">
        <f t="shared" si="1"/>
        <v>7.25</v>
      </c>
      <c r="C19" s="8"/>
      <c r="D19" s="8"/>
      <c r="E19" s="8"/>
      <c r="F19" s="8"/>
      <c r="G19" s="8"/>
      <c r="H19" s="20">
        <v>2.0</v>
      </c>
      <c r="I19" s="8"/>
      <c r="J19" s="20">
        <v>1.75</v>
      </c>
      <c r="K19" s="8"/>
      <c r="L19" s="20">
        <v>2.0</v>
      </c>
      <c r="M19" s="8"/>
      <c r="N19" s="20">
        <v>1.5</v>
      </c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20"/>
      <c r="AF19" s="20"/>
      <c r="AG19" s="20"/>
      <c r="AH19" s="20"/>
      <c r="AI19" s="20"/>
      <c r="AJ19" s="20"/>
      <c r="AK19" s="8"/>
      <c r="AL19" s="20"/>
      <c r="AM19" s="8"/>
      <c r="AN19" s="8"/>
      <c r="AO19" s="8"/>
      <c r="AP19" s="8"/>
      <c r="AQ19" s="8"/>
      <c r="AR19" s="8"/>
      <c r="AS19" s="8"/>
      <c r="AT19" s="10"/>
    </row>
    <row r="20">
      <c r="A20" s="11" t="s">
        <v>70</v>
      </c>
      <c r="B20" s="8">
        <f t="shared" si="1"/>
        <v>0</v>
      </c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  <c r="AO20" s="8"/>
      <c r="AP20" s="8"/>
      <c r="AQ20" s="8"/>
      <c r="AR20" s="8"/>
      <c r="AS20" s="8"/>
      <c r="AT20" s="10"/>
    </row>
    <row r="21" ht="15.75" customHeight="1">
      <c r="A21" s="11" t="s">
        <v>52</v>
      </c>
      <c r="B21" s="8">
        <f t="shared" si="1"/>
        <v>0</v>
      </c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  <c r="AJ21" s="8"/>
      <c r="AK21" s="8"/>
      <c r="AL21" s="8"/>
      <c r="AM21" s="8"/>
      <c r="AN21" s="8"/>
      <c r="AO21" s="8"/>
      <c r="AP21" s="8"/>
      <c r="AQ21" s="8"/>
      <c r="AR21" s="8"/>
      <c r="AS21" s="8"/>
      <c r="AT21" s="10"/>
    </row>
    <row r="22" ht="15.75" customHeight="1">
      <c r="A22" s="11" t="s">
        <v>16</v>
      </c>
      <c r="B22" s="8">
        <f t="shared" si="1"/>
        <v>2</v>
      </c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20">
        <v>2.0</v>
      </c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  <c r="AO22" s="8"/>
      <c r="AP22" s="8"/>
      <c r="AQ22" s="8"/>
      <c r="AR22" s="8"/>
      <c r="AS22" s="8"/>
      <c r="AT22" s="10"/>
    </row>
    <row r="23" ht="15.75" customHeight="1">
      <c r="A23" s="11" t="s">
        <v>46</v>
      </c>
      <c r="B23" s="8">
        <f t="shared" si="1"/>
        <v>0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  <c r="AJ23" s="8"/>
      <c r="AK23" s="8"/>
      <c r="AL23" s="8"/>
      <c r="AM23" s="8"/>
      <c r="AN23" s="8"/>
      <c r="AO23" s="8"/>
      <c r="AP23" s="8"/>
      <c r="AQ23" s="8"/>
      <c r="AR23" s="8"/>
      <c r="AS23" s="8"/>
      <c r="AT23" s="10"/>
    </row>
    <row r="24" ht="15.75" customHeight="1">
      <c r="A24" s="11" t="s">
        <v>71</v>
      </c>
      <c r="B24" s="8">
        <f t="shared" si="1"/>
        <v>0</v>
      </c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  <c r="AO24" s="8"/>
      <c r="AP24" s="8"/>
      <c r="AQ24" s="8"/>
      <c r="AR24" s="8"/>
      <c r="AS24" s="8"/>
      <c r="AT24" s="10"/>
    </row>
    <row r="25" ht="15.75" customHeight="1">
      <c r="A25" s="11" t="s">
        <v>72</v>
      </c>
      <c r="B25" s="8">
        <f t="shared" si="1"/>
        <v>0</v>
      </c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  <c r="AT25" s="10"/>
    </row>
    <row r="26" ht="15.75" customHeight="1">
      <c r="A26" s="11" t="s">
        <v>48</v>
      </c>
      <c r="B26" s="8">
        <f t="shared" si="1"/>
        <v>7.25</v>
      </c>
      <c r="C26" s="8"/>
      <c r="D26" s="8"/>
      <c r="E26" s="8"/>
      <c r="F26" s="8"/>
      <c r="G26" s="20">
        <v>2.0</v>
      </c>
      <c r="H26" s="8"/>
      <c r="I26" s="20">
        <v>1.5</v>
      </c>
      <c r="J26" s="8"/>
      <c r="K26" s="8"/>
      <c r="L26" s="20">
        <v>2.0</v>
      </c>
      <c r="M26" s="20">
        <v>1.75</v>
      </c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8"/>
      <c r="AJ26" s="8"/>
      <c r="AK26" s="8"/>
      <c r="AL26" s="8"/>
      <c r="AM26" s="8"/>
      <c r="AN26" s="8"/>
      <c r="AO26" s="8"/>
      <c r="AP26" s="8"/>
      <c r="AQ26" s="8"/>
      <c r="AR26" s="8"/>
      <c r="AS26" s="8"/>
      <c r="AT26" s="10"/>
    </row>
    <row r="27" ht="15.75" customHeight="1">
      <c r="A27" s="11" t="s">
        <v>41</v>
      </c>
      <c r="B27" s="8">
        <f t="shared" si="1"/>
        <v>3.5</v>
      </c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20">
        <v>2.0</v>
      </c>
      <c r="O27" s="8"/>
      <c r="P27" s="8"/>
      <c r="Q27" s="20">
        <v>1.5</v>
      </c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I27" s="8"/>
      <c r="AJ27" s="8"/>
      <c r="AK27" s="8"/>
      <c r="AL27" s="8"/>
      <c r="AM27" s="8"/>
      <c r="AN27" s="8"/>
      <c r="AO27" s="8"/>
      <c r="AP27" s="8"/>
      <c r="AQ27" s="8"/>
      <c r="AR27" s="8"/>
      <c r="AS27" s="8"/>
      <c r="AT27" s="10"/>
    </row>
    <row r="28" ht="15.75" customHeight="1">
      <c r="A28" s="11" t="s">
        <v>40</v>
      </c>
      <c r="B28" s="8">
        <f t="shared" si="1"/>
        <v>0</v>
      </c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8"/>
      <c r="AK28" s="8"/>
      <c r="AL28" s="8"/>
      <c r="AM28" s="8"/>
      <c r="AN28" s="20"/>
      <c r="AO28" s="8"/>
      <c r="AP28" s="8"/>
      <c r="AQ28" s="8"/>
      <c r="AR28" s="8"/>
      <c r="AS28" s="8"/>
      <c r="AT28" s="10"/>
    </row>
    <row r="29" ht="15.75" customHeight="1">
      <c r="A29" s="11" t="s">
        <v>10</v>
      </c>
      <c r="B29" s="8">
        <f t="shared" si="1"/>
        <v>0</v>
      </c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20"/>
      <c r="AG29" s="8"/>
      <c r="AH29" s="8"/>
      <c r="AI29" s="8"/>
      <c r="AJ29" s="8"/>
      <c r="AK29" s="8"/>
      <c r="AL29" s="8"/>
      <c r="AM29" s="8"/>
      <c r="AN29" s="8"/>
      <c r="AO29" s="8"/>
      <c r="AP29" s="8"/>
      <c r="AQ29" s="8"/>
      <c r="AR29" s="8"/>
      <c r="AS29" s="8"/>
      <c r="AT29" s="10"/>
    </row>
    <row r="30" ht="15.75" customHeight="1">
      <c r="A30" s="11" t="s">
        <v>9</v>
      </c>
      <c r="B30" s="8">
        <f t="shared" si="1"/>
        <v>0</v>
      </c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  <c r="AJ30" s="8"/>
      <c r="AK30" s="8"/>
      <c r="AL30" s="8"/>
      <c r="AM30" s="8"/>
      <c r="AN30" s="8"/>
      <c r="AO30" s="8"/>
      <c r="AP30" s="8"/>
      <c r="AQ30" s="8"/>
      <c r="AR30" s="8"/>
      <c r="AS30" s="8"/>
      <c r="AT30" s="10"/>
    </row>
    <row r="31" ht="15.75" customHeight="1">
      <c r="A31" s="11" t="s">
        <v>73</v>
      </c>
      <c r="B31" s="8">
        <f t="shared" si="1"/>
        <v>0</v>
      </c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  <c r="AO31" s="8"/>
      <c r="AP31" s="8"/>
      <c r="AQ31" s="8"/>
      <c r="AR31" s="8"/>
      <c r="AS31" s="8"/>
      <c r="AT31" s="10"/>
    </row>
    <row r="32" ht="15.75" customHeight="1">
      <c r="A32" s="11" t="s">
        <v>31</v>
      </c>
      <c r="B32" s="8">
        <f t="shared" si="1"/>
        <v>0</v>
      </c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  <c r="AO32" s="8"/>
      <c r="AP32" s="8"/>
      <c r="AQ32" s="8"/>
      <c r="AR32" s="8"/>
      <c r="AS32" s="8"/>
      <c r="AT32" s="10"/>
    </row>
    <row r="33" ht="15.75" customHeight="1">
      <c r="A33" s="11" t="s">
        <v>74</v>
      </c>
      <c r="B33" s="8">
        <f t="shared" si="1"/>
        <v>0</v>
      </c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  <c r="AL33" s="8"/>
      <c r="AM33" s="8"/>
      <c r="AN33" s="8"/>
      <c r="AO33" s="8"/>
      <c r="AP33" s="8"/>
      <c r="AQ33" s="8"/>
      <c r="AR33" s="8"/>
      <c r="AS33" s="8"/>
      <c r="AT33" s="10"/>
    </row>
    <row r="34" ht="15.75" customHeight="1">
      <c r="A34" s="11" t="s">
        <v>75</v>
      </c>
      <c r="B34" s="8">
        <f t="shared" si="1"/>
        <v>0</v>
      </c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8"/>
      <c r="AJ34" s="8"/>
      <c r="AK34" s="8"/>
      <c r="AL34" s="8"/>
      <c r="AM34" s="8"/>
      <c r="AN34" s="8"/>
      <c r="AO34" s="8"/>
      <c r="AP34" s="8"/>
      <c r="AQ34" s="8"/>
      <c r="AR34" s="8"/>
      <c r="AS34" s="8"/>
      <c r="AT34" s="10"/>
    </row>
    <row r="35" ht="15.75" customHeight="1">
      <c r="A35" s="11" t="s">
        <v>15</v>
      </c>
      <c r="B35" s="8">
        <f t="shared" si="1"/>
        <v>0</v>
      </c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8"/>
      <c r="AH35" s="8"/>
      <c r="AI35" s="8"/>
      <c r="AJ35" s="8"/>
      <c r="AK35" s="8"/>
      <c r="AL35" s="8"/>
      <c r="AM35" s="8"/>
      <c r="AN35" s="8"/>
      <c r="AO35" s="8"/>
      <c r="AP35" s="8"/>
      <c r="AQ35" s="8"/>
      <c r="AR35" s="8"/>
      <c r="AS35" s="8"/>
      <c r="AT35" s="10"/>
    </row>
    <row r="36" ht="15.75" customHeight="1">
      <c r="A36" s="11" t="s">
        <v>12</v>
      </c>
      <c r="B36" s="8">
        <f t="shared" si="1"/>
        <v>2</v>
      </c>
      <c r="C36" s="8"/>
      <c r="D36" s="8"/>
      <c r="E36" s="8"/>
      <c r="F36" s="8"/>
      <c r="G36" s="8"/>
      <c r="H36" s="20">
        <v>2.0</v>
      </c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  <c r="AI36" s="8"/>
      <c r="AJ36" s="8"/>
      <c r="AK36" s="8"/>
      <c r="AL36" s="8"/>
      <c r="AM36" s="8"/>
      <c r="AN36" s="8"/>
      <c r="AO36" s="8"/>
      <c r="AP36" s="8"/>
      <c r="AQ36" s="8"/>
      <c r="AR36" s="8"/>
      <c r="AS36" s="8"/>
      <c r="AT36" s="10"/>
    </row>
    <row r="37" ht="15.75" customHeight="1">
      <c r="A37" s="11" t="s">
        <v>76</v>
      </c>
      <c r="B37" s="8">
        <f t="shared" si="1"/>
        <v>0</v>
      </c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I37" s="8"/>
      <c r="AJ37" s="8"/>
      <c r="AK37" s="8"/>
      <c r="AL37" s="8"/>
      <c r="AM37" s="8"/>
      <c r="AN37" s="8"/>
      <c r="AO37" s="8"/>
      <c r="AP37" s="8"/>
      <c r="AQ37" s="8"/>
      <c r="AR37" s="8"/>
      <c r="AS37" s="8"/>
      <c r="AT37" s="10"/>
    </row>
    <row r="38" ht="15.75" customHeight="1">
      <c r="A38" s="11" t="s">
        <v>77</v>
      </c>
      <c r="B38" s="8">
        <f t="shared" si="1"/>
        <v>0</v>
      </c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I38" s="8"/>
      <c r="AJ38" s="8"/>
      <c r="AK38" s="20"/>
      <c r="AL38" s="8"/>
      <c r="AM38" s="8"/>
      <c r="AN38" s="8"/>
      <c r="AO38" s="8"/>
      <c r="AP38" s="8"/>
      <c r="AQ38" s="8"/>
      <c r="AR38" s="8"/>
      <c r="AS38" s="8"/>
      <c r="AT38" s="10"/>
    </row>
    <row r="39" ht="15.75" customHeight="1">
      <c r="A39" s="11" t="s">
        <v>78</v>
      </c>
      <c r="B39" s="8">
        <f t="shared" si="1"/>
        <v>0</v>
      </c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  <c r="AF39" s="8"/>
      <c r="AG39" s="8"/>
      <c r="AH39" s="8"/>
      <c r="AI39" s="8"/>
      <c r="AJ39" s="8"/>
      <c r="AK39" s="8"/>
      <c r="AL39" s="8"/>
      <c r="AM39" s="8"/>
      <c r="AN39" s="8"/>
      <c r="AO39" s="8"/>
      <c r="AP39" s="8"/>
      <c r="AQ39" s="8"/>
      <c r="AR39" s="8"/>
      <c r="AS39" s="8"/>
      <c r="AT39" s="10"/>
    </row>
    <row r="40" ht="15.75" customHeight="1">
      <c r="A40" s="11" t="s">
        <v>79</v>
      </c>
      <c r="B40" s="8">
        <f t="shared" si="1"/>
        <v>0</v>
      </c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8"/>
      <c r="AG40" s="20"/>
      <c r="AH40" s="8"/>
      <c r="AI40" s="8"/>
      <c r="AJ40" s="8"/>
      <c r="AK40" s="8"/>
      <c r="AL40" s="8"/>
      <c r="AM40" s="8"/>
      <c r="AN40" s="8"/>
      <c r="AO40" s="8"/>
      <c r="AP40" s="8"/>
      <c r="AQ40" s="8"/>
      <c r="AR40" s="8"/>
      <c r="AS40" s="8"/>
      <c r="AT40" s="10"/>
    </row>
    <row r="41" ht="15.75" customHeight="1">
      <c r="A41" s="11" t="s">
        <v>80</v>
      </c>
      <c r="B41" s="8">
        <f t="shared" si="1"/>
        <v>0</v>
      </c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I41" s="8"/>
      <c r="AJ41" s="8"/>
      <c r="AK41" s="8"/>
      <c r="AL41" s="8"/>
      <c r="AM41" s="8"/>
      <c r="AN41" s="8"/>
      <c r="AO41" s="8"/>
      <c r="AP41" s="8"/>
      <c r="AQ41" s="8"/>
      <c r="AR41" s="8"/>
      <c r="AS41" s="8"/>
      <c r="AT41" s="10"/>
    </row>
    <row r="42" ht="15.75" customHeight="1">
      <c r="A42" s="11" t="s">
        <v>81</v>
      </c>
      <c r="B42" s="8">
        <f t="shared" si="1"/>
        <v>0</v>
      </c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I42" s="8"/>
      <c r="AJ42" s="8"/>
      <c r="AK42" s="8"/>
      <c r="AL42" s="8"/>
      <c r="AM42" s="8"/>
      <c r="AN42" s="8"/>
      <c r="AO42" s="8"/>
      <c r="AP42" s="8"/>
      <c r="AQ42" s="8"/>
      <c r="AR42" s="8"/>
      <c r="AS42" s="8"/>
      <c r="AT42" s="10"/>
    </row>
    <row r="43" ht="15.75" customHeight="1">
      <c r="A43" s="11" t="s">
        <v>82</v>
      </c>
      <c r="B43" s="8">
        <f t="shared" si="1"/>
        <v>0</v>
      </c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8"/>
      <c r="AH43" s="8"/>
      <c r="AI43" s="8"/>
      <c r="AJ43" s="8"/>
      <c r="AK43" s="8"/>
      <c r="AL43" s="8"/>
      <c r="AM43" s="8"/>
      <c r="AN43" s="8"/>
      <c r="AO43" s="8"/>
      <c r="AP43" s="8"/>
      <c r="AQ43" s="8"/>
      <c r="AR43" s="8"/>
      <c r="AS43" s="8"/>
      <c r="AT43" s="10"/>
    </row>
    <row r="44" ht="15.75" customHeight="1">
      <c r="A44" s="11" t="s">
        <v>83</v>
      </c>
      <c r="B44" s="8">
        <f t="shared" si="1"/>
        <v>0</v>
      </c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8"/>
      <c r="AJ44" s="8"/>
      <c r="AK44" s="8"/>
      <c r="AL44" s="8"/>
      <c r="AM44" s="8"/>
      <c r="AN44" s="8"/>
      <c r="AO44" s="8"/>
      <c r="AP44" s="8"/>
      <c r="AQ44" s="8"/>
      <c r="AR44" s="8"/>
      <c r="AS44" s="8"/>
      <c r="AT44" s="10"/>
    </row>
    <row r="45" ht="15.75" customHeight="1">
      <c r="A45" s="11" t="s">
        <v>84</v>
      </c>
      <c r="B45" s="8">
        <f t="shared" si="1"/>
        <v>2</v>
      </c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20">
        <v>2.0</v>
      </c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8"/>
      <c r="AJ45" s="8"/>
      <c r="AK45" s="8"/>
      <c r="AL45" s="8"/>
      <c r="AM45" s="8"/>
      <c r="AN45" s="8"/>
      <c r="AO45" s="8"/>
      <c r="AP45" s="8"/>
      <c r="AQ45" s="8"/>
      <c r="AR45" s="8"/>
      <c r="AS45" s="8"/>
      <c r="AT45" s="10"/>
    </row>
    <row r="46" ht="15.75" customHeight="1">
      <c r="A46" s="12" t="s">
        <v>362</v>
      </c>
      <c r="B46" s="8">
        <f t="shared" si="1"/>
        <v>2</v>
      </c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20">
        <v>2.0</v>
      </c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8"/>
      <c r="AJ46" s="8"/>
      <c r="AK46" s="8"/>
      <c r="AL46" s="8"/>
      <c r="AM46" s="8"/>
      <c r="AN46" s="8"/>
      <c r="AO46" s="8"/>
      <c r="AP46" s="8"/>
      <c r="AQ46" s="8"/>
      <c r="AR46" s="8"/>
      <c r="AS46" s="8"/>
      <c r="AT46" s="10"/>
    </row>
    <row r="47" ht="15.75" customHeight="1">
      <c r="A47" s="11" t="s">
        <v>86</v>
      </c>
      <c r="B47" s="8">
        <f t="shared" si="1"/>
        <v>0</v>
      </c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8"/>
      <c r="AJ47" s="8"/>
      <c r="AK47" s="8"/>
      <c r="AL47" s="8"/>
      <c r="AM47" s="8"/>
      <c r="AN47" s="8"/>
      <c r="AO47" s="8"/>
      <c r="AP47" s="8"/>
      <c r="AQ47" s="8"/>
      <c r="AR47" s="8"/>
      <c r="AS47" s="8"/>
      <c r="AT47" s="10"/>
    </row>
    <row r="48" ht="15.75" customHeight="1">
      <c r="A48" s="11" t="s">
        <v>87</v>
      </c>
      <c r="B48" s="8">
        <f t="shared" si="1"/>
        <v>0</v>
      </c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  <c r="AE48" s="8"/>
      <c r="AF48" s="8"/>
      <c r="AG48" s="8"/>
      <c r="AH48" s="8"/>
      <c r="AI48" s="8"/>
      <c r="AJ48" s="8"/>
      <c r="AK48" s="8"/>
      <c r="AL48" s="8"/>
      <c r="AM48" s="8"/>
      <c r="AN48" s="8"/>
      <c r="AO48" s="8"/>
      <c r="AP48" s="8"/>
      <c r="AQ48" s="8"/>
      <c r="AR48" s="8"/>
      <c r="AS48" s="8"/>
      <c r="AT48" s="10"/>
    </row>
    <row r="49" ht="15.75" customHeight="1">
      <c r="A49" s="11" t="s">
        <v>88</v>
      </c>
      <c r="B49" s="8">
        <f t="shared" si="1"/>
        <v>0</v>
      </c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  <c r="AE49" s="8"/>
      <c r="AF49" s="8"/>
      <c r="AG49" s="8"/>
      <c r="AH49" s="8"/>
      <c r="AI49" s="8"/>
      <c r="AJ49" s="8"/>
      <c r="AK49" s="8"/>
      <c r="AL49" s="8"/>
      <c r="AM49" s="8"/>
      <c r="AN49" s="8"/>
      <c r="AO49" s="8"/>
      <c r="AP49" s="8"/>
      <c r="AQ49" s="8"/>
      <c r="AR49" s="8"/>
      <c r="AS49" s="8"/>
      <c r="AT49" s="10"/>
    </row>
    <row r="50" ht="15.75" customHeight="1">
      <c r="A50" s="11" t="s">
        <v>89</v>
      </c>
      <c r="B50" s="8">
        <f t="shared" si="1"/>
        <v>0</v>
      </c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  <c r="AE50" s="8"/>
      <c r="AF50" s="8"/>
      <c r="AG50" s="8"/>
      <c r="AH50" s="8"/>
      <c r="AI50" s="8"/>
      <c r="AJ50" s="8"/>
      <c r="AK50" s="8"/>
      <c r="AL50" s="8"/>
      <c r="AM50" s="8"/>
      <c r="AN50" s="8"/>
      <c r="AO50" s="8"/>
      <c r="AP50" s="8"/>
      <c r="AQ50" s="8"/>
      <c r="AR50" s="8"/>
      <c r="AS50" s="8"/>
      <c r="AT50" s="10"/>
    </row>
    <row r="51" ht="15.75" customHeight="1">
      <c r="A51" s="11" t="s">
        <v>90</v>
      </c>
      <c r="B51" s="8">
        <f t="shared" si="1"/>
        <v>0</v>
      </c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  <c r="AE51" s="8"/>
      <c r="AF51" s="20"/>
      <c r="AG51" s="8"/>
      <c r="AH51" s="8"/>
      <c r="AI51" s="8"/>
      <c r="AJ51" s="8"/>
      <c r="AK51" s="8"/>
      <c r="AL51" s="8"/>
      <c r="AM51" s="8"/>
      <c r="AN51" s="8"/>
      <c r="AO51" s="8"/>
      <c r="AP51" s="8"/>
      <c r="AQ51" s="8"/>
      <c r="AR51" s="8"/>
      <c r="AS51" s="8"/>
      <c r="AT51" s="10"/>
    </row>
    <row r="52" ht="15.75" customHeight="1">
      <c r="A52" s="11" t="s">
        <v>91</v>
      </c>
      <c r="B52" s="8">
        <f t="shared" si="1"/>
        <v>0</v>
      </c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  <c r="AD52" s="8"/>
      <c r="AE52" s="8"/>
      <c r="AF52" s="8"/>
      <c r="AG52" s="8"/>
      <c r="AH52" s="8"/>
      <c r="AI52" s="8"/>
      <c r="AJ52" s="8"/>
      <c r="AK52" s="8"/>
      <c r="AL52" s="8"/>
      <c r="AM52" s="8"/>
      <c r="AN52" s="8"/>
      <c r="AO52" s="8"/>
      <c r="AP52" s="8"/>
      <c r="AQ52" s="8"/>
      <c r="AR52" s="8"/>
      <c r="AS52" s="8"/>
      <c r="AT52" s="10"/>
    </row>
    <row r="53" ht="15.75" customHeight="1">
      <c r="A53" s="11" t="s">
        <v>92</v>
      </c>
      <c r="B53" s="8">
        <f t="shared" si="1"/>
        <v>11</v>
      </c>
      <c r="C53" s="8"/>
      <c r="D53" s="8"/>
      <c r="E53" s="21">
        <v>2.0</v>
      </c>
      <c r="F53" s="21">
        <v>1.5</v>
      </c>
      <c r="G53" s="20">
        <v>2.0</v>
      </c>
      <c r="H53" s="8"/>
      <c r="I53" s="8"/>
      <c r="J53" s="20">
        <v>1.75</v>
      </c>
      <c r="K53" s="8"/>
      <c r="L53" s="20">
        <v>2.0</v>
      </c>
      <c r="M53" s="8"/>
      <c r="N53" s="8"/>
      <c r="O53" s="8"/>
      <c r="P53" s="20">
        <v>1.75</v>
      </c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  <c r="AC53" s="8"/>
      <c r="AD53" s="20"/>
      <c r="AE53" s="20"/>
      <c r="AF53" s="8"/>
      <c r="AG53" s="20"/>
      <c r="AH53" s="8"/>
      <c r="AI53" s="8"/>
      <c r="AJ53" s="20"/>
      <c r="AK53" s="8"/>
      <c r="AL53" s="8"/>
      <c r="AM53" s="8"/>
      <c r="AN53" s="20"/>
      <c r="AO53" s="20"/>
      <c r="AP53" s="8"/>
      <c r="AQ53" s="8"/>
      <c r="AR53" s="8"/>
      <c r="AS53" s="8"/>
      <c r="AT53" s="10"/>
    </row>
    <row r="54" ht="15.75" customHeight="1">
      <c r="A54" s="11" t="s">
        <v>93</v>
      </c>
      <c r="B54" s="8">
        <f t="shared" si="1"/>
        <v>0</v>
      </c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  <c r="AC54" s="8"/>
      <c r="AD54" s="8"/>
      <c r="AE54" s="8"/>
      <c r="AF54" s="8"/>
      <c r="AG54" s="8"/>
      <c r="AH54" s="8"/>
      <c r="AI54" s="8"/>
      <c r="AJ54" s="8"/>
      <c r="AK54" s="8"/>
      <c r="AL54" s="8"/>
      <c r="AM54" s="8"/>
      <c r="AN54" s="8"/>
      <c r="AO54" s="8"/>
      <c r="AP54" s="8"/>
      <c r="AQ54" s="8"/>
      <c r="AR54" s="8"/>
      <c r="AS54" s="8"/>
      <c r="AT54" s="10"/>
    </row>
    <row r="55" ht="15.75" customHeight="1">
      <c r="A55" s="11" t="s">
        <v>94</v>
      </c>
      <c r="B55" s="8">
        <f t="shared" si="1"/>
        <v>0</v>
      </c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  <c r="AD55" s="8"/>
      <c r="AE55" s="8"/>
      <c r="AF55" s="8"/>
      <c r="AG55" s="8"/>
      <c r="AH55" s="8"/>
      <c r="AI55" s="8"/>
      <c r="AJ55" s="8"/>
      <c r="AK55" s="8"/>
      <c r="AL55" s="8"/>
      <c r="AM55" s="8"/>
      <c r="AN55" s="8"/>
      <c r="AO55" s="8"/>
      <c r="AP55" s="8"/>
      <c r="AQ55" s="8"/>
      <c r="AR55" s="8"/>
      <c r="AS55" s="8"/>
      <c r="AT55" s="10"/>
    </row>
    <row r="56" ht="15.75" customHeight="1">
      <c r="A56" s="11" t="s">
        <v>95</v>
      </c>
      <c r="B56" s="8">
        <f t="shared" si="1"/>
        <v>0</v>
      </c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  <c r="AC56" s="8"/>
      <c r="AD56" s="8"/>
      <c r="AE56" s="8"/>
      <c r="AF56" s="8"/>
      <c r="AG56" s="8"/>
      <c r="AH56" s="8"/>
      <c r="AI56" s="8"/>
      <c r="AJ56" s="8"/>
      <c r="AK56" s="8"/>
      <c r="AL56" s="8"/>
      <c r="AM56" s="8"/>
      <c r="AN56" s="8"/>
      <c r="AO56" s="8"/>
      <c r="AP56" s="8"/>
      <c r="AQ56" s="8"/>
      <c r="AR56" s="8"/>
      <c r="AS56" s="8"/>
      <c r="AT56" s="10"/>
    </row>
    <row r="57" ht="15.75" customHeight="1">
      <c r="A57" s="11" t="s">
        <v>96</v>
      </c>
      <c r="B57" s="8">
        <f t="shared" si="1"/>
        <v>0</v>
      </c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  <c r="AE57" s="8"/>
      <c r="AF57" s="8"/>
      <c r="AG57" s="8"/>
      <c r="AH57" s="8"/>
      <c r="AI57" s="8"/>
      <c r="AJ57" s="8"/>
      <c r="AK57" s="8"/>
      <c r="AL57" s="8"/>
      <c r="AM57" s="8"/>
      <c r="AN57" s="8"/>
      <c r="AO57" s="8"/>
      <c r="AP57" s="8"/>
      <c r="AQ57" s="8"/>
      <c r="AR57" s="8"/>
      <c r="AS57" s="8"/>
      <c r="AT57" s="10"/>
    </row>
    <row r="58" ht="15.75" customHeight="1">
      <c r="A58" s="11" t="s">
        <v>97</v>
      </c>
      <c r="B58" s="8">
        <f t="shared" si="1"/>
        <v>0</v>
      </c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  <c r="AD58" s="8"/>
      <c r="AE58" s="8"/>
      <c r="AF58" s="8"/>
      <c r="AG58" s="8"/>
      <c r="AH58" s="8"/>
      <c r="AI58" s="8"/>
      <c r="AJ58" s="8"/>
      <c r="AK58" s="8"/>
      <c r="AL58" s="8"/>
      <c r="AM58" s="8"/>
      <c r="AN58" s="8"/>
      <c r="AO58" s="8"/>
      <c r="AP58" s="8"/>
      <c r="AQ58" s="8"/>
      <c r="AR58" s="8"/>
      <c r="AS58" s="8"/>
      <c r="AT58" s="10"/>
    </row>
    <row r="59" ht="15.75" customHeight="1">
      <c r="A59" s="11" t="s">
        <v>98</v>
      </c>
      <c r="B59" s="8">
        <f t="shared" si="1"/>
        <v>0</v>
      </c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  <c r="AD59" s="8"/>
      <c r="AE59" s="8"/>
      <c r="AF59" s="8"/>
      <c r="AG59" s="8"/>
      <c r="AH59" s="8"/>
      <c r="AI59" s="8"/>
      <c r="AJ59" s="8"/>
      <c r="AK59" s="8"/>
      <c r="AL59" s="8"/>
      <c r="AM59" s="8"/>
      <c r="AN59" s="8"/>
      <c r="AO59" s="8"/>
      <c r="AP59" s="8"/>
      <c r="AQ59" s="8"/>
      <c r="AR59" s="8"/>
      <c r="AS59" s="8"/>
      <c r="AT59" s="10"/>
    </row>
    <row r="60" ht="15.75" customHeight="1">
      <c r="A60" s="11" t="s">
        <v>99</v>
      </c>
      <c r="B60" s="8">
        <f t="shared" si="1"/>
        <v>0</v>
      </c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  <c r="AD60" s="8"/>
      <c r="AE60" s="8"/>
      <c r="AF60" s="8"/>
      <c r="AG60" s="8"/>
      <c r="AH60" s="8"/>
      <c r="AI60" s="8"/>
      <c r="AJ60" s="8"/>
      <c r="AK60" s="8"/>
      <c r="AL60" s="8"/>
      <c r="AM60" s="8"/>
      <c r="AN60" s="8"/>
      <c r="AO60" s="8"/>
      <c r="AP60" s="8"/>
      <c r="AQ60" s="8"/>
      <c r="AR60" s="8"/>
      <c r="AS60" s="8"/>
      <c r="AT60" s="10"/>
    </row>
    <row r="61" ht="15.75" customHeight="1">
      <c r="A61" s="11" t="s">
        <v>100</v>
      </c>
      <c r="B61" s="8">
        <f t="shared" si="1"/>
        <v>0</v>
      </c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  <c r="AD61" s="8"/>
      <c r="AE61" s="8"/>
      <c r="AF61" s="8"/>
      <c r="AG61" s="8"/>
      <c r="AH61" s="8"/>
      <c r="AI61" s="21"/>
      <c r="AJ61" s="8"/>
      <c r="AK61" s="8"/>
      <c r="AL61" s="8"/>
      <c r="AM61" s="8"/>
      <c r="AN61" s="8"/>
      <c r="AO61" s="8"/>
      <c r="AP61" s="8"/>
      <c r="AQ61" s="8"/>
      <c r="AR61" s="8"/>
      <c r="AS61" s="8"/>
      <c r="AT61" s="10"/>
    </row>
    <row r="62" ht="15.75" customHeight="1">
      <c r="A62" s="11" t="s">
        <v>101</v>
      </c>
      <c r="B62" s="8">
        <f t="shared" si="1"/>
        <v>0</v>
      </c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  <c r="AC62" s="8"/>
      <c r="AD62" s="8"/>
      <c r="AE62" s="8"/>
      <c r="AF62" s="8"/>
      <c r="AG62" s="8"/>
      <c r="AH62" s="8"/>
      <c r="AI62" s="8"/>
      <c r="AJ62" s="8"/>
      <c r="AK62" s="8"/>
      <c r="AL62" s="8"/>
      <c r="AM62" s="8"/>
      <c r="AN62" s="8"/>
      <c r="AO62" s="8"/>
      <c r="AP62" s="8"/>
      <c r="AQ62" s="8"/>
      <c r="AR62" s="8"/>
      <c r="AS62" s="8"/>
      <c r="AT62" s="10"/>
    </row>
    <row r="63" ht="15.75" customHeight="1">
      <c r="A63" s="11" t="s">
        <v>102</v>
      </c>
      <c r="B63" s="8">
        <f t="shared" si="1"/>
        <v>0</v>
      </c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  <c r="AD63" s="8"/>
      <c r="AE63" s="8"/>
      <c r="AF63" s="8"/>
      <c r="AG63" s="8"/>
      <c r="AH63" s="8"/>
      <c r="AI63" s="8"/>
      <c r="AJ63" s="8"/>
      <c r="AK63" s="8"/>
      <c r="AL63" s="8"/>
      <c r="AM63" s="8"/>
      <c r="AN63" s="8"/>
      <c r="AO63" s="8"/>
      <c r="AP63" s="8"/>
      <c r="AQ63" s="8"/>
      <c r="AR63" s="8"/>
      <c r="AS63" s="8"/>
      <c r="AT63" s="10"/>
    </row>
    <row r="64" ht="15.75" customHeight="1">
      <c r="A64" s="11" t="s">
        <v>103</v>
      </c>
      <c r="B64" s="8">
        <f t="shared" si="1"/>
        <v>0</v>
      </c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8"/>
      <c r="AH64" s="8"/>
      <c r="AI64" s="8"/>
      <c r="AJ64" s="8"/>
      <c r="AK64" s="8"/>
      <c r="AL64" s="8"/>
      <c r="AM64" s="8"/>
      <c r="AN64" s="8"/>
      <c r="AO64" s="8"/>
      <c r="AP64" s="8"/>
      <c r="AQ64" s="8"/>
      <c r="AR64" s="8"/>
      <c r="AS64" s="8"/>
      <c r="AT64" s="10"/>
    </row>
    <row r="65" ht="15.75" customHeight="1">
      <c r="A65" s="11" t="s">
        <v>104</v>
      </c>
      <c r="B65" s="8">
        <f t="shared" si="1"/>
        <v>0</v>
      </c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  <c r="AE65" s="8"/>
      <c r="AF65" s="8"/>
      <c r="AG65" s="8"/>
      <c r="AH65" s="8"/>
      <c r="AI65" s="8"/>
      <c r="AJ65" s="8"/>
      <c r="AK65" s="8"/>
      <c r="AL65" s="8"/>
      <c r="AM65" s="8"/>
      <c r="AN65" s="8"/>
      <c r="AO65" s="8"/>
      <c r="AP65" s="8"/>
      <c r="AQ65" s="8"/>
      <c r="AR65" s="8"/>
      <c r="AS65" s="8"/>
      <c r="AT65" s="10"/>
    </row>
    <row r="66" ht="15.75" customHeight="1">
      <c r="A66" s="11" t="s">
        <v>105</v>
      </c>
      <c r="B66" s="8">
        <f t="shared" si="1"/>
        <v>0</v>
      </c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  <c r="AD66" s="8"/>
      <c r="AE66" s="8"/>
      <c r="AF66" s="8"/>
      <c r="AG66" s="8"/>
      <c r="AH66" s="8"/>
      <c r="AI66" s="8"/>
      <c r="AJ66" s="8"/>
      <c r="AK66" s="8"/>
      <c r="AL66" s="8"/>
      <c r="AM66" s="8"/>
      <c r="AN66" s="8"/>
      <c r="AO66" s="8"/>
      <c r="AP66" s="8"/>
      <c r="AQ66" s="8"/>
      <c r="AR66" s="8"/>
      <c r="AS66" s="8"/>
      <c r="AT66" s="10"/>
    </row>
    <row r="67" ht="15.75" customHeight="1">
      <c r="A67" s="11" t="s">
        <v>106</v>
      </c>
      <c r="B67" s="8">
        <f t="shared" si="1"/>
        <v>0</v>
      </c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  <c r="AD67" s="8"/>
      <c r="AE67" s="8"/>
      <c r="AF67" s="8"/>
      <c r="AG67" s="8"/>
      <c r="AH67" s="8"/>
      <c r="AI67" s="8"/>
      <c r="AJ67" s="8"/>
      <c r="AK67" s="8"/>
      <c r="AL67" s="8"/>
      <c r="AM67" s="8"/>
      <c r="AN67" s="8"/>
      <c r="AO67" s="8"/>
      <c r="AP67" s="8"/>
      <c r="AQ67" s="8"/>
      <c r="AR67" s="8"/>
      <c r="AS67" s="8"/>
      <c r="AT67" s="10"/>
    </row>
    <row r="68" ht="15.75" customHeight="1">
      <c r="A68" s="11" t="s">
        <v>107</v>
      </c>
      <c r="B68" s="8">
        <f t="shared" si="1"/>
        <v>0</v>
      </c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  <c r="AD68" s="8"/>
      <c r="AE68" s="8"/>
      <c r="AF68" s="8"/>
      <c r="AG68" s="8"/>
      <c r="AH68" s="8"/>
      <c r="AI68" s="8"/>
      <c r="AJ68" s="8"/>
      <c r="AK68" s="8"/>
      <c r="AL68" s="8"/>
      <c r="AM68" s="8"/>
      <c r="AN68" s="8"/>
      <c r="AO68" s="8"/>
      <c r="AP68" s="8"/>
      <c r="AQ68" s="8"/>
      <c r="AR68" s="8"/>
      <c r="AS68" s="8"/>
      <c r="AT68" s="10"/>
    </row>
    <row r="69" ht="15.75" customHeight="1">
      <c r="A69" s="11" t="s">
        <v>108</v>
      </c>
      <c r="B69" s="8">
        <f t="shared" si="1"/>
        <v>0</v>
      </c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  <c r="AE69" s="8"/>
      <c r="AF69" s="8"/>
      <c r="AG69" s="8"/>
      <c r="AH69" s="8"/>
      <c r="AI69" s="8"/>
      <c r="AJ69" s="8"/>
      <c r="AK69" s="8"/>
      <c r="AL69" s="8"/>
      <c r="AM69" s="8"/>
      <c r="AN69" s="8"/>
      <c r="AO69" s="8"/>
      <c r="AP69" s="8"/>
      <c r="AQ69" s="8"/>
      <c r="AR69" s="8"/>
      <c r="AS69" s="8"/>
      <c r="AT69" s="10"/>
    </row>
    <row r="70" ht="15.75" customHeight="1">
      <c r="A70" s="11" t="s">
        <v>109</v>
      </c>
      <c r="B70" s="8">
        <f t="shared" si="1"/>
        <v>5.25</v>
      </c>
      <c r="C70" s="8"/>
      <c r="D70" s="8"/>
      <c r="E70" s="21">
        <v>2.0</v>
      </c>
      <c r="F70" s="8"/>
      <c r="G70" s="8"/>
      <c r="H70" s="8"/>
      <c r="I70" s="20">
        <v>1.75</v>
      </c>
      <c r="J70" s="8"/>
      <c r="K70" s="8"/>
      <c r="L70" s="8"/>
      <c r="M70" s="8"/>
      <c r="N70" s="8"/>
      <c r="O70" s="8"/>
      <c r="P70" s="20">
        <v>1.5</v>
      </c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/>
      <c r="AF70" s="20"/>
      <c r="AG70" s="8"/>
      <c r="AH70" s="8"/>
      <c r="AI70" s="21"/>
      <c r="AJ70" s="8"/>
      <c r="AK70" s="20"/>
      <c r="AL70" s="8"/>
      <c r="AM70" s="8"/>
      <c r="AN70" s="8"/>
      <c r="AO70" s="20"/>
      <c r="AP70" s="8"/>
      <c r="AQ70" s="8"/>
      <c r="AR70" s="8"/>
      <c r="AS70" s="8"/>
      <c r="AT70" s="10"/>
    </row>
    <row r="71" ht="15.75" customHeight="1">
      <c r="A71" s="11" t="s">
        <v>110</v>
      </c>
      <c r="B71" s="8">
        <f t="shared" si="1"/>
        <v>0</v>
      </c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  <c r="AE71" s="8"/>
      <c r="AF71" s="8"/>
      <c r="AG71" s="8"/>
      <c r="AH71" s="8"/>
      <c r="AI71" s="8"/>
      <c r="AJ71" s="8"/>
      <c r="AK71" s="8"/>
      <c r="AL71" s="8"/>
      <c r="AM71" s="8"/>
      <c r="AN71" s="8"/>
      <c r="AO71" s="8"/>
      <c r="AP71" s="8"/>
      <c r="AQ71" s="8"/>
      <c r="AR71" s="8"/>
      <c r="AS71" s="8"/>
      <c r="AT71" s="10"/>
    </row>
    <row r="72" ht="15.75" customHeight="1">
      <c r="A72" s="11" t="s">
        <v>111</v>
      </c>
      <c r="B72" s="8">
        <f t="shared" si="1"/>
        <v>0</v>
      </c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  <c r="AD72" s="8"/>
      <c r="AE72" s="8"/>
      <c r="AF72" s="8"/>
      <c r="AG72" s="8"/>
      <c r="AH72" s="8"/>
      <c r="AI72" s="8"/>
      <c r="AJ72" s="8"/>
      <c r="AK72" s="8"/>
      <c r="AL72" s="8"/>
      <c r="AM72" s="8"/>
      <c r="AN72" s="8"/>
      <c r="AO72" s="8"/>
      <c r="AP72" s="8"/>
      <c r="AQ72" s="8"/>
      <c r="AR72" s="8"/>
      <c r="AS72" s="8"/>
      <c r="AT72" s="10"/>
    </row>
    <row r="73" ht="15.75" customHeight="1">
      <c r="A73" s="11" t="s">
        <v>112</v>
      </c>
      <c r="B73" s="8">
        <f t="shared" si="1"/>
        <v>0</v>
      </c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  <c r="AD73" s="8"/>
      <c r="AE73" s="8"/>
      <c r="AF73" s="8"/>
      <c r="AG73" s="8"/>
      <c r="AH73" s="8"/>
      <c r="AI73" s="8"/>
      <c r="AJ73" s="8"/>
      <c r="AK73" s="8"/>
      <c r="AL73" s="8"/>
      <c r="AM73" s="8"/>
      <c r="AN73" s="8"/>
      <c r="AO73" s="8"/>
      <c r="AP73" s="8"/>
      <c r="AQ73" s="8"/>
      <c r="AR73" s="8"/>
      <c r="AS73" s="8"/>
      <c r="AT73" s="10"/>
    </row>
    <row r="74" ht="15.75" customHeight="1">
      <c r="A74" s="11" t="s">
        <v>113</v>
      </c>
      <c r="B74" s="8">
        <f t="shared" si="1"/>
        <v>0</v>
      </c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  <c r="AD74" s="8"/>
      <c r="AE74" s="8"/>
      <c r="AF74" s="8"/>
      <c r="AG74" s="8"/>
      <c r="AH74" s="8"/>
      <c r="AI74" s="8"/>
      <c r="AJ74" s="8"/>
      <c r="AK74" s="8"/>
      <c r="AL74" s="8"/>
      <c r="AM74" s="8"/>
      <c r="AN74" s="8"/>
      <c r="AO74" s="8"/>
      <c r="AP74" s="8"/>
      <c r="AQ74" s="8"/>
      <c r="AR74" s="8"/>
      <c r="AS74" s="8"/>
      <c r="AT74" s="10"/>
    </row>
    <row r="75" ht="15.75" customHeight="1">
      <c r="A75" s="11" t="s">
        <v>114</v>
      </c>
      <c r="B75" s="8">
        <f t="shared" si="1"/>
        <v>0</v>
      </c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  <c r="AD75" s="8"/>
      <c r="AE75" s="8"/>
      <c r="AF75" s="8"/>
      <c r="AG75" s="8"/>
      <c r="AH75" s="8"/>
      <c r="AI75" s="8"/>
      <c r="AJ75" s="8"/>
      <c r="AK75" s="8"/>
      <c r="AL75" s="8"/>
      <c r="AM75" s="8"/>
      <c r="AN75" s="8"/>
      <c r="AO75" s="8"/>
      <c r="AP75" s="8"/>
      <c r="AQ75" s="8"/>
      <c r="AR75" s="8"/>
      <c r="AS75" s="8"/>
      <c r="AT75" s="10"/>
    </row>
    <row r="76" ht="15.75" customHeight="1">
      <c r="A76" s="11" t="s">
        <v>115</v>
      </c>
      <c r="B76" s="8">
        <f t="shared" si="1"/>
        <v>0</v>
      </c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  <c r="AE76" s="8"/>
      <c r="AF76" s="8"/>
      <c r="AG76" s="8"/>
      <c r="AH76" s="8"/>
      <c r="AI76" s="8"/>
      <c r="AJ76" s="8"/>
      <c r="AK76" s="8"/>
      <c r="AL76" s="8"/>
      <c r="AM76" s="8"/>
      <c r="AN76" s="8"/>
      <c r="AO76" s="8"/>
      <c r="AP76" s="8"/>
      <c r="AQ76" s="8"/>
      <c r="AR76" s="8"/>
      <c r="AS76" s="8"/>
      <c r="AT76" s="10"/>
    </row>
    <row r="77" ht="15.75" customHeight="1">
      <c r="A77" s="11" t="s">
        <v>116</v>
      </c>
      <c r="B77" s="8">
        <f t="shared" si="1"/>
        <v>0</v>
      </c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  <c r="AE77" s="8"/>
      <c r="AF77" s="8"/>
      <c r="AG77" s="8"/>
      <c r="AH77" s="8"/>
      <c r="AI77" s="8"/>
      <c r="AJ77" s="8"/>
      <c r="AK77" s="8"/>
      <c r="AL77" s="8"/>
      <c r="AM77" s="8"/>
      <c r="AN77" s="8"/>
      <c r="AO77" s="8"/>
      <c r="AP77" s="8"/>
      <c r="AQ77" s="8"/>
      <c r="AR77" s="8"/>
      <c r="AS77" s="8"/>
      <c r="AT77" s="10"/>
    </row>
    <row r="78" ht="15.75" customHeight="1">
      <c r="A78" s="22" t="s">
        <v>117</v>
      </c>
      <c r="B78" s="8">
        <f t="shared" si="1"/>
        <v>0</v>
      </c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  <c r="AD78" s="8"/>
      <c r="AE78" s="8"/>
      <c r="AF78" s="8"/>
      <c r="AG78" s="8"/>
      <c r="AH78" s="8"/>
      <c r="AI78" s="8"/>
      <c r="AJ78" s="8"/>
      <c r="AK78" s="8"/>
      <c r="AL78" s="8"/>
      <c r="AM78" s="8"/>
      <c r="AN78" s="8"/>
      <c r="AO78" s="8"/>
      <c r="AP78" s="8"/>
      <c r="AQ78" s="8"/>
      <c r="AR78" s="8"/>
      <c r="AS78" s="8"/>
      <c r="AT78" s="8"/>
    </row>
    <row r="79" ht="15.75" customHeight="1">
      <c r="A79" s="22" t="s">
        <v>118</v>
      </c>
      <c r="B79" s="8">
        <f t="shared" si="1"/>
        <v>0</v>
      </c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  <c r="AD79" s="8"/>
      <c r="AE79" s="8"/>
      <c r="AF79" s="8"/>
      <c r="AG79" s="8"/>
      <c r="AH79" s="8"/>
      <c r="AI79" s="8"/>
      <c r="AJ79" s="8"/>
      <c r="AK79" s="8"/>
      <c r="AL79" s="8"/>
      <c r="AM79" s="8"/>
      <c r="AN79" s="8"/>
      <c r="AO79" s="8"/>
      <c r="AP79" s="8"/>
      <c r="AQ79" s="8"/>
      <c r="AR79" s="8"/>
      <c r="AS79" s="8"/>
      <c r="AT79" s="8"/>
    </row>
    <row r="80" ht="15.75" customHeight="1">
      <c r="A80" s="22" t="s">
        <v>119</v>
      </c>
      <c r="B80" s="8">
        <f t="shared" si="1"/>
        <v>0</v>
      </c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  <c r="AE80" s="8"/>
      <c r="AF80" s="8"/>
      <c r="AG80" s="8"/>
      <c r="AH80" s="8"/>
      <c r="AI80" s="8"/>
      <c r="AJ80" s="8"/>
      <c r="AK80" s="8"/>
      <c r="AL80" s="8"/>
      <c r="AM80" s="8"/>
      <c r="AN80" s="8"/>
      <c r="AO80" s="8"/>
      <c r="AP80" s="8"/>
      <c r="AQ80" s="8"/>
      <c r="AR80" s="8"/>
      <c r="AS80" s="8"/>
      <c r="AT80" s="8"/>
    </row>
    <row r="81" ht="15.75" customHeight="1">
      <c r="A81" s="22" t="s">
        <v>120</v>
      </c>
      <c r="B81" s="8">
        <f t="shared" si="1"/>
        <v>0</v>
      </c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  <c r="AD81" s="8"/>
      <c r="AE81" s="8"/>
      <c r="AF81" s="8"/>
      <c r="AG81" s="8"/>
      <c r="AH81" s="8"/>
      <c r="AI81" s="8"/>
      <c r="AJ81" s="8"/>
      <c r="AK81" s="8"/>
      <c r="AL81" s="8"/>
      <c r="AM81" s="8"/>
      <c r="AN81" s="8"/>
      <c r="AO81" s="8"/>
      <c r="AP81" s="8"/>
      <c r="AQ81" s="8"/>
      <c r="AR81" s="8"/>
      <c r="AS81" s="8"/>
      <c r="AT81" s="8"/>
    </row>
    <row r="82" ht="15.75" customHeight="1">
      <c r="A82" s="22" t="s">
        <v>121</v>
      </c>
      <c r="B82" s="8">
        <f t="shared" si="1"/>
        <v>0</v>
      </c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  <c r="AD82" s="8"/>
      <c r="AE82" s="8"/>
      <c r="AF82" s="8"/>
      <c r="AG82" s="8"/>
      <c r="AH82" s="8"/>
      <c r="AI82" s="8"/>
      <c r="AJ82" s="8"/>
      <c r="AK82" s="8"/>
      <c r="AL82" s="8"/>
      <c r="AM82" s="8"/>
      <c r="AN82" s="8"/>
      <c r="AO82" s="8"/>
      <c r="AP82" s="8"/>
      <c r="AQ82" s="8"/>
      <c r="AR82" s="8"/>
      <c r="AS82" s="8"/>
      <c r="AT82" s="8"/>
    </row>
    <row r="83" ht="15.75" customHeight="1">
      <c r="A83" s="22" t="s">
        <v>122</v>
      </c>
      <c r="B83" s="8">
        <f t="shared" si="1"/>
        <v>0</v>
      </c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  <c r="AE83" s="8"/>
      <c r="AF83" s="8"/>
      <c r="AG83" s="8"/>
      <c r="AH83" s="8"/>
      <c r="AI83" s="8"/>
      <c r="AJ83" s="8"/>
      <c r="AK83" s="8"/>
      <c r="AL83" s="8"/>
      <c r="AM83" s="8"/>
      <c r="AN83" s="8"/>
      <c r="AO83" s="8"/>
      <c r="AP83" s="8"/>
      <c r="AQ83" s="8"/>
      <c r="AR83" s="8"/>
      <c r="AS83" s="8"/>
      <c r="AT83" s="8"/>
    </row>
    <row r="84" ht="15.75" customHeight="1">
      <c r="A84" s="22" t="s">
        <v>123</v>
      </c>
      <c r="B84" s="8">
        <f t="shared" si="1"/>
        <v>0</v>
      </c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  <c r="AE84" s="8"/>
      <c r="AF84" s="8"/>
      <c r="AG84" s="8"/>
      <c r="AH84" s="8"/>
      <c r="AI84" s="8"/>
      <c r="AJ84" s="8"/>
      <c r="AK84" s="8"/>
      <c r="AL84" s="8"/>
      <c r="AM84" s="8"/>
      <c r="AN84" s="8"/>
      <c r="AO84" s="8"/>
      <c r="AP84" s="8"/>
      <c r="AQ84" s="8"/>
      <c r="AR84" s="8"/>
      <c r="AS84" s="8"/>
      <c r="AT84" s="8"/>
    </row>
    <row r="85" ht="15.75" customHeight="1">
      <c r="A85" s="22" t="s">
        <v>124</v>
      </c>
      <c r="B85" s="8">
        <f t="shared" si="1"/>
        <v>0</v>
      </c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  <c r="AE85" s="8"/>
      <c r="AF85" s="8"/>
      <c r="AG85" s="8"/>
      <c r="AH85" s="8"/>
      <c r="AI85" s="8"/>
      <c r="AJ85" s="8"/>
      <c r="AK85" s="8"/>
      <c r="AL85" s="8"/>
      <c r="AM85" s="8"/>
      <c r="AN85" s="8"/>
      <c r="AO85" s="8"/>
      <c r="AP85" s="8"/>
      <c r="AQ85" s="8"/>
      <c r="AR85" s="8"/>
      <c r="AS85" s="8"/>
      <c r="AT85" s="8"/>
    </row>
    <row r="86" ht="15.75" customHeight="1">
      <c r="A86" s="22" t="s">
        <v>125</v>
      </c>
      <c r="B86" s="8">
        <f t="shared" si="1"/>
        <v>0</v>
      </c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  <c r="AE86" s="8"/>
      <c r="AF86" s="8"/>
      <c r="AG86" s="8"/>
      <c r="AH86" s="8"/>
      <c r="AI86" s="8"/>
      <c r="AJ86" s="8"/>
      <c r="AK86" s="8"/>
      <c r="AL86" s="8"/>
      <c r="AM86" s="8"/>
      <c r="AN86" s="8"/>
      <c r="AO86" s="8"/>
      <c r="AP86" s="8"/>
      <c r="AQ86" s="8"/>
      <c r="AR86" s="8"/>
      <c r="AS86" s="8"/>
      <c r="AT86" s="8"/>
    </row>
    <row r="87" ht="15.75" customHeight="1">
      <c r="A87" s="22" t="s">
        <v>126</v>
      </c>
      <c r="B87" s="8">
        <f t="shared" si="1"/>
        <v>0</v>
      </c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  <c r="AD87" s="8"/>
      <c r="AE87" s="8"/>
      <c r="AF87" s="8"/>
      <c r="AG87" s="8"/>
      <c r="AH87" s="8"/>
      <c r="AI87" s="8"/>
      <c r="AJ87" s="8"/>
      <c r="AK87" s="8"/>
      <c r="AL87" s="8"/>
      <c r="AM87" s="8"/>
      <c r="AN87" s="8"/>
      <c r="AO87" s="8"/>
      <c r="AP87" s="8"/>
      <c r="AQ87" s="8"/>
      <c r="AR87" s="8"/>
      <c r="AS87" s="8"/>
      <c r="AT87" s="8"/>
    </row>
    <row r="88" ht="15.75" customHeight="1">
      <c r="A88" s="22" t="s">
        <v>127</v>
      </c>
      <c r="B88" s="8">
        <f t="shared" si="1"/>
        <v>0</v>
      </c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  <c r="AE88" s="8"/>
      <c r="AF88" s="8"/>
      <c r="AG88" s="8"/>
      <c r="AH88" s="8"/>
      <c r="AI88" s="8"/>
      <c r="AJ88" s="8"/>
      <c r="AK88" s="8"/>
      <c r="AL88" s="8"/>
      <c r="AM88" s="8"/>
      <c r="AN88" s="8"/>
      <c r="AO88" s="8"/>
      <c r="AP88" s="8"/>
      <c r="AQ88" s="8"/>
      <c r="AR88" s="8"/>
      <c r="AS88" s="8"/>
      <c r="AT88" s="8"/>
    </row>
    <row r="89" ht="15.75" customHeight="1">
      <c r="A89" s="22" t="s">
        <v>128</v>
      </c>
      <c r="B89" s="8">
        <f t="shared" si="1"/>
        <v>0</v>
      </c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  <c r="AE89" s="8"/>
      <c r="AF89" s="8"/>
      <c r="AG89" s="8"/>
      <c r="AH89" s="8"/>
      <c r="AI89" s="8"/>
      <c r="AJ89" s="8"/>
      <c r="AK89" s="8"/>
      <c r="AL89" s="8"/>
      <c r="AM89" s="8"/>
      <c r="AN89" s="8"/>
      <c r="AO89" s="8"/>
      <c r="AP89" s="8"/>
      <c r="AQ89" s="8"/>
      <c r="AR89" s="8"/>
      <c r="AS89" s="8"/>
      <c r="AT89" s="8"/>
    </row>
    <row r="90" ht="15.75" customHeight="1">
      <c r="A90" s="22" t="s">
        <v>129</v>
      </c>
      <c r="B90" s="8">
        <f t="shared" si="1"/>
        <v>0</v>
      </c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  <c r="AD90" s="8"/>
      <c r="AE90" s="8"/>
      <c r="AF90" s="8"/>
      <c r="AG90" s="8"/>
      <c r="AH90" s="8"/>
      <c r="AI90" s="8"/>
      <c r="AJ90" s="8"/>
      <c r="AK90" s="8"/>
      <c r="AL90" s="8"/>
      <c r="AM90" s="8"/>
      <c r="AN90" s="8"/>
      <c r="AO90" s="8"/>
      <c r="AP90" s="8"/>
      <c r="AQ90" s="8"/>
      <c r="AR90" s="8"/>
      <c r="AS90" s="8"/>
      <c r="AT90" s="8"/>
    </row>
    <row r="91" ht="15.75" customHeight="1">
      <c r="A91" s="22" t="s">
        <v>130</v>
      </c>
      <c r="B91" s="8">
        <f t="shared" si="1"/>
        <v>0</v>
      </c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  <c r="AE91" s="8"/>
      <c r="AF91" s="8"/>
      <c r="AG91" s="8"/>
      <c r="AH91" s="8"/>
      <c r="AI91" s="8"/>
      <c r="AJ91" s="8"/>
      <c r="AK91" s="8"/>
      <c r="AL91" s="8"/>
      <c r="AM91" s="8"/>
      <c r="AN91" s="8"/>
      <c r="AO91" s="8"/>
      <c r="AP91" s="8"/>
      <c r="AQ91" s="8"/>
      <c r="AR91" s="8"/>
      <c r="AS91" s="8"/>
      <c r="AT91" s="8"/>
    </row>
    <row r="92" ht="15.75" customHeight="1">
      <c r="A92" s="22" t="s">
        <v>131</v>
      </c>
      <c r="B92" s="8">
        <f t="shared" si="1"/>
        <v>0</v>
      </c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  <c r="AE92" s="8"/>
      <c r="AF92" s="8"/>
      <c r="AG92" s="8"/>
      <c r="AH92" s="8"/>
      <c r="AI92" s="8"/>
      <c r="AJ92" s="8"/>
      <c r="AK92" s="8"/>
      <c r="AL92" s="8"/>
      <c r="AM92" s="8"/>
      <c r="AN92" s="8"/>
      <c r="AO92" s="8"/>
      <c r="AP92" s="8"/>
      <c r="AQ92" s="8"/>
      <c r="AR92" s="8"/>
      <c r="AS92" s="8"/>
      <c r="AT92" s="8"/>
    </row>
    <row r="93" ht="15.75" customHeight="1">
      <c r="A93" s="22" t="s">
        <v>132</v>
      </c>
      <c r="B93" s="8">
        <f t="shared" si="1"/>
        <v>0</v>
      </c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  <c r="AE93" s="8"/>
      <c r="AF93" s="8"/>
      <c r="AG93" s="8"/>
      <c r="AH93" s="8"/>
      <c r="AI93" s="8"/>
      <c r="AJ93" s="8"/>
      <c r="AK93" s="8"/>
      <c r="AL93" s="8"/>
      <c r="AM93" s="8"/>
      <c r="AN93" s="8"/>
      <c r="AO93" s="8"/>
      <c r="AP93" s="8"/>
      <c r="AQ93" s="8"/>
      <c r="AR93" s="8"/>
      <c r="AS93" s="8"/>
      <c r="AT93" s="8"/>
    </row>
    <row r="94" ht="15.75" customHeight="1">
      <c r="A94" s="22" t="s">
        <v>133</v>
      </c>
      <c r="B94" s="8">
        <f t="shared" si="1"/>
        <v>0</v>
      </c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  <c r="AE94" s="8"/>
      <c r="AF94" s="8"/>
      <c r="AG94" s="8"/>
      <c r="AH94" s="8"/>
      <c r="AI94" s="8"/>
      <c r="AJ94" s="8"/>
      <c r="AK94" s="8"/>
      <c r="AL94" s="8"/>
      <c r="AM94" s="8"/>
      <c r="AN94" s="8"/>
      <c r="AO94" s="8"/>
      <c r="AP94" s="8"/>
      <c r="AQ94" s="8"/>
      <c r="AR94" s="8"/>
      <c r="AS94" s="8"/>
      <c r="AT94" s="8"/>
    </row>
    <row r="95" ht="15.75" customHeight="1">
      <c r="A95" s="22" t="s">
        <v>134</v>
      </c>
      <c r="B95" s="8">
        <f t="shared" si="1"/>
        <v>0</v>
      </c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  <c r="AE95" s="8"/>
      <c r="AF95" s="8"/>
      <c r="AG95" s="8"/>
      <c r="AH95" s="8"/>
      <c r="AI95" s="8"/>
      <c r="AJ95" s="8"/>
      <c r="AK95" s="8"/>
      <c r="AL95" s="8"/>
      <c r="AM95" s="8"/>
      <c r="AN95" s="8"/>
      <c r="AO95" s="8"/>
      <c r="AP95" s="8"/>
      <c r="AQ95" s="8"/>
      <c r="AR95" s="8"/>
      <c r="AS95" s="8"/>
      <c r="AT95" s="8"/>
    </row>
    <row r="96" ht="15.75" customHeight="1">
      <c r="A96" s="22" t="s">
        <v>135</v>
      </c>
      <c r="B96" s="8">
        <f t="shared" si="1"/>
        <v>1.75</v>
      </c>
      <c r="C96" s="8"/>
      <c r="D96" s="8"/>
      <c r="E96" s="8"/>
      <c r="F96" s="21">
        <v>1.75</v>
      </c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  <c r="AE96" s="8"/>
      <c r="AF96" s="8"/>
      <c r="AG96" s="8"/>
      <c r="AH96" s="8"/>
      <c r="AI96" s="8"/>
      <c r="AJ96" s="8"/>
      <c r="AK96" s="8"/>
      <c r="AL96" s="8"/>
      <c r="AM96" s="8"/>
      <c r="AN96" s="8"/>
      <c r="AO96" s="8"/>
      <c r="AP96" s="8"/>
      <c r="AQ96" s="8"/>
      <c r="AR96" s="8"/>
      <c r="AS96" s="8"/>
      <c r="AT96" s="8"/>
    </row>
    <row r="97" ht="15.75" customHeight="1">
      <c r="A97" s="22" t="s">
        <v>136</v>
      </c>
      <c r="B97" s="8">
        <f t="shared" si="1"/>
        <v>0</v>
      </c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  <c r="AE97" s="8"/>
      <c r="AF97" s="8"/>
      <c r="AG97" s="8"/>
      <c r="AH97" s="8"/>
      <c r="AI97" s="8"/>
      <c r="AJ97" s="8"/>
      <c r="AK97" s="8"/>
      <c r="AL97" s="8"/>
      <c r="AM97" s="8"/>
      <c r="AN97" s="8"/>
      <c r="AO97" s="8"/>
      <c r="AP97" s="8"/>
      <c r="AQ97" s="8"/>
      <c r="AR97" s="8"/>
      <c r="AS97" s="8"/>
      <c r="AT97" s="8"/>
    </row>
    <row r="98" ht="15.75" customHeight="1">
      <c r="A98" s="22" t="s">
        <v>137</v>
      </c>
      <c r="B98" s="8">
        <f t="shared" si="1"/>
        <v>1.5</v>
      </c>
      <c r="C98" s="8"/>
      <c r="D98" s="8"/>
      <c r="E98" s="8"/>
      <c r="F98" s="8"/>
      <c r="G98" s="8"/>
      <c r="H98" s="8"/>
      <c r="I98" s="8"/>
      <c r="J98" s="20">
        <v>1.5</v>
      </c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  <c r="AE98" s="8"/>
      <c r="AF98" s="8"/>
      <c r="AG98" s="8"/>
      <c r="AH98" s="8"/>
      <c r="AI98" s="8"/>
      <c r="AJ98" s="8"/>
      <c r="AK98" s="8"/>
      <c r="AL98" s="8"/>
      <c r="AM98" s="8"/>
      <c r="AN98" s="8"/>
      <c r="AO98" s="8"/>
      <c r="AP98" s="8"/>
      <c r="AQ98" s="8"/>
      <c r="AR98" s="8"/>
      <c r="AS98" s="8"/>
      <c r="AT98" s="8"/>
    </row>
    <row r="99" ht="15.75" customHeight="1">
      <c r="A99" s="22" t="s">
        <v>138</v>
      </c>
      <c r="B99" s="8">
        <f t="shared" si="1"/>
        <v>0</v>
      </c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  <c r="AE99" s="8"/>
      <c r="AF99" s="8"/>
      <c r="AG99" s="8"/>
      <c r="AH99" s="8"/>
      <c r="AI99" s="8"/>
      <c r="AJ99" s="8"/>
      <c r="AK99" s="8"/>
      <c r="AL99" s="8"/>
      <c r="AM99" s="8"/>
      <c r="AN99" s="8"/>
      <c r="AO99" s="8"/>
      <c r="AP99" s="8"/>
      <c r="AQ99" s="8"/>
      <c r="AR99" s="8"/>
      <c r="AS99" s="8"/>
      <c r="AT99" s="8"/>
    </row>
    <row r="100" ht="15.75" customHeight="1">
      <c r="A100" s="22" t="s">
        <v>139</v>
      </c>
      <c r="B100" s="8">
        <f t="shared" si="1"/>
        <v>20.25</v>
      </c>
      <c r="C100" s="20">
        <v>1.5</v>
      </c>
      <c r="D100" s="8"/>
      <c r="E100" s="21">
        <v>2.5</v>
      </c>
      <c r="F100" s="21">
        <v>1.75</v>
      </c>
      <c r="G100" s="20">
        <v>3.0</v>
      </c>
      <c r="H100" s="20">
        <v>2.0</v>
      </c>
      <c r="I100" s="8"/>
      <c r="J100" s="20">
        <v>2.0</v>
      </c>
      <c r="K100" s="8"/>
      <c r="L100" s="20">
        <v>2.0</v>
      </c>
      <c r="M100" s="20">
        <v>2.0</v>
      </c>
      <c r="N100" s="8"/>
      <c r="O100" s="8"/>
      <c r="P100" s="20">
        <v>1.5</v>
      </c>
      <c r="Q100" s="20">
        <v>2.0</v>
      </c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20"/>
      <c r="AE100" s="20"/>
      <c r="AF100" s="8"/>
      <c r="AG100" s="20"/>
      <c r="AH100" s="8"/>
      <c r="AI100" s="21"/>
      <c r="AJ100" s="20"/>
      <c r="AK100" s="8"/>
      <c r="AL100" s="20"/>
      <c r="AM100" s="20"/>
      <c r="AN100" s="20"/>
      <c r="AO100" s="8"/>
      <c r="AP100" s="8"/>
      <c r="AQ100" s="8"/>
      <c r="AR100" s="8"/>
      <c r="AS100" s="8"/>
      <c r="AT100" s="8"/>
    </row>
    <row r="101" ht="15.75" customHeight="1">
      <c r="A101" s="22" t="s">
        <v>140</v>
      </c>
      <c r="B101" s="8">
        <f t="shared" si="1"/>
        <v>0</v>
      </c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  <c r="AE101" s="8"/>
      <c r="AF101" s="8"/>
      <c r="AG101" s="8"/>
      <c r="AH101" s="8"/>
      <c r="AI101" s="8"/>
      <c r="AJ101" s="8"/>
      <c r="AK101" s="8"/>
      <c r="AL101" s="8"/>
      <c r="AM101" s="8"/>
      <c r="AN101" s="8"/>
      <c r="AO101" s="8"/>
      <c r="AP101" s="8"/>
      <c r="AQ101" s="8"/>
      <c r="AR101" s="8"/>
      <c r="AS101" s="8"/>
      <c r="AT101" s="8"/>
    </row>
    <row r="102" ht="15.75" customHeight="1">
      <c r="A102" s="22" t="s">
        <v>141</v>
      </c>
      <c r="B102" s="8">
        <f t="shared" si="1"/>
        <v>0</v>
      </c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  <c r="AE102" s="8"/>
      <c r="AF102" s="8"/>
      <c r="AG102" s="8"/>
      <c r="AH102" s="8"/>
      <c r="AI102" s="8"/>
      <c r="AJ102" s="8"/>
      <c r="AK102" s="8"/>
      <c r="AL102" s="8"/>
      <c r="AM102" s="8"/>
      <c r="AN102" s="8"/>
      <c r="AO102" s="8"/>
      <c r="AP102" s="8"/>
      <c r="AQ102" s="8"/>
      <c r="AR102" s="8"/>
      <c r="AS102" s="8"/>
      <c r="AT102" s="8"/>
    </row>
    <row r="103" ht="15.75" customHeight="1">
      <c r="A103" s="22" t="s">
        <v>142</v>
      </c>
      <c r="B103" s="8">
        <f t="shared" si="1"/>
        <v>12</v>
      </c>
      <c r="C103" s="8"/>
      <c r="D103" s="20">
        <v>2.0</v>
      </c>
      <c r="E103" s="8"/>
      <c r="F103" s="21">
        <v>1.75</v>
      </c>
      <c r="G103" s="20">
        <v>3.0</v>
      </c>
      <c r="H103" s="8"/>
      <c r="I103" s="20">
        <v>1.75</v>
      </c>
      <c r="J103" s="8"/>
      <c r="K103" s="8"/>
      <c r="L103" s="8"/>
      <c r="M103" s="8"/>
      <c r="N103" s="20">
        <v>2.0</v>
      </c>
      <c r="O103" s="8"/>
      <c r="P103" s="8"/>
      <c r="Q103" s="20">
        <v>1.5</v>
      </c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  <c r="AE103" s="8"/>
      <c r="AF103" s="20"/>
      <c r="AG103" s="8"/>
      <c r="AH103" s="8"/>
      <c r="AI103" s="8"/>
      <c r="AJ103" s="20"/>
      <c r="AK103" s="20"/>
      <c r="AL103" s="8"/>
      <c r="AM103" s="8"/>
      <c r="AN103" s="20"/>
      <c r="AO103" s="8"/>
      <c r="AP103" s="8"/>
      <c r="AQ103" s="8"/>
      <c r="AR103" s="8"/>
      <c r="AS103" s="8"/>
      <c r="AT103" s="8"/>
    </row>
    <row r="104" ht="15.75" customHeight="1">
      <c r="A104" s="22" t="s">
        <v>143</v>
      </c>
      <c r="B104" s="8">
        <f t="shared" si="1"/>
        <v>3</v>
      </c>
      <c r="C104" s="8"/>
      <c r="D104" s="8"/>
      <c r="E104" s="8"/>
      <c r="F104" s="8"/>
      <c r="G104" s="8"/>
      <c r="H104" s="8"/>
      <c r="I104" s="20">
        <v>1.5</v>
      </c>
      <c r="J104" s="8"/>
      <c r="K104" s="8"/>
      <c r="L104" s="8"/>
      <c r="M104" s="8"/>
      <c r="N104" s="8"/>
      <c r="O104" s="8"/>
      <c r="P104" s="20">
        <v>1.5</v>
      </c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  <c r="AE104" s="8"/>
      <c r="AF104" s="8"/>
      <c r="AG104" s="8"/>
      <c r="AH104" s="8"/>
      <c r="AI104" s="21"/>
      <c r="AJ104" s="8"/>
      <c r="AK104" s="8"/>
      <c r="AL104" s="8"/>
      <c r="AM104" s="8"/>
      <c r="AN104" s="8"/>
      <c r="AO104" s="20"/>
      <c r="AP104" s="8"/>
      <c r="AQ104" s="8"/>
      <c r="AR104" s="8"/>
      <c r="AS104" s="8"/>
      <c r="AT104" s="8"/>
    </row>
    <row r="105" ht="15.75" customHeight="1">
      <c r="A105" s="22" t="s">
        <v>144</v>
      </c>
      <c r="B105" s="8">
        <f t="shared" si="1"/>
        <v>0</v>
      </c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  <c r="AE105" s="8"/>
      <c r="AF105" s="8"/>
      <c r="AG105" s="8"/>
      <c r="AH105" s="8"/>
      <c r="AI105" s="8"/>
      <c r="AJ105" s="8"/>
      <c r="AK105" s="8"/>
      <c r="AL105" s="8"/>
      <c r="AM105" s="8"/>
      <c r="AN105" s="8"/>
      <c r="AO105" s="8"/>
      <c r="AP105" s="8"/>
      <c r="AQ105" s="8"/>
      <c r="AR105" s="8"/>
      <c r="AS105" s="8"/>
      <c r="AT105" s="8"/>
    </row>
    <row r="106" ht="15.75" customHeight="1">
      <c r="A106" s="22" t="s">
        <v>145</v>
      </c>
      <c r="B106" s="8">
        <f t="shared" si="1"/>
        <v>0</v>
      </c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  <c r="AE106" s="8"/>
      <c r="AF106" s="8"/>
      <c r="AG106" s="8"/>
      <c r="AH106" s="8"/>
      <c r="AI106" s="8"/>
      <c r="AJ106" s="8"/>
      <c r="AK106" s="8"/>
      <c r="AL106" s="8"/>
      <c r="AM106" s="8"/>
      <c r="AN106" s="8"/>
      <c r="AO106" s="8"/>
      <c r="AP106" s="8"/>
      <c r="AQ106" s="8"/>
      <c r="AR106" s="8"/>
      <c r="AS106" s="8"/>
      <c r="AT106" s="8"/>
    </row>
    <row r="107" ht="15.75" customHeight="1">
      <c r="A107" s="22" t="s">
        <v>146</v>
      </c>
      <c r="B107" s="8">
        <f t="shared" si="1"/>
        <v>0</v>
      </c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  <c r="AE107" s="8"/>
      <c r="AF107" s="8"/>
      <c r="AG107" s="8"/>
      <c r="AH107" s="8"/>
      <c r="AI107" s="8"/>
      <c r="AJ107" s="20"/>
      <c r="AK107" s="8"/>
      <c r="AL107" s="8"/>
      <c r="AM107" s="8"/>
      <c r="AN107" s="8"/>
      <c r="AO107" s="8"/>
      <c r="AP107" s="8"/>
      <c r="AQ107" s="8"/>
      <c r="AR107" s="8"/>
      <c r="AS107" s="8"/>
      <c r="AT107" s="8"/>
    </row>
    <row r="108" ht="15.75" customHeight="1">
      <c r="A108" s="22" t="s">
        <v>147</v>
      </c>
      <c r="B108" s="8">
        <f t="shared" si="1"/>
        <v>28.5</v>
      </c>
      <c r="C108" s="20">
        <v>2.0</v>
      </c>
      <c r="D108" s="20">
        <v>2.0</v>
      </c>
      <c r="E108" s="21">
        <v>2.0</v>
      </c>
      <c r="F108" s="21">
        <v>2.0</v>
      </c>
      <c r="G108" s="20">
        <v>2.0</v>
      </c>
      <c r="H108" s="20">
        <v>2.0</v>
      </c>
      <c r="I108" s="20">
        <v>1.5</v>
      </c>
      <c r="J108" s="20">
        <v>1.5</v>
      </c>
      <c r="K108" s="21">
        <v>2.0</v>
      </c>
      <c r="L108" s="20">
        <v>2.0</v>
      </c>
      <c r="M108" s="20">
        <v>1.75</v>
      </c>
      <c r="N108" s="20">
        <v>2.0</v>
      </c>
      <c r="O108" s="20">
        <v>2.0</v>
      </c>
      <c r="P108" s="20">
        <v>2.0</v>
      </c>
      <c r="Q108" s="20">
        <v>1.75</v>
      </c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20"/>
      <c r="AE108" s="8"/>
      <c r="AF108" s="8"/>
      <c r="AG108" s="8"/>
      <c r="AH108" s="8"/>
      <c r="AI108" s="8"/>
      <c r="AJ108" s="20"/>
      <c r="AK108" s="20"/>
      <c r="AL108" s="8"/>
      <c r="AM108" s="20"/>
      <c r="AN108" s="20"/>
      <c r="AO108" s="20"/>
      <c r="AP108" s="8"/>
      <c r="AQ108" s="8"/>
      <c r="AR108" s="8"/>
      <c r="AS108" s="8"/>
      <c r="AT108" s="8"/>
    </row>
    <row r="109" ht="15.75" customHeight="1">
      <c r="A109" s="22" t="s">
        <v>148</v>
      </c>
      <c r="B109" s="8">
        <f t="shared" si="1"/>
        <v>0</v>
      </c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  <c r="AE109" s="8"/>
      <c r="AF109" s="8"/>
      <c r="AG109" s="8"/>
      <c r="AH109" s="8"/>
      <c r="AI109" s="8"/>
      <c r="AJ109" s="8"/>
      <c r="AK109" s="8"/>
      <c r="AL109" s="8"/>
      <c r="AM109" s="8"/>
      <c r="AN109" s="8"/>
      <c r="AO109" s="8"/>
      <c r="AP109" s="8"/>
      <c r="AQ109" s="8"/>
      <c r="AR109" s="8"/>
      <c r="AS109" s="8"/>
      <c r="AT109" s="8"/>
    </row>
    <row r="110" ht="15.75" customHeight="1">
      <c r="A110" s="22" t="s">
        <v>149</v>
      </c>
      <c r="B110" s="8">
        <f t="shared" si="1"/>
        <v>0</v>
      </c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  <c r="AE110" s="8"/>
      <c r="AF110" s="8"/>
      <c r="AG110" s="8"/>
      <c r="AH110" s="8"/>
      <c r="AI110" s="8"/>
      <c r="AJ110" s="8"/>
      <c r="AK110" s="8"/>
      <c r="AL110" s="8"/>
      <c r="AM110" s="8"/>
      <c r="AN110" s="8"/>
      <c r="AO110" s="8"/>
      <c r="AP110" s="8"/>
      <c r="AQ110" s="8"/>
      <c r="AR110" s="8"/>
      <c r="AS110" s="8"/>
      <c r="AT110" s="8"/>
    </row>
    <row r="111" ht="15.75" customHeight="1">
      <c r="A111" s="22" t="s">
        <v>150</v>
      </c>
      <c r="B111" s="8">
        <f t="shared" si="1"/>
        <v>0</v>
      </c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  <c r="AE111" s="8"/>
      <c r="AF111" s="8"/>
      <c r="AG111" s="8"/>
      <c r="AH111" s="8"/>
      <c r="AI111" s="8"/>
      <c r="AJ111" s="8"/>
      <c r="AK111" s="20"/>
      <c r="AL111" s="8"/>
      <c r="AM111" s="8"/>
      <c r="AN111" s="8"/>
      <c r="AO111" s="8"/>
      <c r="AP111" s="8"/>
      <c r="AQ111" s="8"/>
      <c r="AR111" s="8"/>
      <c r="AS111" s="8"/>
      <c r="AT111" s="8"/>
    </row>
    <row r="112" ht="15.75" customHeight="1">
      <c r="A112" s="22" t="s">
        <v>151</v>
      </c>
      <c r="B112" s="8">
        <f t="shared" si="1"/>
        <v>0</v>
      </c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  <c r="AE112" s="8"/>
      <c r="AF112" s="8"/>
      <c r="AG112" s="8"/>
      <c r="AH112" s="8"/>
      <c r="AI112" s="8"/>
      <c r="AJ112" s="8"/>
      <c r="AK112" s="8"/>
      <c r="AL112" s="8"/>
      <c r="AM112" s="8"/>
      <c r="AN112" s="8"/>
      <c r="AO112" s="8"/>
      <c r="AP112" s="8"/>
      <c r="AQ112" s="8"/>
      <c r="AR112" s="8"/>
      <c r="AS112" s="8"/>
      <c r="AT112" s="8"/>
    </row>
    <row r="113" ht="15.75" customHeight="1">
      <c r="A113" s="22" t="s">
        <v>152</v>
      </c>
      <c r="B113" s="8">
        <f t="shared" si="1"/>
        <v>0</v>
      </c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  <c r="AE113" s="8"/>
      <c r="AF113" s="8"/>
      <c r="AG113" s="8"/>
      <c r="AH113" s="8"/>
      <c r="AI113" s="8"/>
      <c r="AJ113" s="8"/>
      <c r="AK113" s="8"/>
      <c r="AL113" s="8"/>
      <c r="AM113" s="8"/>
      <c r="AN113" s="8"/>
      <c r="AO113" s="8"/>
      <c r="AP113" s="8"/>
      <c r="AQ113" s="8"/>
      <c r="AR113" s="8"/>
      <c r="AS113" s="8"/>
      <c r="AT113" s="8"/>
    </row>
    <row r="114" ht="15.75" customHeight="1">
      <c r="A114" s="22" t="s">
        <v>153</v>
      </c>
      <c r="B114" s="8">
        <f t="shared" si="1"/>
        <v>0</v>
      </c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  <c r="AE114" s="8"/>
      <c r="AF114" s="8"/>
      <c r="AG114" s="8"/>
      <c r="AH114" s="8"/>
      <c r="AI114" s="8"/>
      <c r="AJ114" s="8"/>
      <c r="AK114" s="8"/>
      <c r="AL114" s="8"/>
      <c r="AM114" s="8"/>
      <c r="AN114" s="8"/>
      <c r="AO114" s="8"/>
      <c r="AP114" s="8"/>
      <c r="AQ114" s="8"/>
      <c r="AR114" s="8"/>
      <c r="AS114" s="8"/>
      <c r="AT114" s="8"/>
    </row>
    <row r="115" ht="15.75" customHeight="1">
      <c r="A115" s="23" t="s">
        <v>154</v>
      </c>
      <c r="B115" s="8">
        <f t="shared" si="1"/>
        <v>0</v>
      </c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20"/>
      <c r="AE115" s="8"/>
      <c r="AF115" s="8"/>
      <c r="AG115" s="8"/>
      <c r="AH115" s="8"/>
      <c r="AI115" s="8"/>
      <c r="AJ115" s="8"/>
      <c r="AK115" s="8"/>
      <c r="AL115" s="8"/>
      <c r="AM115" s="8"/>
      <c r="AN115" s="8"/>
      <c r="AO115" s="8"/>
      <c r="AP115" s="8"/>
      <c r="AQ115" s="8"/>
      <c r="AR115" s="8"/>
      <c r="AS115" s="8"/>
      <c r="AT115" s="8"/>
    </row>
    <row r="116" ht="15.75" customHeight="1">
      <c r="A116" s="23" t="s">
        <v>155</v>
      </c>
      <c r="B116" s="8">
        <f t="shared" si="1"/>
        <v>0</v>
      </c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20"/>
      <c r="AE116" s="8"/>
      <c r="AF116" s="8"/>
      <c r="AG116" s="20"/>
      <c r="AH116" s="8"/>
      <c r="AI116" s="8"/>
      <c r="AJ116" s="20"/>
      <c r="AK116" s="8"/>
      <c r="AL116" s="8"/>
      <c r="AM116" s="8"/>
      <c r="AN116" s="8"/>
      <c r="AO116" s="8"/>
      <c r="AP116" s="8"/>
      <c r="AQ116" s="8"/>
      <c r="AR116" s="8"/>
      <c r="AS116" s="8"/>
      <c r="AT116" s="8"/>
    </row>
    <row r="117" ht="15.75" customHeight="1">
      <c r="A117" s="23" t="s">
        <v>156</v>
      </c>
      <c r="B117" s="8">
        <f t="shared" si="1"/>
        <v>0</v>
      </c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20"/>
      <c r="AE117" s="20"/>
      <c r="AF117" s="20"/>
      <c r="AG117" s="20"/>
      <c r="AH117" s="20"/>
      <c r="AI117" s="20"/>
      <c r="AJ117" s="20"/>
      <c r="AK117" s="20"/>
      <c r="AL117" s="8"/>
      <c r="AM117" s="8"/>
      <c r="AN117" s="8"/>
      <c r="AO117" s="8"/>
      <c r="AP117" s="8"/>
      <c r="AQ117" s="8"/>
      <c r="AR117" s="8"/>
      <c r="AS117" s="8"/>
      <c r="AT117" s="8"/>
    </row>
    <row r="118" ht="15.75" customHeight="1">
      <c r="A118" s="23" t="s">
        <v>157</v>
      </c>
      <c r="B118" s="8">
        <f t="shared" si="1"/>
        <v>0</v>
      </c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  <c r="AE118" s="20"/>
      <c r="AF118" s="8"/>
      <c r="AG118" s="8"/>
      <c r="AH118" s="8"/>
      <c r="AI118" s="8"/>
      <c r="AJ118" s="8"/>
      <c r="AK118" s="20"/>
      <c r="AL118" s="8"/>
      <c r="AM118" s="8"/>
      <c r="AN118" s="8"/>
      <c r="AO118" s="8"/>
      <c r="AP118" s="8"/>
      <c r="AQ118" s="8"/>
      <c r="AR118" s="8"/>
      <c r="AS118" s="8"/>
      <c r="AT118" s="8"/>
    </row>
    <row r="119" ht="15.75" customHeight="1">
      <c r="A119" s="23" t="s">
        <v>158</v>
      </c>
      <c r="B119" s="8">
        <f t="shared" si="1"/>
        <v>0</v>
      </c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  <c r="AE119" s="20"/>
      <c r="AF119" s="8"/>
      <c r="AG119" s="8"/>
      <c r="AH119" s="8"/>
      <c r="AI119" s="8"/>
      <c r="AJ119" s="8"/>
      <c r="AK119" s="8"/>
      <c r="AL119" s="8"/>
      <c r="AM119" s="8"/>
      <c r="AN119" s="8"/>
      <c r="AO119" s="8"/>
      <c r="AP119" s="8"/>
      <c r="AQ119" s="8"/>
      <c r="AR119" s="8"/>
      <c r="AS119" s="8"/>
      <c r="AT119" s="8"/>
    </row>
    <row r="120" ht="15.75" customHeight="1">
      <c r="A120" s="23" t="s">
        <v>159</v>
      </c>
      <c r="B120" s="8">
        <f t="shared" si="1"/>
        <v>0</v>
      </c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  <c r="AE120" s="20"/>
      <c r="AF120" s="8"/>
      <c r="AG120" s="8"/>
      <c r="AH120" s="8"/>
      <c r="AI120" s="8"/>
      <c r="AJ120" s="8"/>
      <c r="AK120" s="8"/>
      <c r="AL120" s="8"/>
      <c r="AM120" s="8"/>
      <c r="AN120" s="8"/>
      <c r="AO120" s="8"/>
      <c r="AP120" s="8"/>
      <c r="AQ120" s="8"/>
      <c r="AR120" s="8"/>
      <c r="AS120" s="8"/>
      <c r="AT120" s="8"/>
    </row>
    <row r="121" ht="15.75" customHeight="1">
      <c r="A121" s="23" t="s">
        <v>160</v>
      </c>
      <c r="B121" s="8">
        <f t="shared" si="1"/>
        <v>0</v>
      </c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  <c r="AE121" s="20"/>
      <c r="AF121" s="8"/>
      <c r="AG121" s="8"/>
      <c r="AH121" s="8"/>
      <c r="AI121" s="8"/>
      <c r="AJ121" s="8"/>
      <c r="AK121" s="8"/>
      <c r="AL121" s="8"/>
      <c r="AM121" s="8"/>
      <c r="AN121" s="8"/>
      <c r="AO121" s="8"/>
      <c r="AP121" s="8"/>
      <c r="AQ121" s="8"/>
      <c r="AR121" s="8"/>
      <c r="AS121" s="8"/>
      <c r="AT121" s="8"/>
    </row>
    <row r="122" ht="15.75" customHeight="1">
      <c r="A122" s="23" t="s">
        <v>161</v>
      </c>
      <c r="B122" s="8">
        <f t="shared" si="1"/>
        <v>0</v>
      </c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  <c r="AE122" s="20"/>
      <c r="AF122" s="8"/>
      <c r="AG122" s="8"/>
      <c r="AH122" s="8"/>
      <c r="AI122" s="8"/>
      <c r="AJ122" s="8"/>
      <c r="AK122" s="8"/>
      <c r="AL122" s="8"/>
      <c r="AM122" s="8"/>
      <c r="AN122" s="8"/>
      <c r="AO122" s="8"/>
      <c r="AP122" s="8"/>
      <c r="AQ122" s="8"/>
      <c r="AR122" s="8"/>
      <c r="AS122" s="8"/>
      <c r="AT122" s="8"/>
    </row>
    <row r="123" ht="15.75" customHeight="1">
      <c r="A123" s="23" t="s">
        <v>162</v>
      </c>
      <c r="B123" s="8">
        <f t="shared" si="1"/>
        <v>0</v>
      </c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  <c r="AE123" s="20"/>
      <c r="AF123" s="8"/>
      <c r="AG123" s="8"/>
      <c r="AH123" s="8"/>
      <c r="AI123" s="8"/>
      <c r="AJ123" s="8"/>
      <c r="AK123" s="8"/>
      <c r="AL123" s="8"/>
      <c r="AM123" s="8"/>
      <c r="AN123" s="8"/>
      <c r="AO123" s="8"/>
      <c r="AP123" s="8"/>
      <c r="AQ123" s="8"/>
      <c r="AR123" s="8"/>
      <c r="AS123" s="8"/>
      <c r="AT123" s="8"/>
    </row>
    <row r="124" ht="15.75" customHeight="1">
      <c r="A124" s="23" t="s">
        <v>163</v>
      </c>
      <c r="B124" s="8">
        <f t="shared" si="1"/>
        <v>0</v>
      </c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  <c r="AE124" s="20"/>
      <c r="AF124" s="8"/>
      <c r="AG124" s="8"/>
      <c r="AH124" s="8"/>
      <c r="AI124" s="8"/>
      <c r="AJ124" s="8"/>
      <c r="AK124" s="8"/>
      <c r="AL124" s="8"/>
      <c r="AM124" s="8"/>
      <c r="AN124" s="8"/>
      <c r="AO124" s="8"/>
      <c r="AP124" s="8"/>
      <c r="AQ124" s="8"/>
      <c r="AR124" s="8"/>
      <c r="AS124" s="8"/>
      <c r="AT124" s="8"/>
    </row>
    <row r="125" ht="15.75" customHeight="1">
      <c r="A125" s="23" t="s">
        <v>164</v>
      </c>
      <c r="B125" s="8">
        <f t="shared" si="1"/>
        <v>2</v>
      </c>
      <c r="C125" s="8"/>
      <c r="D125" s="8"/>
      <c r="E125" s="8"/>
      <c r="F125" s="8"/>
      <c r="G125" s="8"/>
      <c r="H125" s="8"/>
      <c r="I125" s="8"/>
      <c r="J125" s="8"/>
      <c r="K125" s="21">
        <v>2.0</v>
      </c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20"/>
      <c r="AF125" s="8"/>
      <c r="AG125" s="20"/>
      <c r="AH125" s="20"/>
      <c r="AI125" s="21"/>
      <c r="AJ125" s="8"/>
      <c r="AK125" s="8"/>
      <c r="AL125" s="8"/>
      <c r="AM125" s="20"/>
      <c r="AN125" s="8"/>
      <c r="AO125" s="8"/>
      <c r="AP125" s="8"/>
      <c r="AQ125" s="8"/>
      <c r="AR125" s="8"/>
      <c r="AS125" s="8"/>
      <c r="AT125" s="8"/>
    </row>
    <row r="126" ht="15.75" customHeight="1">
      <c r="A126" s="23" t="s">
        <v>165</v>
      </c>
      <c r="B126" s="8">
        <f t="shared" si="1"/>
        <v>0</v>
      </c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  <c r="AE126" s="20"/>
      <c r="AF126" s="8"/>
      <c r="AG126" s="8"/>
      <c r="AH126" s="8"/>
      <c r="AI126" s="8"/>
      <c r="AJ126" s="8"/>
      <c r="AK126" s="8"/>
      <c r="AL126" s="8"/>
      <c r="AM126" s="8"/>
      <c r="AN126" s="8"/>
      <c r="AO126" s="8"/>
      <c r="AP126" s="8"/>
      <c r="AQ126" s="8"/>
      <c r="AR126" s="8"/>
      <c r="AS126" s="8"/>
      <c r="AT126" s="8"/>
    </row>
    <row r="127" ht="15.75" customHeight="1">
      <c r="A127" s="23" t="s">
        <v>166</v>
      </c>
      <c r="B127" s="8">
        <f t="shared" si="1"/>
        <v>0</v>
      </c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  <c r="AE127" s="20"/>
      <c r="AF127" s="8"/>
      <c r="AG127" s="8"/>
      <c r="AH127" s="8"/>
      <c r="AI127" s="8"/>
      <c r="AJ127" s="8"/>
      <c r="AK127" s="8"/>
      <c r="AL127" s="8"/>
      <c r="AM127" s="8"/>
      <c r="AN127" s="8"/>
      <c r="AO127" s="8"/>
      <c r="AP127" s="8"/>
      <c r="AQ127" s="8"/>
      <c r="AR127" s="8"/>
      <c r="AS127" s="8"/>
      <c r="AT127" s="8"/>
    </row>
    <row r="128" ht="15.75" customHeight="1">
      <c r="A128" s="23" t="s">
        <v>167</v>
      </c>
      <c r="B128" s="8">
        <f t="shared" si="1"/>
        <v>6</v>
      </c>
      <c r="C128" s="20">
        <v>1.5</v>
      </c>
      <c r="D128" s="8"/>
      <c r="E128" s="21">
        <v>2.5</v>
      </c>
      <c r="F128" s="21"/>
      <c r="G128" s="8"/>
      <c r="H128" s="8"/>
      <c r="I128" s="8"/>
      <c r="J128" s="8"/>
      <c r="K128" s="8"/>
      <c r="L128" s="8"/>
      <c r="M128" s="8"/>
      <c r="N128" s="20">
        <v>2.0</v>
      </c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  <c r="AE128" s="20"/>
      <c r="AF128" s="8"/>
      <c r="AG128" s="8"/>
      <c r="AH128" s="8"/>
      <c r="AI128" s="8"/>
      <c r="AJ128" s="20"/>
      <c r="AK128" s="8"/>
      <c r="AL128" s="21"/>
      <c r="AM128" s="8"/>
      <c r="AN128" s="20"/>
      <c r="AO128" s="8"/>
      <c r="AP128" s="8"/>
      <c r="AQ128" s="8"/>
      <c r="AR128" s="8"/>
      <c r="AS128" s="8"/>
      <c r="AT128" s="8"/>
    </row>
    <row r="129" ht="15.75" customHeight="1">
      <c r="A129" s="23" t="s">
        <v>168</v>
      </c>
      <c r="B129" s="8">
        <f t="shared" si="1"/>
        <v>0</v>
      </c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  <c r="AE129" s="20"/>
      <c r="AF129" s="8"/>
      <c r="AG129" s="8"/>
      <c r="AH129" s="8"/>
      <c r="AI129" s="8"/>
      <c r="AJ129" s="8"/>
      <c r="AK129" s="8"/>
      <c r="AL129" s="8"/>
      <c r="AM129" s="8"/>
      <c r="AN129" s="8"/>
      <c r="AO129" s="8"/>
      <c r="AP129" s="8"/>
      <c r="AQ129" s="8"/>
      <c r="AR129" s="8"/>
      <c r="AS129" s="8"/>
      <c r="AT129" s="8"/>
    </row>
    <row r="130" ht="15.75" customHeight="1">
      <c r="A130" s="23" t="s">
        <v>169</v>
      </c>
      <c r="B130" s="8">
        <f t="shared" si="1"/>
        <v>0</v>
      </c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  <c r="AE130" s="8"/>
      <c r="AF130" s="20"/>
      <c r="AG130" s="20"/>
      <c r="AH130" s="8"/>
      <c r="AI130" s="8"/>
      <c r="AJ130" s="8"/>
      <c r="AK130" s="8"/>
      <c r="AL130" s="8"/>
      <c r="AM130" s="8"/>
      <c r="AN130" s="8"/>
      <c r="AO130" s="8"/>
      <c r="AP130" s="8"/>
      <c r="AQ130" s="8"/>
      <c r="AR130" s="8"/>
      <c r="AS130" s="8"/>
      <c r="AT130" s="8"/>
    </row>
    <row r="131" ht="15.75" customHeight="1">
      <c r="A131" s="23" t="s">
        <v>170</v>
      </c>
      <c r="B131" s="8">
        <f t="shared" si="1"/>
        <v>0</v>
      </c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  <c r="AE131" s="8"/>
      <c r="AF131" s="20"/>
      <c r="AG131" s="20"/>
      <c r="AH131" s="8"/>
      <c r="AI131" s="8"/>
      <c r="AJ131" s="20"/>
      <c r="AK131" s="20"/>
      <c r="AL131" s="8"/>
      <c r="AM131" s="8"/>
      <c r="AN131" s="8"/>
      <c r="AO131" s="8"/>
      <c r="AP131" s="8"/>
      <c r="AQ131" s="8"/>
      <c r="AR131" s="8"/>
      <c r="AS131" s="8"/>
      <c r="AT131" s="8"/>
    </row>
    <row r="132" ht="15.75" customHeight="1">
      <c r="A132" s="23" t="s">
        <v>171</v>
      </c>
      <c r="B132" s="8">
        <f t="shared" si="1"/>
        <v>0</v>
      </c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  <c r="AE132" s="8"/>
      <c r="AF132" s="20"/>
      <c r="AG132" s="8"/>
      <c r="AH132" s="8"/>
      <c r="AI132" s="8"/>
      <c r="AJ132" s="8"/>
      <c r="AK132" s="8"/>
      <c r="AL132" s="8"/>
      <c r="AM132" s="8"/>
      <c r="AN132" s="8"/>
      <c r="AO132" s="8"/>
      <c r="AP132" s="8"/>
      <c r="AQ132" s="8"/>
      <c r="AR132" s="8"/>
      <c r="AS132" s="8"/>
      <c r="AT132" s="8"/>
    </row>
    <row r="133" ht="15.75" customHeight="1">
      <c r="A133" s="23" t="s">
        <v>172</v>
      </c>
      <c r="B133" s="8">
        <f t="shared" si="1"/>
        <v>0</v>
      </c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  <c r="AE133" s="8"/>
      <c r="AF133" s="20"/>
      <c r="AG133" s="8"/>
      <c r="AH133" s="8"/>
      <c r="AI133" s="8"/>
      <c r="AJ133" s="8"/>
      <c r="AK133" s="8"/>
      <c r="AL133" s="8"/>
      <c r="AM133" s="8"/>
      <c r="AN133" s="8"/>
      <c r="AO133" s="8"/>
      <c r="AP133" s="8"/>
      <c r="AQ133" s="8"/>
      <c r="AR133" s="8"/>
      <c r="AS133" s="8"/>
      <c r="AT133" s="8"/>
    </row>
    <row r="134" ht="15.75" customHeight="1">
      <c r="A134" s="23" t="s">
        <v>173</v>
      </c>
      <c r="B134" s="8">
        <f t="shared" si="1"/>
        <v>0</v>
      </c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  <c r="AE134" s="8"/>
      <c r="AF134" s="20"/>
      <c r="AG134" s="8"/>
      <c r="AH134" s="8"/>
      <c r="AI134" s="8"/>
      <c r="AJ134" s="8"/>
      <c r="AK134" s="8"/>
      <c r="AL134" s="8"/>
      <c r="AM134" s="8"/>
      <c r="AN134" s="8"/>
      <c r="AO134" s="8"/>
      <c r="AP134" s="8"/>
      <c r="AQ134" s="8"/>
      <c r="AR134" s="8"/>
      <c r="AS134" s="8"/>
      <c r="AT134" s="8"/>
    </row>
    <row r="135" ht="15.75" customHeight="1">
      <c r="A135" s="23" t="s">
        <v>174</v>
      </c>
      <c r="B135" s="8">
        <f t="shared" si="1"/>
        <v>0</v>
      </c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  <c r="AE135" s="8"/>
      <c r="AF135" s="20"/>
      <c r="AG135" s="8"/>
      <c r="AH135" s="8"/>
      <c r="AI135" s="8"/>
      <c r="AJ135" s="8"/>
      <c r="AK135" s="8"/>
      <c r="AL135" s="8"/>
      <c r="AM135" s="8"/>
      <c r="AN135" s="8"/>
      <c r="AO135" s="8"/>
      <c r="AP135" s="8"/>
      <c r="AQ135" s="8"/>
      <c r="AR135" s="8"/>
      <c r="AS135" s="8"/>
      <c r="AT135" s="8"/>
    </row>
    <row r="136" ht="15.75" customHeight="1">
      <c r="A136" s="23" t="s">
        <v>175</v>
      </c>
      <c r="B136" s="8">
        <f t="shared" si="1"/>
        <v>0</v>
      </c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  <c r="AE136" s="8"/>
      <c r="AF136" s="20"/>
      <c r="AG136" s="8"/>
      <c r="AH136" s="8"/>
      <c r="AI136" s="8"/>
      <c r="AJ136" s="8"/>
      <c r="AK136" s="8"/>
      <c r="AL136" s="8"/>
      <c r="AM136" s="8"/>
      <c r="AN136" s="8"/>
      <c r="AO136" s="8"/>
      <c r="AP136" s="8"/>
      <c r="AQ136" s="8"/>
      <c r="AR136" s="8"/>
      <c r="AS136" s="8"/>
      <c r="AT136" s="8"/>
    </row>
    <row r="137" ht="15.75" customHeight="1">
      <c r="A137" s="23" t="s">
        <v>176</v>
      </c>
      <c r="B137" s="8">
        <f t="shared" si="1"/>
        <v>0</v>
      </c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  <c r="AD137" s="8"/>
      <c r="AE137" s="8"/>
      <c r="AF137" s="20"/>
      <c r="AG137" s="8"/>
      <c r="AH137" s="8"/>
      <c r="AI137" s="8"/>
      <c r="AJ137" s="8"/>
      <c r="AK137" s="8"/>
      <c r="AL137" s="8"/>
      <c r="AM137" s="8"/>
      <c r="AN137" s="8"/>
      <c r="AO137" s="8"/>
      <c r="AP137" s="8"/>
      <c r="AQ137" s="8"/>
      <c r="AR137" s="8"/>
      <c r="AS137" s="8"/>
      <c r="AT137" s="8"/>
    </row>
    <row r="138" ht="15.75" customHeight="1">
      <c r="A138" s="23" t="s">
        <v>177</v>
      </c>
      <c r="B138" s="8">
        <f t="shared" si="1"/>
        <v>0</v>
      </c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  <c r="AD138" s="8"/>
      <c r="AE138" s="8"/>
      <c r="AF138" s="20"/>
      <c r="AG138" s="8"/>
      <c r="AH138" s="8"/>
      <c r="AI138" s="8"/>
      <c r="AJ138" s="8"/>
      <c r="AK138" s="8"/>
      <c r="AL138" s="8"/>
      <c r="AM138" s="8"/>
      <c r="AN138" s="8"/>
      <c r="AO138" s="8"/>
      <c r="AP138" s="8"/>
      <c r="AQ138" s="8"/>
      <c r="AR138" s="8"/>
      <c r="AS138" s="8"/>
      <c r="AT138" s="8"/>
    </row>
    <row r="139" ht="15.75" customHeight="1">
      <c r="A139" s="23" t="s">
        <v>178</v>
      </c>
      <c r="B139" s="8">
        <f t="shared" si="1"/>
        <v>23</v>
      </c>
      <c r="C139" s="8"/>
      <c r="D139" s="20">
        <v>2.0</v>
      </c>
      <c r="E139" s="21">
        <v>2.5</v>
      </c>
      <c r="F139" s="21">
        <v>1.75</v>
      </c>
      <c r="G139" s="20">
        <v>3.0</v>
      </c>
      <c r="H139" s="20">
        <v>2.0</v>
      </c>
      <c r="I139" s="8"/>
      <c r="J139" s="20">
        <v>2.0</v>
      </c>
      <c r="K139" s="21">
        <v>2.0</v>
      </c>
      <c r="L139" s="8"/>
      <c r="M139" s="8"/>
      <c r="N139" s="20">
        <v>2.0</v>
      </c>
      <c r="O139" s="20">
        <v>2.0</v>
      </c>
      <c r="P139" s="20">
        <v>1.75</v>
      </c>
      <c r="Q139" s="20">
        <v>2.0</v>
      </c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  <c r="AD139" s="8"/>
      <c r="AE139" s="8"/>
      <c r="AF139" s="20"/>
      <c r="AG139" s="20"/>
      <c r="AH139" s="20"/>
      <c r="AI139" s="20"/>
      <c r="AJ139" s="20"/>
      <c r="AK139" s="20"/>
      <c r="AL139" s="8"/>
      <c r="AM139" s="8"/>
      <c r="AN139" s="8"/>
      <c r="AO139" s="8"/>
      <c r="AP139" s="8"/>
      <c r="AQ139" s="8"/>
      <c r="AR139" s="8"/>
      <c r="AS139" s="8"/>
      <c r="AT139" s="8"/>
    </row>
    <row r="140" ht="15.75" customHeight="1">
      <c r="A140" s="23" t="s">
        <v>179</v>
      </c>
      <c r="B140" s="8">
        <f t="shared" si="1"/>
        <v>0</v>
      </c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  <c r="AD140" s="8"/>
      <c r="AE140" s="8"/>
      <c r="AF140" s="20"/>
      <c r="AG140" s="8"/>
      <c r="AH140" s="8"/>
      <c r="AI140" s="8"/>
      <c r="AJ140" s="20"/>
      <c r="AK140" s="8"/>
      <c r="AL140" s="8"/>
      <c r="AM140" s="8"/>
      <c r="AN140" s="8"/>
      <c r="AO140" s="8"/>
      <c r="AP140" s="8"/>
      <c r="AQ140" s="8"/>
      <c r="AR140" s="8"/>
      <c r="AS140" s="8"/>
      <c r="AT140" s="8"/>
    </row>
    <row r="141" ht="15.75" customHeight="1">
      <c r="A141" s="23" t="s">
        <v>180</v>
      </c>
      <c r="B141" s="8">
        <f t="shared" si="1"/>
        <v>0</v>
      </c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  <c r="AD141" s="8"/>
      <c r="AE141" s="8"/>
      <c r="AF141" s="20"/>
      <c r="AG141" s="8"/>
      <c r="AH141" s="8"/>
      <c r="AI141" s="21"/>
      <c r="AJ141" s="8"/>
      <c r="AK141" s="8"/>
      <c r="AL141" s="8"/>
      <c r="AM141" s="8"/>
      <c r="AN141" s="8"/>
      <c r="AO141" s="8"/>
      <c r="AP141" s="8"/>
      <c r="AQ141" s="8"/>
      <c r="AR141" s="8"/>
      <c r="AS141" s="8"/>
      <c r="AT141" s="8"/>
    </row>
    <row r="142" ht="15.75" customHeight="1">
      <c r="A142" s="23" t="s">
        <v>181</v>
      </c>
      <c r="B142" s="8">
        <f t="shared" si="1"/>
        <v>15.25</v>
      </c>
      <c r="C142" s="20">
        <v>2.0</v>
      </c>
      <c r="D142" s="8"/>
      <c r="E142" s="8"/>
      <c r="F142" s="8"/>
      <c r="G142" s="8"/>
      <c r="H142" s="20">
        <v>2.0</v>
      </c>
      <c r="I142" s="20">
        <v>1.5</v>
      </c>
      <c r="J142" s="8"/>
      <c r="K142" s="21">
        <v>2.0</v>
      </c>
      <c r="L142" s="20">
        <v>2.0</v>
      </c>
      <c r="M142" s="8"/>
      <c r="N142" s="20">
        <v>2.0</v>
      </c>
      <c r="O142" s="20">
        <v>2.0</v>
      </c>
      <c r="P142" s="20">
        <v>1.75</v>
      </c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8"/>
      <c r="AD142" s="8"/>
      <c r="AE142" s="8"/>
      <c r="AF142" s="8"/>
      <c r="AG142" s="20"/>
      <c r="AH142" s="20"/>
      <c r="AI142" s="20"/>
      <c r="AJ142" s="20"/>
      <c r="AK142" s="8"/>
      <c r="AL142" s="21"/>
      <c r="AM142" s="20"/>
      <c r="AN142" s="20"/>
      <c r="AO142" s="8"/>
      <c r="AP142" s="8"/>
      <c r="AQ142" s="8"/>
      <c r="AR142" s="8"/>
      <c r="AS142" s="8"/>
      <c r="AT142" s="8"/>
    </row>
    <row r="143" ht="15.75" customHeight="1">
      <c r="A143" s="23" t="s">
        <v>182</v>
      </c>
      <c r="B143" s="8">
        <f t="shared" si="1"/>
        <v>0</v>
      </c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8"/>
      <c r="AD143" s="8"/>
      <c r="AE143" s="8"/>
      <c r="AF143" s="8"/>
      <c r="AG143" s="20"/>
      <c r="AH143" s="8"/>
      <c r="AI143" s="8"/>
      <c r="AJ143" s="8"/>
      <c r="AK143" s="8"/>
      <c r="AL143" s="8"/>
      <c r="AM143" s="8"/>
      <c r="AN143" s="20"/>
      <c r="AO143" s="8"/>
      <c r="AP143" s="8"/>
      <c r="AQ143" s="8"/>
      <c r="AR143" s="8"/>
      <c r="AS143" s="8"/>
      <c r="AT143" s="8"/>
    </row>
    <row r="144" ht="15.75" customHeight="1">
      <c r="A144" s="23" t="s">
        <v>183</v>
      </c>
      <c r="B144" s="8">
        <f t="shared" si="1"/>
        <v>0</v>
      </c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  <c r="AE144" s="8"/>
      <c r="AF144" s="8"/>
      <c r="AG144" s="20"/>
      <c r="AH144" s="8"/>
      <c r="AI144" s="8"/>
      <c r="AJ144" s="8"/>
      <c r="AK144" s="8"/>
      <c r="AL144" s="8"/>
      <c r="AM144" s="8"/>
      <c r="AN144" s="8"/>
      <c r="AO144" s="8"/>
      <c r="AP144" s="8"/>
      <c r="AQ144" s="8"/>
      <c r="AR144" s="8"/>
      <c r="AS144" s="8"/>
      <c r="AT144" s="8"/>
    </row>
    <row r="145" ht="15.75" customHeight="1">
      <c r="A145" s="23" t="s">
        <v>184</v>
      </c>
      <c r="B145" s="8">
        <f t="shared" si="1"/>
        <v>0</v>
      </c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  <c r="AE145" s="8"/>
      <c r="AF145" s="8"/>
      <c r="AG145" s="20"/>
      <c r="AH145" s="8"/>
      <c r="AI145" s="8"/>
      <c r="AJ145" s="8"/>
      <c r="AK145" s="20"/>
      <c r="AL145" s="8"/>
      <c r="AM145" s="8"/>
      <c r="AN145" s="8"/>
      <c r="AO145" s="8"/>
      <c r="AP145" s="8"/>
      <c r="AQ145" s="8"/>
      <c r="AR145" s="8"/>
      <c r="AS145" s="8"/>
      <c r="AT145" s="8"/>
    </row>
    <row r="146" ht="15.75" customHeight="1">
      <c r="A146" s="23" t="s">
        <v>185</v>
      </c>
      <c r="B146" s="8">
        <f t="shared" si="1"/>
        <v>0</v>
      </c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  <c r="AD146" s="8"/>
      <c r="AE146" s="8"/>
      <c r="AF146" s="8"/>
      <c r="AG146" s="20"/>
      <c r="AH146" s="8"/>
      <c r="AI146" s="8"/>
      <c r="AJ146" s="8"/>
      <c r="AK146" s="8"/>
      <c r="AL146" s="8"/>
      <c r="AM146" s="8"/>
      <c r="AN146" s="8"/>
      <c r="AO146" s="8"/>
      <c r="AP146" s="8"/>
      <c r="AQ146" s="8"/>
      <c r="AR146" s="8"/>
      <c r="AS146" s="8"/>
      <c r="AT146" s="8"/>
    </row>
    <row r="147" ht="15.75" customHeight="1">
      <c r="A147" s="23" t="s">
        <v>186</v>
      </c>
      <c r="B147" s="8">
        <f t="shared" si="1"/>
        <v>7.5</v>
      </c>
      <c r="C147" s="20">
        <v>2.0</v>
      </c>
      <c r="D147" s="8"/>
      <c r="E147" s="8"/>
      <c r="F147" s="8"/>
      <c r="G147" s="8"/>
      <c r="H147" s="20">
        <v>2.0</v>
      </c>
      <c r="I147" s="20">
        <v>1.5</v>
      </c>
      <c r="J147" s="8"/>
      <c r="K147" s="21">
        <v>2.0</v>
      </c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  <c r="AE147" s="8"/>
      <c r="AF147" s="8"/>
      <c r="AG147" s="20"/>
      <c r="AH147" s="8"/>
      <c r="AI147" s="8"/>
      <c r="AJ147" s="8"/>
      <c r="AK147" s="20"/>
      <c r="AL147" s="21"/>
      <c r="AM147" s="20"/>
      <c r="AN147" s="20"/>
      <c r="AO147" s="8"/>
      <c r="AP147" s="8"/>
      <c r="AQ147" s="8"/>
      <c r="AR147" s="8"/>
      <c r="AS147" s="8"/>
      <c r="AT147" s="8"/>
    </row>
    <row r="148" ht="15.75" customHeight="1">
      <c r="A148" s="23" t="s">
        <v>187</v>
      </c>
      <c r="B148" s="8">
        <f t="shared" si="1"/>
        <v>2</v>
      </c>
      <c r="C148" s="20">
        <v>2.0</v>
      </c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  <c r="AC148" s="8"/>
      <c r="AD148" s="8"/>
      <c r="AE148" s="8"/>
      <c r="AF148" s="8"/>
      <c r="AG148" s="20"/>
      <c r="AH148" s="8"/>
      <c r="AI148" s="8"/>
      <c r="AJ148" s="8"/>
      <c r="AK148" s="20"/>
      <c r="AL148" s="8"/>
      <c r="AM148" s="8"/>
      <c r="AN148" s="8"/>
      <c r="AO148" s="8"/>
      <c r="AP148" s="8"/>
      <c r="AQ148" s="8"/>
      <c r="AR148" s="8"/>
      <c r="AS148" s="8"/>
      <c r="AT148" s="8"/>
    </row>
    <row r="149" ht="15.75" customHeight="1">
      <c r="A149" s="23" t="s">
        <v>188</v>
      </c>
      <c r="B149" s="8">
        <f t="shared" si="1"/>
        <v>0</v>
      </c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  <c r="AE149" s="8"/>
      <c r="AF149" s="8"/>
      <c r="AG149" s="20"/>
      <c r="AH149" s="8"/>
      <c r="AI149" s="8"/>
      <c r="AJ149" s="8"/>
      <c r="AK149" s="8"/>
      <c r="AL149" s="8"/>
      <c r="AM149" s="8"/>
      <c r="AN149" s="8"/>
      <c r="AO149" s="8"/>
      <c r="AP149" s="8"/>
      <c r="AQ149" s="8"/>
      <c r="AR149" s="8"/>
      <c r="AS149" s="8"/>
      <c r="AT149" s="8"/>
    </row>
    <row r="150" ht="15.75" customHeight="1">
      <c r="A150" s="23" t="s">
        <v>189</v>
      </c>
      <c r="B150" s="8">
        <f t="shared" si="1"/>
        <v>0</v>
      </c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  <c r="AD150" s="8"/>
      <c r="AE150" s="8"/>
      <c r="AF150" s="8"/>
      <c r="AG150" s="20"/>
      <c r="AH150" s="8"/>
      <c r="AI150" s="8"/>
      <c r="AJ150" s="8"/>
      <c r="AK150" s="8"/>
      <c r="AL150" s="8"/>
      <c r="AM150" s="8"/>
      <c r="AN150" s="8"/>
      <c r="AO150" s="8"/>
      <c r="AP150" s="8"/>
      <c r="AQ150" s="8"/>
      <c r="AR150" s="8"/>
      <c r="AS150" s="8"/>
      <c r="AT150" s="8"/>
    </row>
    <row r="151" ht="15.75" customHeight="1">
      <c r="A151" s="23" t="s">
        <v>190</v>
      </c>
      <c r="B151" s="8">
        <f t="shared" si="1"/>
        <v>15</v>
      </c>
      <c r="C151" s="20">
        <v>1.5</v>
      </c>
      <c r="D151" s="20">
        <v>2.0</v>
      </c>
      <c r="E151" s="21">
        <v>2.5</v>
      </c>
      <c r="F151" s="21">
        <v>1.5</v>
      </c>
      <c r="G151" s="8"/>
      <c r="H151" s="8"/>
      <c r="I151" s="20">
        <v>1.25</v>
      </c>
      <c r="J151" s="20">
        <v>1.5</v>
      </c>
      <c r="K151" s="8"/>
      <c r="L151" s="8"/>
      <c r="M151" s="8"/>
      <c r="N151" s="20">
        <v>2.0</v>
      </c>
      <c r="O151" s="8"/>
      <c r="P151" s="20">
        <v>1.25</v>
      </c>
      <c r="Q151" s="20">
        <v>1.5</v>
      </c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  <c r="AC151" s="8"/>
      <c r="AD151" s="8"/>
      <c r="AE151" s="8"/>
      <c r="AF151" s="8"/>
      <c r="AG151" s="20"/>
      <c r="AH151" s="8"/>
      <c r="AI151" s="8"/>
      <c r="AJ151" s="8"/>
      <c r="AK151" s="20"/>
      <c r="AL151" s="20"/>
      <c r="AM151" s="20"/>
      <c r="AN151" s="20"/>
      <c r="AO151" s="20"/>
      <c r="AP151" s="8"/>
      <c r="AQ151" s="8"/>
      <c r="AR151" s="8"/>
      <c r="AS151" s="8"/>
      <c r="AT151" s="8"/>
    </row>
    <row r="152" ht="15.75" customHeight="1">
      <c r="A152" s="23" t="s">
        <v>191</v>
      </c>
      <c r="B152" s="8">
        <f t="shared" si="1"/>
        <v>0</v>
      </c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  <c r="AC152" s="8"/>
      <c r="AD152" s="8"/>
      <c r="AE152" s="8"/>
      <c r="AF152" s="8"/>
      <c r="AG152" s="8"/>
      <c r="AH152" s="20"/>
      <c r="AI152" s="8"/>
      <c r="AJ152" s="8"/>
      <c r="AK152" s="8"/>
      <c r="AL152" s="8"/>
      <c r="AM152" s="8"/>
      <c r="AN152" s="8"/>
      <c r="AO152" s="8"/>
      <c r="AP152" s="8"/>
      <c r="AQ152" s="8"/>
      <c r="AR152" s="8"/>
      <c r="AS152" s="8"/>
      <c r="AT152" s="8"/>
    </row>
    <row r="153" ht="15.75" customHeight="1">
      <c r="A153" s="23" t="s">
        <v>192</v>
      </c>
      <c r="B153" s="8">
        <f t="shared" si="1"/>
        <v>0</v>
      </c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  <c r="AC153" s="8"/>
      <c r="AD153" s="8"/>
      <c r="AE153" s="8"/>
      <c r="AF153" s="8"/>
      <c r="AG153" s="8"/>
      <c r="AH153" s="20"/>
      <c r="AI153" s="21"/>
      <c r="AJ153" s="8"/>
      <c r="AK153" s="8"/>
      <c r="AL153" s="8"/>
      <c r="AM153" s="8"/>
      <c r="AN153" s="8"/>
      <c r="AO153" s="8"/>
      <c r="AP153" s="8"/>
      <c r="AQ153" s="8"/>
      <c r="AR153" s="8"/>
      <c r="AS153" s="8"/>
      <c r="AT153" s="8"/>
    </row>
    <row r="154" ht="15.75" customHeight="1">
      <c r="A154" s="23" t="s">
        <v>193</v>
      </c>
      <c r="B154" s="8">
        <f t="shared" si="1"/>
        <v>0</v>
      </c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  <c r="AC154" s="8"/>
      <c r="AD154" s="8"/>
      <c r="AE154" s="8"/>
      <c r="AF154" s="8"/>
      <c r="AG154" s="8"/>
      <c r="AH154" s="20"/>
      <c r="AI154" s="8"/>
      <c r="AJ154" s="8"/>
      <c r="AK154" s="8"/>
      <c r="AL154" s="8"/>
      <c r="AM154" s="8"/>
      <c r="AN154" s="8"/>
      <c r="AO154" s="8"/>
      <c r="AP154" s="8"/>
      <c r="AQ154" s="8"/>
      <c r="AR154" s="8"/>
      <c r="AS154" s="8"/>
      <c r="AT154" s="8"/>
    </row>
    <row r="155" ht="15.75" customHeight="1">
      <c r="A155" s="23" t="s">
        <v>194</v>
      </c>
      <c r="B155" s="8">
        <f t="shared" si="1"/>
        <v>0</v>
      </c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  <c r="AC155" s="8"/>
      <c r="AD155" s="8"/>
      <c r="AE155" s="8"/>
      <c r="AF155" s="8"/>
      <c r="AG155" s="8"/>
      <c r="AH155" s="20"/>
      <c r="AI155" s="8"/>
      <c r="AJ155" s="8"/>
      <c r="AK155" s="8"/>
      <c r="AL155" s="8"/>
      <c r="AM155" s="8"/>
      <c r="AN155" s="8"/>
      <c r="AO155" s="8"/>
      <c r="AP155" s="8"/>
      <c r="AQ155" s="8"/>
      <c r="AR155" s="8"/>
      <c r="AS155" s="8"/>
      <c r="AT155" s="8"/>
    </row>
    <row r="156" ht="15.75" customHeight="1">
      <c r="A156" s="23" t="s">
        <v>195</v>
      </c>
      <c r="B156" s="8">
        <f t="shared" si="1"/>
        <v>0</v>
      </c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  <c r="AC156" s="8"/>
      <c r="AD156" s="8"/>
      <c r="AE156" s="8"/>
      <c r="AF156" s="8"/>
      <c r="AG156" s="8"/>
      <c r="AH156" s="20"/>
      <c r="AI156" s="8"/>
      <c r="AJ156" s="8"/>
      <c r="AK156" s="8"/>
      <c r="AL156" s="8"/>
      <c r="AM156" s="8"/>
      <c r="AN156" s="8"/>
      <c r="AO156" s="8"/>
      <c r="AP156" s="8"/>
      <c r="AQ156" s="8"/>
      <c r="AR156" s="8"/>
      <c r="AS156" s="8"/>
      <c r="AT156" s="8"/>
    </row>
    <row r="157" ht="15.75" customHeight="1">
      <c r="A157" s="23" t="s">
        <v>196</v>
      </c>
      <c r="B157" s="8">
        <f t="shared" si="1"/>
        <v>0</v>
      </c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  <c r="AE157" s="8"/>
      <c r="AF157" s="8"/>
      <c r="AG157" s="8"/>
      <c r="AH157" s="20"/>
      <c r="AI157" s="8"/>
      <c r="AJ157" s="8"/>
      <c r="AK157" s="8"/>
      <c r="AL157" s="8"/>
      <c r="AM157" s="8"/>
      <c r="AN157" s="8"/>
      <c r="AO157" s="8"/>
      <c r="AP157" s="8"/>
      <c r="AQ157" s="8"/>
      <c r="AR157" s="8"/>
      <c r="AS157" s="8"/>
      <c r="AT157" s="8"/>
    </row>
    <row r="158" ht="15.75" customHeight="1">
      <c r="A158" s="23" t="s">
        <v>197</v>
      </c>
      <c r="B158" s="8">
        <f t="shared" si="1"/>
        <v>0</v>
      </c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  <c r="AD158" s="8"/>
      <c r="AE158" s="8"/>
      <c r="AF158" s="8"/>
      <c r="AG158" s="8"/>
      <c r="AH158" s="20"/>
      <c r="AI158" s="8"/>
      <c r="AJ158" s="8"/>
      <c r="AK158" s="8"/>
      <c r="AL158" s="8"/>
      <c r="AM158" s="8"/>
      <c r="AN158" s="8"/>
      <c r="AO158" s="8"/>
      <c r="AP158" s="8"/>
      <c r="AQ158" s="8"/>
      <c r="AR158" s="8"/>
      <c r="AS158" s="8"/>
      <c r="AT158" s="8"/>
    </row>
    <row r="159" ht="15.75" customHeight="1">
      <c r="A159" s="23" t="s">
        <v>198</v>
      </c>
      <c r="B159" s="8">
        <f t="shared" si="1"/>
        <v>0</v>
      </c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  <c r="AC159" s="8"/>
      <c r="AD159" s="8"/>
      <c r="AE159" s="8"/>
      <c r="AF159" s="8"/>
      <c r="AG159" s="8"/>
      <c r="AH159" s="20"/>
      <c r="AI159" s="20"/>
      <c r="AJ159" s="20"/>
      <c r="AK159" s="8"/>
      <c r="AL159" s="8"/>
      <c r="AM159" s="8"/>
      <c r="AN159" s="8"/>
      <c r="AO159" s="8"/>
      <c r="AP159" s="8"/>
      <c r="AQ159" s="8"/>
      <c r="AR159" s="8"/>
      <c r="AS159" s="8"/>
      <c r="AT159" s="8"/>
    </row>
    <row r="160" ht="15.75" customHeight="1">
      <c r="A160" s="23" t="s">
        <v>199</v>
      </c>
      <c r="B160" s="8">
        <f t="shared" si="1"/>
        <v>0</v>
      </c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  <c r="AC160" s="8"/>
      <c r="AD160" s="8"/>
      <c r="AE160" s="8"/>
      <c r="AF160" s="8"/>
      <c r="AG160" s="8"/>
      <c r="AH160" s="20"/>
      <c r="AI160" s="20"/>
      <c r="AJ160" s="20"/>
      <c r="AK160" s="8"/>
      <c r="AL160" s="8"/>
      <c r="AM160" s="8"/>
      <c r="AN160" s="8"/>
      <c r="AO160" s="8"/>
      <c r="AP160" s="8"/>
      <c r="AQ160" s="8"/>
      <c r="AR160" s="8"/>
      <c r="AS160" s="8"/>
      <c r="AT160" s="8"/>
    </row>
    <row r="161" ht="15.75" customHeight="1">
      <c r="A161" s="23" t="s">
        <v>200</v>
      </c>
      <c r="B161" s="8">
        <f t="shared" si="1"/>
        <v>0</v>
      </c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  <c r="AC161" s="8"/>
      <c r="AD161" s="8"/>
      <c r="AE161" s="8"/>
      <c r="AF161" s="8"/>
      <c r="AG161" s="8"/>
      <c r="AH161" s="20"/>
      <c r="AI161" s="20"/>
      <c r="AJ161" s="20"/>
      <c r="AK161" s="8"/>
      <c r="AL161" s="8"/>
      <c r="AM161" s="8"/>
      <c r="AN161" s="8"/>
      <c r="AO161" s="8"/>
      <c r="AP161" s="8"/>
      <c r="AQ161" s="8"/>
      <c r="AR161" s="8"/>
      <c r="AS161" s="8"/>
      <c r="AT161" s="8"/>
    </row>
    <row r="162" ht="15.75" customHeight="1">
      <c r="A162" s="23" t="s">
        <v>201</v>
      </c>
      <c r="B162" s="8">
        <f t="shared" si="1"/>
        <v>0</v>
      </c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8"/>
      <c r="AC162" s="8"/>
      <c r="AD162" s="8"/>
      <c r="AE162" s="8"/>
      <c r="AF162" s="8"/>
      <c r="AG162" s="8"/>
      <c r="AH162" s="20"/>
      <c r="AI162" s="20"/>
      <c r="AJ162" s="20"/>
      <c r="AK162" s="8"/>
      <c r="AL162" s="8"/>
      <c r="AM162" s="8"/>
      <c r="AN162" s="8"/>
      <c r="AO162" s="8"/>
      <c r="AP162" s="8"/>
      <c r="AQ162" s="8"/>
      <c r="AR162" s="8"/>
      <c r="AS162" s="8"/>
      <c r="AT162" s="8"/>
    </row>
    <row r="163" ht="15.75" customHeight="1">
      <c r="A163" s="24" t="s">
        <v>202</v>
      </c>
      <c r="B163" s="8">
        <f t="shared" si="1"/>
        <v>0</v>
      </c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  <c r="AB163" s="8"/>
      <c r="AC163" s="8"/>
      <c r="AD163" s="8"/>
      <c r="AE163" s="8"/>
      <c r="AF163" s="8"/>
      <c r="AG163" s="8"/>
      <c r="AH163" s="8"/>
      <c r="AI163" s="21"/>
      <c r="AJ163" s="8"/>
      <c r="AK163" s="8"/>
      <c r="AL163" s="8"/>
      <c r="AM163" s="8"/>
      <c r="AN163" s="8"/>
      <c r="AO163" s="8"/>
      <c r="AP163" s="8"/>
      <c r="AQ163" s="8"/>
      <c r="AR163" s="8"/>
      <c r="AS163" s="8"/>
      <c r="AT163" s="8"/>
    </row>
    <row r="164" ht="15.75" customHeight="1">
      <c r="A164" s="24" t="s">
        <v>203</v>
      </c>
      <c r="B164" s="8">
        <f t="shared" si="1"/>
        <v>0</v>
      </c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  <c r="AB164" s="8"/>
      <c r="AC164" s="8"/>
      <c r="AD164" s="8"/>
      <c r="AE164" s="8"/>
      <c r="AF164" s="8"/>
      <c r="AG164" s="8"/>
      <c r="AH164" s="8"/>
      <c r="AI164" s="21"/>
      <c r="AJ164" s="8"/>
      <c r="AK164" s="8"/>
      <c r="AL164" s="8"/>
      <c r="AM164" s="8"/>
      <c r="AN164" s="8"/>
      <c r="AO164" s="8"/>
      <c r="AP164" s="8"/>
      <c r="AQ164" s="8"/>
      <c r="AR164" s="8"/>
      <c r="AS164" s="8"/>
      <c r="AT164" s="8"/>
    </row>
    <row r="165" ht="15.75" customHeight="1">
      <c r="A165" s="24" t="s">
        <v>204</v>
      </c>
      <c r="B165" s="8">
        <f t="shared" si="1"/>
        <v>0</v>
      </c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  <c r="AB165" s="8"/>
      <c r="AC165" s="8"/>
      <c r="AD165" s="8"/>
      <c r="AE165" s="8"/>
      <c r="AF165" s="8"/>
      <c r="AG165" s="8"/>
      <c r="AH165" s="8"/>
      <c r="AI165" s="21"/>
      <c r="AJ165" s="8"/>
      <c r="AK165" s="20"/>
      <c r="AL165" s="8"/>
      <c r="AM165" s="8"/>
      <c r="AN165" s="8"/>
      <c r="AO165" s="20"/>
      <c r="AP165" s="8"/>
      <c r="AQ165" s="8"/>
      <c r="AR165" s="8"/>
      <c r="AS165" s="8"/>
      <c r="AT165" s="8"/>
    </row>
    <row r="166" ht="15.75" customHeight="1">
      <c r="A166" s="24" t="s">
        <v>205</v>
      </c>
      <c r="B166" s="8">
        <f t="shared" si="1"/>
        <v>0</v>
      </c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  <c r="AB166" s="8"/>
      <c r="AC166" s="8"/>
      <c r="AD166" s="8"/>
      <c r="AE166" s="8"/>
      <c r="AF166" s="8"/>
      <c r="AG166" s="8"/>
      <c r="AH166" s="8"/>
      <c r="AI166" s="21"/>
      <c r="AJ166" s="8"/>
      <c r="AK166" s="8"/>
      <c r="AL166" s="8"/>
      <c r="AM166" s="8"/>
      <c r="AN166" s="8"/>
      <c r="AO166" s="8"/>
      <c r="AP166" s="8"/>
      <c r="AQ166" s="8"/>
      <c r="AR166" s="8"/>
      <c r="AS166" s="8"/>
      <c r="AT166" s="8"/>
    </row>
    <row r="167" ht="15.75" customHeight="1">
      <c r="A167" s="24" t="s">
        <v>206</v>
      </c>
      <c r="B167" s="8">
        <f t="shared" si="1"/>
        <v>0</v>
      </c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  <c r="AC167" s="8"/>
      <c r="AD167" s="8"/>
      <c r="AE167" s="8"/>
      <c r="AF167" s="8"/>
      <c r="AG167" s="8"/>
      <c r="AH167" s="8"/>
      <c r="AI167" s="21"/>
      <c r="AJ167" s="8"/>
      <c r="AK167" s="8"/>
      <c r="AL167" s="8"/>
      <c r="AM167" s="8"/>
      <c r="AN167" s="8"/>
      <c r="AO167" s="8"/>
      <c r="AP167" s="8"/>
      <c r="AQ167" s="8"/>
      <c r="AR167" s="8"/>
      <c r="AS167" s="8"/>
      <c r="AT167" s="8"/>
    </row>
    <row r="168" ht="15.75" customHeight="1">
      <c r="A168" s="23" t="s">
        <v>5</v>
      </c>
      <c r="B168" s="8">
        <f t="shared" si="1"/>
        <v>0</v>
      </c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  <c r="AB168" s="8"/>
      <c r="AC168" s="8"/>
      <c r="AD168" s="8"/>
      <c r="AE168" s="8"/>
      <c r="AF168" s="8"/>
      <c r="AG168" s="8"/>
      <c r="AH168" s="8"/>
      <c r="AI168" s="8"/>
      <c r="AJ168" s="20"/>
      <c r="AK168" s="8"/>
      <c r="AL168" s="8"/>
      <c r="AM168" s="8"/>
      <c r="AN168" s="8"/>
      <c r="AO168" s="8"/>
      <c r="AP168" s="8"/>
      <c r="AQ168" s="8"/>
      <c r="AR168" s="8"/>
      <c r="AS168" s="8"/>
      <c r="AT168" s="8"/>
    </row>
    <row r="169" ht="15.75" customHeight="1">
      <c r="A169" s="23" t="s">
        <v>207</v>
      </c>
      <c r="B169" s="8">
        <f t="shared" si="1"/>
        <v>16.75</v>
      </c>
      <c r="C169" s="8"/>
      <c r="D169" s="20">
        <v>2.0</v>
      </c>
      <c r="E169" s="21">
        <v>2.0</v>
      </c>
      <c r="F169" s="21">
        <v>2.0</v>
      </c>
      <c r="G169" s="8"/>
      <c r="H169" s="8"/>
      <c r="I169" s="20">
        <v>1.25</v>
      </c>
      <c r="J169" s="20">
        <v>2.0</v>
      </c>
      <c r="K169" s="8"/>
      <c r="L169" s="20">
        <v>2.0</v>
      </c>
      <c r="M169" s="20">
        <v>1.75</v>
      </c>
      <c r="N169" s="20">
        <v>2.0</v>
      </c>
      <c r="O169" s="8"/>
      <c r="P169" s="20">
        <v>1.75</v>
      </c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8"/>
      <c r="AC169" s="8"/>
      <c r="AD169" s="8"/>
      <c r="AE169" s="8"/>
      <c r="AF169" s="8"/>
      <c r="AG169" s="8"/>
      <c r="AH169" s="8"/>
      <c r="AI169" s="8"/>
      <c r="AJ169" s="20"/>
      <c r="AK169" s="20"/>
      <c r="AL169" s="8"/>
      <c r="AM169" s="20"/>
      <c r="AN169" s="20"/>
      <c r="AO169" s="20"/>
      <c r="AP169" s="8"/>
      <c r="AQ169" s="8"/>
      <c r="AR169" s="8"/>
      <c r="AS169" s="8"/>
      <c r="AT169" s="8"/>
    </row>
    <row r="170" ht="15.75" customHeight="1">
      <c r="A170" s="23" t="s">
        <v>208</v>
      </c>
      <c r="B170" s="8">
        <f t="shared" si="1"/>
        <v>17.25</v>
      </c>
      <c r="C170" s="20">
        <v>1.5</v>
      </c>
      <c r="D170" s="20">
        <v>2.0</v>
      </c>
      <c r="E170" s="8"/>
      <c r="F170" s="21">
        <v>1.75</v>
      </c>
      <c r="G170" s="8"/>
      <c r="H170" s="20">
        <v>2.0</v>
      </c>
      <c r="I170" s="8"/>
      <c r="J170" s="20">
        <v>2.0</v>
      </c>
      <c r="K170" s="21">
        <v>2.0</v>
      </c>
      <c r="L170" s="20">
        <v>2.0</v>
      </c>
      <c r="M170" s="8"/>
      <c r="N170" s="8"/>
      <c r="O170" s="20">
        <v>2.0</v>
      </c>
      <c r="P170" s="8"/>
      <c r="Q170" s="20">
        <v>2.0</v>
      </c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8"/>
      <c r="AC170" s="8"/>
      <c r="AD170" s="8"/>
      <c r="AE170" s="8"/>
      <c r="AF170" s="8"/>
      <c r="AG170" s="8"/>
      <c r="AH170" s="8"/>
      <c r="AI170" s="8"/>
      <c r="AJ170" s="8"/>
      <c r="AK170" s="20"/>
      <c r="AL170" s="8"/>
      <c r="AM170" s="20"/>
      <c r="AN170" s="8"/>
      <c r="AO170" s="20"/>
      <c r="AP170" s="8"/>
      <c r="AQ170" s="8"/>
      <c r="AR170" s="8"/>
      <c r="AS170" s="8"/>
      <c r="AT170" s="8"/>
    </row>
    <row r="171" ht="15.75" customHeight="1">
      <c r="A171" s="23" t="s">
        <v>209</v>
      </c>
      <c r="B171" s="8">
        <f t="shared" si="1"/>
        <v>8.75</v>
      </c>
      <c r="C171" s="20">
        <v>1.5</v>
      </c>
      <c r="D171" s="8"/>
      <c r="E171" s="8"/>
      <c r="F171" s="21">
        <v>1.75</v>
      </c>
      <c r="G171" s="8"/>
      <c r="H171" s="20">
        <v>2.0</v>
      </c>
      <c r="I171" s="8"/>
      <c r="J171" s="8"/>
      <c r="K171" s="8"/>
      <c r="L171" s="8"/>
      <c r="M171" s="8"/>
      <c r="N171" s="8"/>
      <c r="O171" s="8"/>
      <c r="P171" s="20">
        <v>1.5</v>
      </c>
      <c r="Q171" s="20">
        <v>2.0</v>
      </c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  <c r="AC171" s="8"/>
      <c r="AD171" s="8"/>
      <c r="AE171" s="8"/>
      <c r="AF171" s="8"/>
      <c r="AG171" s="8"/>
      <c r="AH171" s="8"/>
      <c r="AI171" s="8"/>
      <c r="AJ171" s="8"/>
      <c r="AK171" s="8"/>
      <c r="AL171" s="8"/>
      <c r="AM171" s="8"/>
      <c r="AN171" s="20"/>
      <c r="AO171" s="8"/>
      <c r="AP171" s="8"/>
      <c r="AQ171" s="8"/>
      <c r="AR171" s="8"/>
      <c r="AS171" s="8"/>
      <c r="AT171" s="8"/>
    </row>
    <row r="172" ht="15.75" customHeight="1">
      <c r="A172" s="23" t="s">
        <v>210</v>
      </c>
      <c r="B172" s="8">
        <f t="shared" si="1"/>
        <v>0</v>
      </c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  <c r="AC172" s="8"/>
      <c r="AD172" s="8"/>
      <c r="AE172" s="8"/>
      <c r="AF172" s="8"/>
      <c r="AG172" s="8"/>
      <c r="AH172" s="8"/>
      <c r="AI172" s="8"/>
      <c r="AJ172" s="8"/>
      <c r="AK172" s="20"/>
      <c r="AL172" s="8"/>
      <c r="AM172" s="8"/>
      <c r="AN172" s="8"/>
      <c r="AO172" s="8"/>
      <c r="AP172" s="8"/>
      <c r="AQ172" s="8"/>
      <c r="AR172" s="8"/>
      <c r="AS172" s="8"/>
      <c r="AT172" s="8"/>
    </row>
    <row r="173" ht="15.75" customHeight="1">
      <c r="A173" s="23" t="s">
        <v>211</v>
      </c>
      <c r="B173" s="8">
        <f t="shared" si="1"/>
        <v>0</v>
      </c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  <c r="AC173" s="8"/>
      <c r="AD173" s="8"/>
      <c r="AE173" s="8"/>
      <c r="AF173" s="8"/>
      <c r="AG173" s="8"/>
      <c r="AH173" s="8"/>
      <c r="AI173" s="8"/>
      <c r="AJ173" s="8"/>
      <c r="AK173" s="20"/>
      <c r="AL173" s="8"/>
      <c r="AM173" s="8"/>
      <c r="AN173" s="8"/>
      <c r="AO173" s="20"/>
      <c r="AP173" s="8"/>
      <c r="AQ173" s="8"/>
      <c r="AR173" s="8"/>
      <c r="AS173" s="8"/>
      <c r="AT173" s="8"/>
    </row>
    <row r="174" ht="15.75" customHeight="1">
      <c r="A174" s="23" t="s">
        <v>212</v>
      </c>
      <c r="B174" s="8">
        <f t="shared" si="1"/>
        <v>0</v>
      </c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  <c r="AC174" s="8"/>
      <c r="AD174" s="8"/>
      <c r="AE174" s="8"/>
      <c r="AF174" s="8"/>
      <c r="AG174" s="8"/>
      <c r="AH174" s="8"/>
      <c r="AI174" s="8"/>
      <c r="AJ174" s="8"/>
      <c r="AK174" s="20"/>
      <c r="AL174" s="8"/>
      <c r="AM174" s="8"/>
      <c r="AN174" s="8"/>
      <c r="AO174" s="8"/>
      <c r="AP174" s="8"/>
      <c r="AQ174" s="8"/>
      <c r="AR174" s="8"/>
      <c r="AS174" s="8"/>
      <c r="AT174" s="8"/>
    </row>
    <row r="175" ht="15.75" customHeight="1">
      <c r="A175" s="24" t="s">
        <v>213</v>
      </c>
      <c r="B175" s="8">
        <f t="shared" si="1"/>
        <v>0</v>
      </c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  <c r="AC175" s="8"/>
      <c r="AD175" s="8"/>
      <c r="AE175" s="8"/>
      <c r="AF175" s="8"/>
      <c r="AG175" s="8"/>
      <c r="AH175" s="8"/>
      <c r="AI175" s="8"/>
      <c r="AJ175" s="8"/>
      <c r="AK175" s="8"/>
      <c r="AL175" s="21"/>
      <c r="AM175" s="8"/>
      <c r="AN175" s="8"/>
      <c r="AO175" s="8"/>
      <c r="AP175" s="8"/>
      <c r="AQ175" s="8"/>
      <c r="AR175" s="8"/>
      <c r="AS175" s="8"/>
      <c r="AT175" s="8"/>
    </row>
    <row r="176" ht="15.75" customHeight="1">
      <c r="A176" s="24" t="s">
        <v>214</v>
      </c>
      <c r="B176" s="8">
        <f t="shared" si="1"/>
        <v>4</v>
      </c>
      <c r="C176" s="8"/>
      <c r="D176" s="20">
        <v>2.0</v>
      </c>
      <c r="E176" s="8"/>
      <c r="F176" s="8"/>
      <c r="G176" s="8"/>
      <c r="H176" s="8"/>
      <c r="I176" s="8"/>
      <c r="J176" s="20">
        <v>2.0</v>
      </c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  <c r="AC176" s="8"/>
      <c r="AD176" s="8"/>
      <c r="AE176" s="8"/>
      <c r="AF176" s="8"/>
      <c r="AG176" s="8"/>
      <c r="AH176" s="8"/>
      <c r="AI176" s="8"/>
      <c r="AJ176" s="8"/>
      <c r="AK176" s="8"/>
      <c r="AL176" s="21"/>
      <c r="AM176" s="8"/>
      <c r="AN176" s="20"/>
      <c r="AO176" s="8"/>
      <c r="AP176" s="8"/>
      <c r="AQ176" s="8"/>
      <c r="AR176" s="8"/>
      <c r="AS176" s="8"/>
      <c r="AT176" s="8"/>
    </row>
    <row r="177" ht="15.75" customHeight="1">
      <c r="A177" s="24" t="s">
        <v>215</v>
      </c>
      <c r="B177" s="8">
        <f t="shared" si="1"/>
        <v>0</v>
      </c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  <c r="AC177" s="8"/>
      <c r="AD177" s="8"/>
      <c r="AE177" s="8"/>
      <c r="AF177" s="8"/>
      <c r="AG177" s="8"/>
      <c r="AH177" s="8"/>
      <c r="AI177" s="8"/>
      <c r="AJ177" s="8"/>
      <c r="AK177" s="8"/>
      <c r="AL177" s="21"/>
      <c r="AM177" s="8"/>
      <c r="AN177" s="8"/>
      <c r="AO177" s="8"/>
      <c r="AP177" s="8"/>
      <c r="AQ177" s="8"/>
      <c r="AR177" s="8"/>
      <c r="AS177" s="8"/>
      <c r="AT177" s="8"/>
    </row>
    <row r="178" ht="15.75" customHeight="1">
      <c r="A178" s="24" t="s">
        <v>216</v>
      </c>
      <c r="B178" s="8">
        <f t="shared" si="1"/>
        <v>15.5</v>
      </c>
      <c r="C178" s="20">
        <v>2.0</v>
      </c>
      <c r="D178" s="20">
        <v>2.0</v>
      </c>
      <c r="E178" s="21">
        <v>2.0</v>
      </c>
      <c r="F178" s="21">
        <v>2.0</v>
      </c>
      <c r="G178" s="8"/>
      <c r="H178" s="8"/>
      <c r="I178" s="8"/>
      <c r="J178" s="20">
        <v>1.5</v>
      </c>
      <c r="K178" s="21">
        <v>2.0</v>
      </c>
      <c r="L178" s="8"/>
      <c r="M178" s="8"/>
      <c r="N178" s="20">
        <v>2.0</v>
      </c>
      <c r="O178" s="20">
        <v>2.0</v>
      </c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  <c r="AC178" s="8"/>
      <c r="AD178" s="8"/>
      <c r="AE178" s="8"/>
      <c r="AF178" s="8"/>
      <c r="AG178" s="8"/>
      <c r="AH178" s="8"/>
      <c r="AI178" s="8"/>
      <c r="AJ178" s="8"/>
      <c r="AK178" s="8"/>
      <c r="AL178" s="21"/>
      <c r="AM178" s="20"/>
      <c r="AN178" s="20"/>
      <c r="AO178" s="20"/>
      <c r="AP178" s="8"/>
      <c r="AQ178" s="8"/>
      <c r="AR178" s="8"/>
      <c r="AS178" s="8"/>
      <c r="AT178" s="8"/>
    </row>
    <row r="179" ht="15.75" customHeight="1">
      <c r="A179" s="24" t="s">
        <v>217</v>
      </c>
      <c r="B179" s="8">
        <f t="shared" si="1"/>
        <v>0</v>
      </c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  <c r="AC179" s="8"/>
      <c r="AD179" s="8"/>
      <c r="AE179" s="8"/>
      <c r="AF179" s="8"/>
      <c r="AG179" s="8"/>
      <c r="AH179" s="8"/>
      <c r="AI179" s="8"/>
      <c r="AJ179" s="8"/>
      <c r="AK179" s="8"/>
      <c r="AL179" s="21"/>
      <c r="AM179" s="8"/>
      <c r="AN179" s="8"/>
      <c r="AO179" s="8"/>
      <c r="AP179" s="8"/>
      <c r="AQ179" s="8"/>
      <c r="AR179" s="8"/>
      <c r="AS179" s="8"/>
      <c r="AT179" s="8"/>
    </row>
    <row r="180" ht="15.75" customHeight="1">
      <c r="A180" s="24" t="s">
        <v>218</v>
      </c>
      <c r="B180" s="8">
        <f t="shared" si="1"/>
        <v>16.5</v>
      </c>
      <c r="C180" s="8"/>
      <c r="D180" s="20">
        <v>2.0</v>
      </c>
      <c r="E180" s="21">
        <v>2.25</v>
      </c>
      <c r="F180" s="21">
        <v>1.75</v>
      </c>
      <c r="G180" s="20">
        <v>3.0</v>
      </c>
      <c r="H180" s="8"/>
      <c r="I180" s="20">
        <v>1.75</v>
      </c>
      <c r="J180" s="8"/>
      <c r="K180" s="8"/>
      <c r="L180" s="20">
        <v>2.0</v>
      </c>
      <c r="M180" s="20">
        <v>1.75</v>
      </c>
      <c r="N180" s="8"/>
      <c r="O180" s="20">
        <v>2.0</v>
      </c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  <c r="AC180" s="8"/>
      <c r="AD180" s="8"/>
      <c r="AE180" s="8"/>
      <c r="AF180" s="8"/>
      <c r="AG180" s="8"/>
      <c r="AH180" s="8"/>
      <c r="AI180" s="8"/>
      <c r="AJ180" s="8"/>
      <c r="AK180" s="8"/>
      <c r="AL180" s="20"/>
      <c r="AM180" s="8"/>
      <c r="AN180" s="8"/>
      <c r="AO180" s="8"/>
      <c r="AP180" s="8"/>
      <c r="AQ180" s="8"/>
      <c r="AR180" s="8"/>
      <c r="AS180" s="8"/>
      <c r="AT180" s="8"/>
    </row>
    <row r="181" ht="15.75" customHeight="1">
      <c r="A181" s="23" t="s">
        <v>219</v>
      </c>
      <c r="B181" s="8">
        <f t="shared" si="1"/>
        <v>25.25</v>
      </c>
      <c r="C181" s="20">
        <v>2.0</v>
      </c>
      <c r="D181" s="20">
        <v>2.0</v>
      </c>
      <c r="E181" s="21">
        <v>2.0</v>
      </c>
      <c r="F181" s="21">
        <v>2.0</v>
      </c>
      <c r="G181" s="20">
        <v>2.0</v>
      </c>
      <c r="H181" s="20">
        <v>2.0</v>
      </c>
      <c r="I181" s="8"/>
      <c r="J181" s="20">
        <v>2.0</v>
      </c>
      <c r="K181" s="21">
        <v>2.0</v>
      </c>
      <c r="L181" s="20">
        <v>2.0</v>
      </c>
      <c r="M181" s="20">
        <v>1.75</v>
      </c>
      <c r="N181" s="20">
        <v>2.0</v>
      </c>
      <c r="O181" s="20">
        <v>2.0</v>
      </c>
      <c r="P181" s="8"/>
      <c r="Q181" s="20">
        <v>1.5</v>
      </c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  <c r="AC181" s="8"/>
      <c r="AD181" s="8"/>
      <c r="AE181" s="8"/>
      <c r="AF181" s="8"/>
      <c r="AG181" s="8"/>
      <c r="AH181" s="8"/>
      <c r="AI181" s="8"/>
      <c r="AJ181" s="8"/>
      <c r="AK181" s="8"/>
      <c r="AL181" s="20"/>
      <c r="AM181" s="20"/>
      <c r="AN181" s="20"/>
      <c r="AO181" s="20"/>
      <c r="AP181" s="8"/>
      <c r="AQ181" s="8"/>
      <c r="AR181" s="8"/>
      <c r="AS181" s="8"/>
      <c r="AT181" s="8"/>
    </row>
    <row r="182" ht="15.75" customHeight="1">
      <c r="A182" s="23" t="s">
        <v>220</v>
      </c>
      <c r="B182" s="8">
        <f t="shared" si="1"/>
        <v>0</v>
      </c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  <c r="AC182" s="8"/>
      <c r="AD182" s="8"/>
      <c r="AE182" s="8"/>
      <c r="AF182" s="8"/>
      <c r="AG182" s="8"/>
      <c r="AH182" s="8"/>
      <c r="AI182" s="8"/>
      <c r="AJ182" s="8"/>
      <c r="AK182" s="8"/>
      <c r="AL182" s="20"/>
      <c r="AM182" s="8"/>
      <c r="AN182" s="8"/>
      <c r="AO182" s="8"/>
      <c r="AP182" s="8"/>
      <c r="AQ182" s="8"/>
      <c r="AR182" s="8"/>
      <c r="AS182" s="8"/>
      <c r="AT182" s="8"/>
    </row>
    <row r="183" ht="15.75" customHeight="1">
      <c r="A183" s="23" t="s">
        <v>221</v>
      </c>
      <c r="B183" s="8">
        <f t="shared" si="1"/>
        <v>0</v>
      </c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  <c r="AC183" s="8"/>
      <c r="AD183" s="8"/>
      <c r="AE183" s="8"/>
      <c r="AF183" s="8"/>
      <c r="AG183" s="8"/>
      <c r="AH183" s="8"/>
      <c r="AI183" s="8"/>
      <c r="AJ183" s="8"/>
      <c r="AK183" s="8"/>
      <c r="AL183" s="8"/>
      <c r="AM183" s="20"/>
      <c r="AN183" s="20"/>
      <c r="AO183" s="8"/>
      <c r="AP183" s="8"/>
      <c r="AQ183" s="8"/>
      <c r="AR183" s="8"/>
      <c r="AS183" s="8"/>
      <c r="AT183" s="8"/>
    </row>
    <row r="184" ht="15.75" customHeight="1">
      <c r="A184" s="23" t="s">
        <v>222</v>
      </c>
      <c r="B184" s="8">
        <f t="shared" si="1"/>
        <v>0</v>
      </c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  <c r="AC184" s="8"/>
      <c r="AD184" s="8"/>
      <c r="AE184" s="8"/>
      <c r="AF184" s="8"/>
      <c r="AG184" s="8"/>
      <c r="AH184" s="8"/>
      <c r="AI184" s="8"/>
      <c r="AJ184" s="8"/>
      <c r="AK184" s="8"/>
      <c r="AL184" s="8"/>
      <c r="AM184" s="20"/>
      <c r="AN184" s="8"/>
      <c r="AO184" s="20"/>
      <c r="AP184" s="8"/>
      <c r="AQ184" s="8"/>
      <c r="AR184" s="8"/>
      <c r="AS184" s="8"/>
      <c r="AT184" s="8"/>
    </row>
    <row r="185" ht="15.75" customHeight="1">
      <c r="A185" s="23" t="s">
        <v>223</v>
      </c>
      <c r="B185" s="8">
        <f t="shared" si="1"/>
        <v>0</v>
      </c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  <c r="AC185" s="8"/>
      <c r="AD185" s="8"/>
      <c r="AE185" s="8"/>
      <c r="AF185" s="8"/>
      <c r="AG185" s="8"/>
      <c r="AH185" s="8"/>
      <c r="AI185" s="8"/>
      <c r="AJ185" s="8"/>
      <c r="AK185" s="8"/>
      <c r="AL185" s="8"/>
      <c r="AM185" s="20"/>
      <c r="AN185" s="8"/>
      <c r="AO185" s="8"/>
      <c r="AP185" s="8"/>
      <c r="AQ185" s="8"/>
      <c r="AR185" s="8"/>
      <c r="AS185" s="8"/>
      <c r="AT185" s="8"/>
    </row>
    <row r="186" ht="15.75" customHeight="1">
      <c r="A186" s="23" t="s">
        <v>224</v>
      </c>
      <c r="B186" s="8">
        <f t="shared" si="1"/>
        <v>2</v>
      </c>
      <c r="C186" s="8"/>
      <c r="D186" s="8"/>
      <c r="E186" s="8"/>
      <c r="F186" s="8"/>
      <c r="G186" s="8"/>
      <c r="H186" s="20">
        <v>2.0</v>
      </c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  <c r="AC186" s="8"/>
      <c r="AD186" s="8"/>
      <c r="AE186" s="8"/>
      <c r="AF186" s="8"/>
      <c r="AG186" s="8"/>
      <c r="AH186" s="8"/>
      <c r="AI186" s="8"/>
      <c r="AJ186" s="8"/>
      <c r="AK186" s="8"/>
      <c r="AL186" s="8"/>
      <c r="AM186" s="8"/>
      <c r="AN186" s="20"/>
      <c r="AO186" s="8"/>
      <c r="AP186" s="8"/>
      <c r="AQ186" s="8"/>
      <c r="AR186" s="8"/>
      <c r="AS186" s="8"/>
      <c r="AT186" s="8"/>
    </row>
    <row r="187" ht="15.75" customHeight="1">
      <c r="A187" s="23" t="s">
        <v>225</v>
      </c>
      <c r="B187" s="8">
        <f t="shared" si="1"/>
        <v>0</v>
      </c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8"/>
      <c r="AD187" s="8"/>
      <c r="AE187" s="8"/>
      <c r="AF187" s="8"/>
      <c r="AG187" s="8"/>
      <c r="AH187" s="8"/>
      <c r="AI187" s="8"/>
      <c r="AJ187" s="8"/>
      <c r="AK187" s="8"/>
      <c r="AL187" s="8"/>
      <c r="AM187" s="8"/>
      <c r="AN187" s="20"/>
      <c r="AO187" s="8"/>
      <c r="AP187" s="8"/>
      <c r="AQ187" s="8"/>
      <c r="AR187" s="8"/>
      <c r="AS187" s="8"/>
      <c r="AT187" s="8"/>
    </row>
    <row r="188" ht="15.75" customHeight="1">
      <c r="A188" s="23" t="s">
        <v>226</v>
      </c>
      <c r="B188" s="8">
        <f t="shared" si="1"/>
        <v>0</v>
      </c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  <c r="AD188" s="8"/>
      <c r="AE188" s="8"/>
      <c r="AF188" s="8"/>
      <c r="AG188" s="8"/>
      <c r="AH188" s="8"/>
      <c r="AI188" s="8"/>
      <c r="AJ188" s="8"/>
      <c r="AK188" s="8"/>
      <c r="AL188" s="8"/>
      <c r="AM188" s="8"/>
      <c r="AN188" s="20"/>
      <c r="AO188" s="8"/>
      <c r="AP188" s="8"/>
      <c r="AQ188" s="8"/>
      <c r="AR188" s="8"/>
      <c r="AS188" s="8"/>
      <c r="AT188" s="8"/>
    </row>
    <row r="189" ht="15.75" customHeight="1">
      <c r="A189" s="23" t="s">
        <v>227</v>
      </c>
      <c r="B189" s="8">
        <f t="shared" si="1"/>
        <v>0</v>
      </c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  <c r="AC189" s="8"/>
      <c r="AD189" s="8"/>
      <c r="AE189" s="8"/>
      <c r="AF189" s="8"/>
      <c r="AG189" s="8"/>
      <c r="AH189" s="8"/>
      <c r="AI189" s="8"/>
      <c r="AJ189" s="8"/>
      <c r="AK189" s="8"/>
      <c r="AL189" s="8"/>
      <c r="AM189" s="8"/>
      <c r="AN189" s="20"/>
      <c r="AO189" s="8"/>
      <c r="AP189" s="8"/>
      <c r="AQ189" s="8"/>
      <c r="AR189" s="8"/>
      <c r="AS189" s="8"/>
      <c r="AT189" s="8"/>
    </row>
    <row r="190" ht="15.75" customHeight="1">
      <c r="A190" s="23" t="s">
        <v>228</v>
      </c>
      <c r="B190" s="8">
        <f t="shared" si="1"/>
        <v>0</v>
      </c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  <c r="AC190" s="8"/>
      <c r="AD190" s="8"/>
      <c r="AE190" s="8"/>
      <c r="AF190" s="8"/>
      <c r="AG190" s="8"/>
      <c r="AH190" s="8"/>
      <c r="AI190" s="8"/>
      <c r="AJ190" s="8"/>
      <c r="AK190" s="8"/>
      <c r="AL190" s="8"/>
      <c r="AM190" s="8"/>
      <c r="AN190" s="20"/>
      <c r="AO190" s="8"/>
      <c r="AP190" s="8"/>
      <c r="AQ190" s="8"/>
      <c r="AR190" s="8"/>
      <c r="AS190" s="8"/>
      <c r="AT190" s="8"/>
    </row>
    <row r="191" ht="15.75" customHeight="1">
      <c r="A191" s="23" t="s">
        <v>229</v>
      </c>
      <c r="B191" s="8">
        <f t="shared" si="1"/>
        <v>0</v>
      </c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  <c r="AC191" s="8"/>
      <c r="AD191" s="8"/>
      <c r="AE191" s="8"/>
      <c r="AF191" s="8"/>
      <c r="AG191" s="8"/>
      <c r="AH191" s="8"/>
      <c r="AI191" s="8"/>
      <c r="AJ191" s="8"/>
      <c r="AK191" s="8"/>
      <c r="AL191" s="8"/>
      <c r="AM191" s="8"/>
      <c r="AN191" s="20"/>
      <c r="AO191" s="8"/>
      <c r="AP191" s="8"/>
      <c r="AQ191" s="8"/>
      <c r="AR191" s="8"/>
      <c r="AS191" s="8"/>
      <c r="AT191" s="8"/>
    </row>
    <row r="192" ht="15.75" customHeight="1">
      <c r="A192" s="23" t="s">
        <v>60</v>
      </c>
      <c r="B192" s="8">
        <f t="shared" si="1"/>
        <v>0</v>
      </c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8"/>
      <c r="AD192" s="8"/>
      <c r="AE192" s="8"/>
      <c r="AF192" s="8"/>
      <c r="AG192" s="8"/>
      <c r="AH192" s="8"/>
      <c r="AI192" s="8"/>
      <c r="AJ192" s="8"/>
      <c r="AK192" s="8"/>
      <c r="AL192" s="8"/>
      <c r="AM192" s="8"/>
      <c r="AN192" s="8"/>
      <c r="AO192" s="20"/>
      <c r="AP192" s="8"/>
      <c r="AQ192" s="8"/>
      <c r="AR192" s="8"/>
      <c r="AS192" s="8"/>
      <c r="AT192" s="8"/>
    </row>
    <row r="193" ht="15.75" customHeight="1">
      <c r="A193" s="23" t="s">
        <v>230</v>
      </c>
      <c r="B193" s="8">
        <f t="shared" si="1"/>
        <v>5.5</v>
      </c>
      <c r="C193" s="8"/>
      <c r="D193" s="8"/>
      <c r="E193" s="8"/>
      <c r="F193" s="8"/>
      <c r="G193" s="8"/>
      <c r="H193" s="20">
        <v>1.75</v>
      </c>
      <c r="I193" s="8"/>
      <c r="J193" s="8"/>
      <c r="K193" s="8"/>
      <c r="L193" s="20">
        <v>2.0</v>
      </c>
      <c r="M193" s="8"/>
      <c r="N193" s="8"/>
      <c r="O193" s="8"/>
      <c r="P193" s="8"/>
      <c r="Q193" s="20">
        <v>1.75</v>
      </c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  <c r="AD193" s="8"/>
      <c r="AE193" s="8"/>
      <c r="AF193" s="8"/>
      <c r="AG193" s="8"/>
      <c r="AH193" s="8"/>
      <c r="AI193" s="8"/>
      <c r="AJ193" s="8"/>
      <c r="AK193" s="8"/>
      <c r="AL193" s="8"/>
      <c r="AM193" s="8"/>
      <c r="AN193" s="8"/>
      <c r="AO193" s="20"/>
      <c r="AP193" s="8"/>
      <c r="AQ193" s="8"/>
      <c r="AR193" s="8"/>
      <c r="AS193" s="8"/>
      <c r="AT193" s="8"/>
    </row>
    <row r="194" ht="15.75" customHeight="1">
      <c r="A194" s="23" t="s">
        <v>231</v>
      </c>
      <c r="B194" s="8">
        <f t="shared" si="1"/>
        <v>7</v>
      </c>
      <c r="C194" s="20">
        <v>1.5</v>
      </c>
      <c r="D194" s="20">
        <v>2.0</v>
      </c>
      <c r="E194" s="21">
        <v>1.5</v>
      </c>
      <c r="F194" s="8"/>
      <c r="G194" s="20">
        <v>2.0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  <c r="AD194" s="8"/>
      <c r="AE194" s="8"/>
      <c r="AF194" s="8"/>
      <c r="AG194" s="8"/>
      <c r="AH194" s="8"/>
      <c r="AI194" s="8"/>
      <c r="AJ194" s="8"/>
      <c r="AK194" s="8"/>
      <c r="AL194" s="8"/>
      <c r="AM194" s="8"/>
      <c r="AN194" s="8"/>
      <c r="AO194" s="20"/>
      <c r="AP194" s="8"/>
      <c r="AQ194" s="8"/>
      <c r="AR194" s="8"/>
      <c r="AS194" s="8"/>
      <c r="AT194" s="8"/>
    </row>
    <row r="195" ht="15.75" customHeight="1">
      <c r="A195" s="23" t="s">
        <v>232</v>
      </c>
      <c r="B195" s="8">
        <f t="shared" si="1"/>
        <v>0</v>
      </c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  <c r="AC195" s="8"/>
      <c r="AD195" s="8"/>
      <c r="AE195" s="8"/>
      <c r="AF195" s="8"/>
      <c r="AG195" s="8"/>
      <c r="AH195" s="8"/>
      <c r="AI195" s="8"/>
      <c r="AJ195" s="8"/>
      <c r="AK195" s="8"/>
      <c r="AL195" s="8"/>
      <c r="AM195" s="8"/>
      <c r="AN195" s="8"/>
      <c r="AO195" s="20"/>
      <c r="AP195" s="8"/>
      <c r="AQ195" s="8"/>
      <c r="AR195" s="8"/>
      <c r="AS195" s="8"/>
      <c r="AT195" s="8"/>
    </row>
    <row r="196" ht="15.75" customHeight="1">
      <c r="A196" s="23" t="s">
        <v>233</v>
      </c>
      <c r="B196" s="8">
        <f t="shared" si="1"/>
        <v>0</v>
      </c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  <c r="AC196" s="8"/>
      <c r="AD196" s="8"/>
      <c r="AE196" s="8"/>
      <c r="AF196" s="8"/>
      <c r="AG196" s="8"/>
      <c r="AH196" s="8"/>
      <c r="AI196" s="8"/>
      <c r="AJ196" s="8"/>
      <c r="AK196" s="8"/>
      <c r="AL196" s="8"/>
      <c r="AM196" s="8"/>
      <c r="AN196" s="8"/>
      <c r="AO196" s="20"/>
      <c r="AP196" s="8"/>
      <c r="AQ196" s="8"/>
      <c r="AR196" s="8"/>
      <c r="AS196" s="8"/>
      <c r="AT196" s="8"/>
    </row>
    <row r="197" ht="15.75" customHeight="1">
      <c r="A197" s="23" t="s">
        <v>234</v>
      </c>
      <c r="B197" s="8">
        <f t="shared" si="1"/>
        <v>0</v>
      </c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  <c r="AD197" s="8"/>
      <c r="AE197" s="8"/>
      <c r="AF197" s="8"/>
      <c r="AG197" s="8"/>
      <c r="AH197" s="8"/>
      <c r="AI197" s="8"/>
      <c r="AJ197" s="8"/>
      <c r="AK197" s="8"/>
      <c r="AL197" s="8"/>
      <c r="AM197" s="8"/>
      <c r="AN197" s="8"/>
      <c r="AO197" s="20"/>
      <c r="AP197" s="8"/>
      <c r="AQ197" s="8"/>
      <c r="AR197" s="8"/>
      <c r="AS197" s="8"/>
      <c r="AT197" s="8"/>
    </row>
    <row r="198" ht="15.75" customHeight="1">
      <c r="A198" s="23" t="s">
        <v>363</v>
      </c>
      <c r="B198" s="8">
        <f t="shared" si="1"/>
        <v>9.5</v>
      </c>
      <c r="C198" s="20">
        <v>2.0</v>
      </c>
      <c r="D198" s="20">
        <v>2.0</v>
      </c>
      <c r="E198" s="21">
        <v>2.0</v>
      </c>
      <c r="F198" s="8"/>
      <c r="G198" s="8"/>
      <c r="H198" s="8"/>
      <c r="I198" s="20">
        <v>1.5</v>
      </c>
      <c r="J198" s="8"/>
      <c r="K198" s="8"/>
      <c r="L198" s="8"/>
      <c r="M198" s="8"/>
      <c r="N198" s="8"/>
      <c r="O198" s="20">
        <v>2.0</v>
      </c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  <c r="AC198" s="8"/>
      <c r="AD198" s="8"/>
      <c r="AE198" s="8"/>
      <c r="AF198" s="8"/>
      <c r="AG198" s="8"/>
      <c r="AH198" s="8"/>
      <c r="AI198" s="8"/>
      <c r="AJ198" s="8"/>
      <c r="AK198" s="8"/>
      <c r="AL198" s="8"/>
      <c r="AM198" s="8"/>
      <c r="AN198" s="8"/>
      <c r="AO198" s="8"/>
      <c r="AP198" s="8"/>
      <c r="AQ198" s="8"/>
      <c r="AR198" s="8"/>
      <c r="AS198" s="8"/>
      <c r="AT198" s="8"/>
    </row>
    <row r="199" ht="15.75" customHeight="1">
      <c r="A199" s="23" t="s">
        <v>364</v>
      </c>
      <c r="B199" s="8">
        <f t="shared" si="1"/>
        <v>2</v>
      </c>
      <c r="C199" s="20">
        <v>2.0</v>
      </c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  <c r="AC199" s="8"/>
      <c r="AD199" s="8"/>
      <c r="AE199" s="8"/>
      <c r="AF199" s="8"/>
      <c r="AG199" s="8"/>
      <c r="AH199" s="8"/>
      <c r="AI199" s="8"/>
      <c r="AJ199" s="8"/>
      <c r="AK199" s="8"/>
      <c r="AL199" s="8"/>
      <c r="AM199" s="8"/>
      <c r="AN199" s="8"/>
      <c r="AO199" s="8"/>
      <c r="AP199" s="8"/>
      <c r="AQ199" s="8"/>
      <c r="AR199" s="8"/>
      <c r="AS199" s="8"/>
      <c r="AT199" s="8"/>
    </row>
    <row r="200" ht="15.75" customHeight="1">
      <c r="A200" s="23" t="s">
        <v>365</v>
      </c>
      <c r="B200" s="8">
        <f t="shared" si="1"/>
        <v>4</v>
      </c>
      <c r="C200" s="20">
        <v>2.0</v>
      </c>
      <c r="D200" s="8"/>
      <c r="E200" s="8"/>
      <c r="F200" s="8"/>
      <c r="G200" s="20">
        <v>2.0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  <c r="AD200" s="8"/>
      <c r="AE200" s="8"/>
      <c r="AF200" s="8"/>
      <c r="AG200" s="8"/>
      <c r="AH200" s="8"/>
      <c r="AI200" s="8"/>
      <c r="AJ200" s="8"/>
      <c r="AK200" s="8"/>
      <c r="AL200" s="8"/>
      <c r="AM200" s="8"/>
      <c r="AN200" s="8"/>
      <c r="AO200" s="8"/>
      <c r="AP200" s="8"/>
      <c r="AQ200" s="8"/>
      <c r="AR200" s="8"/>
      <c r="AS200" s="8"/>
      <c r="AT200" s="8"/>
    </row>
    <row r="201" ht="15.75" customHeight="1">
      <c r="A201" s="23" t="s">
        <v>366</v>
      </c>
      <c r="B201" s="8">
        <f t="shared" si="1"/>
        <v>2</v>
      </c>
      <c r="C201" s="20">
        <v>2.0</v>
      </c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8"/>
      <c r="AC201" s="8"/>
      <c r="AD201" s="8"/>
      <c r="AE201" s="8"/>
      <c r="AF201" s="8"/>
      <c r="AG201" s="8"/>
      <c r="AH201" s="8"/>
      <c r="AI201" s="8"/>
      <c r="AJ201" s="8"/>
      <c r="AK201" s="8"/>
      <c r="AL201" s="8"/>
      <c r="AM201" s="8"/>
      <c r="AN201" s="8"/>
      <c r="AO201" s="8"/>
      <c r="AP201" s="8"/>
      <c r="AQ201" s="8"/>
      <c r="AR201" s="8"/>
      <c r="AS201" s="8"/>
      <c r="AT201" s="8"/>
    </row>
    <row r="202" ht="15.75" customHeight="1">
      <c r="A202" s="23" t="s">
        <v>367</v>
      </c>
      <c r="B202" s="8">
        <f t="shared" si="1"/>
        <v>1.5</v>
      </c>
      <c r="C202" s="20">
        <v>1.5</v>
      </c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  <c r="AB202" s="8"/>
      <c r="AC202" s="8"/>
      <c r="AD202" s="8"/>
      <c r="AE202" s="8"/>
      <c r="AF202" s="8"/>
      <c r="AG202" s="8"/>
      <c r="AH202" s="8"/>
      <c r="AI202" s="8"/>
      <c r="AJ202" s="8"/>
      <c r="AK202" s="8"/>
      <c r="AL202" s="8"/>
      <c r="AM202" s="8"/>
      <c r="AN202" s="8"/>
      <c r="AO202" s="8"/>
      <c r="AP202" s="8"/>
      <c r="AQ202" s="8"/>
      <c r="AR202" s="8"/>
      <c r="AS202" s="8"/>
      <c r="AT202" s="8"/>
    </row>
    <row r="203" ht="15.75" customHeight="1">
      <c r="A203" s="23" t="s">
        <v>368</v>
      </c>
      <c r="B203" s="8">
        <f t="shared" si="1"/>
        <v>4</v>
      </c>
      <c r="C203" s="20">
        <v>1.5</v>
      </c>
      <c r="D203" s="8"/>
      <c r="E203" s="21">
        <v>2.5</v>
      </c>
      <c r="F203" s="21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  <c r="AC203" s="8"/>
      <c r="AD203" s="8"/>
      <c r="AE203" s="8"/>
      <c r="AF203" s="8"/>
      <c r="AG203" s="8"/>
      <c r="AH203" s="8"/>
      <c r="AI203" s="8"/>
      <c r="AJ203" s="8"/>
      <c r="AK203" s="8"/>
      <c r="AL203" s="8"/>
      <c r="AM203" s="8"/>
      <c r="AN203" s="8"/>
      <c r="AO203" s="8"/>
      <c r="AP203" s="8"/>
      <c r="AQ203" s="8"/>
      <c r="AR203" s="8"/>
      <c r="AS203" s="8"/>
      <c r="AT203" s="8"/>
    </row>
    <row r="204" ht="15.75" customHeight="1">
      <c r="A204" s="23" t="s">
        <v>347</v>
      </c>
      <c r="B204" s="8">
        <f t="shared" si="1"/>
        <v>1.5</v>
      </c>
      <c r="C204" s="20">
        <v>1.5</v>
      </c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  <c r="AC204" s="8"/>
      <c r="AD204" s="8"/>
      <c r="AE204" s="8"/>
      <c r="AF204" s="8"/>
      <c r="AG204" s="8"/>
      <c r="AH204" s="8"/>
      <c r="AI204" s="8"/>
      <c r="AJ204" s="8"/>
      <c r="AK204" s="8"/>
      <c r="AL204" s="8"/>
      <c r="AM204" s="8"/>
      <c r="AN204" s="8"/>
      <c r="AO204" s="8"/>
      <c r="AP204" s="8"/>
      <c r="AQ204" s="8"/>
      <c r="AR204" s="8"/>
      <c r="AS204" s="8"/>
      <c r="AT204" s="8"/>
    </row>
    <row r="205" ht="15.75" customHeight="1">
      <c r="A205" s="23" t="s">
        <v>369</v>
      </c>
      <c r="B205" s="8">
        <f t="shared" si="1"/>
        <v>2</v>
      </c>
      <c r="C205" s="8"/>
      <c r="D205" s="20">
        <v>2.0</v>
      </c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  <c r="AC205" s="8"/>
      <c r="AD205" s="8"/>
      <c r="AE205" s="8"/>
      <c r="AF205" s="8"/>
      <c r="AG205" s="8"/>
      <c r="AH205" s="8"/>
      <c r="AI205" s="8"/>
      <c r="AJ205" s="8"/>
      <c r="AK205" s="8"/>
      <c r="AL205" s="8"/>
      <c r="AM205" s="8"/>
      <c r="AN205" s="8"/>
      <c r="AO205" s="8"/>
      <c r="AP205" s="8"/>
      <c r="AQ205" s="8"/>
      <c r="AR205" s="8"/>
      <c r="AS205" s="8"/>
      <c r="AT205" s="8"/>
    </row>
    <row r="206" ht="15.75" customHeight="1">
      <c r="A206" s="23" t="s">
        <v>370</v>
      </c>
      <c r="B206" s="8">
        <f t="shared" si="1"/>
        <v>2</v>
      </c>
      <c r="C206" s="8"/>
      <c r="D206" s="20">
        <v>2.0</v>
      </c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  <c r="AC206" s="8"/>
      <c r="AD206" s="8"/>
      <c r="AE206" s="8"/>
      <c r="AF206" s="8"/>
      <c r="AG206" s="8"/>
      <c r="AH206" s="8"/>
      <c r="AI206" s="8"/>
      <c r="AJ206" s="8"/>
      <c r="AK206" s="8"/>
      <c r="AL206" s="8"/>
      <c r="AM206" s="8"/>
      <c r="AN206" s="8"/>
      <c r="AO206" s="8"/>
      <c r="AP206" s="8"/>
      <c r="AQ206" s="8"/>
      <c r="AR206" s="8"/>
      <c r="AS206" s="8"/>
      <c r="AT206" s="8"/>
    </row>
    <row r="207" ht="15.75" customHeight="1">
      <c r="A207" s="23" t="s">
        <v>371</v>
      </c>
      <c r="B207" s="8">
        <f t="shared" si="1"/>
        <v>2</v>
      </c>
      <c r="C207" s="8"/>
      <c r="D207" s="20">
        <v>2.0</v>
      </c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  <c r="AC207" s="8"/>
      <c r="AD207" s="8"/>
      <c r="AE207" s="8"/>
      <c r="AF207" s="8"/>
      <c r="AG207" s="8"/>
      <c r="AH207" s="8"/>
      <c r="AI207" s="8"/>
      <c r="AJ207" s="8"/>
      <c r="AK207" s="8"/>
      <c r="AL207" s="8"/>
      <c r="AM207" s="8"/>
      <c r="AN207" s="8"/>
      <c r="AO207" s="8"/>
      <c r="AP207" s="8"/>
      <c r="AQ207" s="8"/>
      <c r="AR207" s="8"/>
      <c r="AS207" s="8"/>
      <c r="AT207" s="8"/>
    </row>
    <row r="208" ht="15.75" customHeight="1">
      <c r="A208" s="23" t="s">
        <v>372</v>
      </c>
      <c r="B208" s="8">
        <f t="shared" si="1"/>
        <v>15.5</v>
      </c>
      <c r="C208" s="8"/>
      <c r="D208" s="20">
        <v>2.0</v>
      </c>
      <c r="E208" s="8"/>
      <c r="F208" s="8"/>
      <c r="G208" s="20">
        <v>3.0</v>
      </c>
      <c r="H208" s="8"/>
      <c r="I208" s="8"/>
      <c r="J208" s="8"/>
      <c r="K208" s="8"/>
      <c r="L208" s="20">
        <v>2.0</v>
      </c>
      <c r="M208" s="20">
        <v>1.75</v>
      </c>
      <c r="N208" s="20">
        <v>2.0</v>
      </c>
      <c r="O208" s="20">
        <v>2.0</v>
      </c>
      <c r="P208" s="20">
        <v>1.5</v>
      </c>
      <c r="Q208" s="20">
        <v>1.25</v>
      </c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  <c r="AC208" s="8"/>
      <c r="AD208" s="8"/>
      <c r="AE208" s="8"/>
      <c r="AF208" s="8"/>
      <c r="AG208" s="8"/>
      <c r="AH208" s="8"/>
      <c r="AI208" s="8"/>
      <c r="AJ208" s="8"/>
      <c r="AK208" s="8"/>
      <c r="AL208" s="8"/>
      <c r="AM208" s="8"/>
      <c r="AN208" s="8"/>
      <c r="AO208" s="8"/>
      <c r="AP208" s="8"/>
      <c r="AQ208" s="8"/>
      <c r="AR208" s="8"/>
      <c r="AS208" s="8"/>
      <c r="AT208" s="8"/>
    </row>
    <row r="209" ht="15.75" customHeight="1">
      <c r="A209" s="24" t="s">
        <v>250</v>
      </c>
      <c r="B209" s="8">
        <f t="shared" si="1"/>
        <v>9.75</v>
      </c>
      <c r="C209" s="8"/>
      <c r="D209" s="8"/>
      <c r="E209" s="21">
        <v>2.0</v>
      </c>
      <c r="F209" s="21">
        <v>2.0</v>
      </c>
      <c r="G209" s="20">
        <v>2.0</v>
      </c>
      <c r="H209" s="20">
        <v>2.0</v>
      </c>
      <c r="I209" s="20">
        <v>1.75</v>
      </c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  <c r="AC209" s="8"/>
      <c r="AD209" s="8"/>
      <c r="AE209" s="8"/>
      <c r="AF209" s="8"/>
      <c r="AG209" s="8"/>
      <c r="AH209" s="8"/>
      <c r="AI209" s="8"/>
      <c r="AJ209" s="8"/>
      <c r="AK209" s="8"/>
      <c r="AL209" s="8"/>
      <c r="AM209" s="8"/>
      <c r="AN209" s="8"/>
      <c r="AO209" s="8"/>
      <c r="AP209" s="8"/>
      <c r="AQ209" s="8"/>
      <c r="AR209" s="8"/>
      <c r="AS209" s="8"/>
      <c r="AT209" s="8"/>
    </row>
    <row r="210" ht="15.75" customHeight="1">
      <c r="A210" s="24" t="s">
        <v>373</v>
      </c>
      <c r="B210" s="8">
        <f t="shared" si="1"/>
        <v>2</v>
      </c>
      <c r="C210" s="8"/>
      <c r="D210" s="8"/>
      <c r="E210" s="21">
        <v>2.0</v>
      </c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  <c r="AC210" s="8"/>
      <c r="AD210" s="8"/>
      <c r="AE210" s="8"/>
      <c r="AF210" s="8"/>
      <c r="AG210" s="8"/>
      <c r="AH210" s="8"/>
      <c r="AI210" s="8"/>
      <c r="AJ210" s="8"/>
      <c r="AK210" s="8"/>
      <c r="AL210" s="8"/>
      <c r="AM210" s="8"/>
      <c r="AN210" s="8"/>
      <c r="AO210" s="8"/>
      <c r="AP210" s="8"/>
      <c r="AQ210" s="8"/>
      <c r="AR210" s="8"/>
      <c r="AS210" s="8"/>
      <c r="AT210" s="8"/>
    </row>
    <row r="211" ht="15.75" customHeight="1">
      <c r="A211" s="24" t="s">
        <v>374</v>
      </c>
      <c r="B211" s="8">
        <f t="shared" si="1"/>
        <v>4</v>
      </c>
      <c r="C211" s="8"/>
      <c r="D211" s="8"/>
      <c r="E211" s="21">
        <v>2.0</v>
      </c>
      <c r="F211" s="8"/>
      <c r="G211" s="8"/>
      <c r="H211" s="20">
        <v>2.0</v>
      </c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  <c r="AC211" s="8"/>
      <c r="AD211" s="8"/>
      <c r="AE211" s="8"/>
      <c r="AF211" s="8"/>
      <c r="AG211" s="8"/>
      <c r="AH211" s="8"/>
      <c r="AI211" s="8"/>
      <c r="AJ211" s="8"/>
      <c r="AK211" s="8"/>
      <c r="AL211" s="8"/>
      <c r="AM211" s="8"/>
      <c r="AN211" s="8"/>
      <c r="AO211" s="8"/>
      <c r="AP211" s="8"/>
      <c r="AQ211" s="8"/>
      <c r="AR211" s="8"/>
      <c r="AS211" s="8"/>
      <c r="AT211" s="8"/>
    </row>
    <row r="212" ht="15.75" customHeight="1">
      <c r="A212" s="24" t="s">
        <v>375</v>
      </c>
      <c r="B212" s="8">
        <f t="shared" si="1"/>
        <v>2.5</v>
      </c>
      <c r="C212" s="8"/>
      <c r="D212" s="8"/>
      <c r="E212" s="21">
        <v>2.5</v>
      </c>
      <c r="F212" s="21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  <c r="AB212" s="8"/>
      <c r="AC212" s="8"/>
      <c r="AD212" s="8"/>
      <c r="AE212" s="8"/>
      <c r="AF212" s="8"/>
      <c r="AG212" s="8"/>
      <c r="AH212" s="8"/>
      <c r="AI212" s="8"/>
      <c r="AJ212" s="8"/>
      <c r="AK212" s="8"/>
      <c r="AL212" s="8"/>
      <c r="AM212" s="8"/>
      <c r="AN212" s="8"/>
      <c r="AO212" s="8"/>
      <c r="AP212" s="8"/>
      <c r="AQ212" s="8"/>
      <c r="AR212" s="8"/>
      <c r="AS212" s="8"/>
      <c r="AT212" s="8"/>
    </row>
    <row r="213" ht="15.75" customHeight="1">
      <c r="A213" s="24" t="s">
        <v>376</v>
      </c>
      <c r="B213" s="8">
        <f t="shared" si="1"/>
        <v>2.5</v>
      </c>
      <c r="C213" s="8"/>
      <c r="D213" s="8"/>
      <c r="E213" s="21">
        <v>2.5</v>
      </c>
      <c r="F213" s="21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  <c r="AB213" s="8"/>
      <c r="AC213" s="8"/>
      <c r="AD213" s="8"/>
      <c r="AE213" s="8"/>
      <c r="AF213" s="8"/>
      <c r="AG213" s="8"/>
      <c r="AH213" s="8"/>
      <c r="AI213" s="8"/>
      <c r="AJ213" s="8"/>
      <c r="AK213" s="8"/>
      <c r="AL213" s="8"/>
      <c r="AM213" s="8"/>
      <c r="AN213" s="8"/>
      <c r="AO213" s="8"/>
      <c r="AP213" s="8"/>
      <c r="AQ213" s="8"/>
      <c r="AR213" s="8"/>
      <c r="AS213" s="8"/>
      <c r="AT213" s="8"/>
    </row>
    <row r="214" ht="15.75" customHeight="1">
      <c r="A214" s="24" t="s">
        <v>377</v>
      </c>
      <c r="B214" s="8">
        <f t="shared" si="1"/>
        <v>2</v>
      </c>
      <c r="C214" s="8"/>
      <c r="D214" s="8"/>
      <c r="E214" s="8"/>
      <c r="F214" s="21">
        <v>2.0</v>
      </c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  <c r="AB214" s="8"/>
      <c r="AC214" s="8"/>
      <c r="AD214" s="8"/>
      <c r="AE214" s="8"/>
      <c r="AF214" s="8"/>
      <c r="AG214" s="8"/>
      <c r="AH214" s="8"/>
      <c r="AI214" s="8"/>
      <c r="AJ214" s="8"/>
      <c r="AK214" s="8"/>
      <c r="AL214" s="8"/>
      <c r="AM214" s="8"/>
      <c r="AN214" s="8"/>
      <c r="AO214" s="8"/>
      <c r="AP214" s="8"/>
      <c r="AQ214" s="8"/>
      <c r="AR214" s="8"/>
      <c r="AS214" s="8"/>
      <c r="AT214" s="8"/>
    </row>
    <row r="215" ht="15.75" customHeight="1">
      <c r="A215" s="24" t="s">
        <v>378</v>
      </c>
      <c r="B215" s="8">
        <f t="shared" si="1"/>
        <v>3.75</v>
      </c>
      <c r="C215" s="8"/>
      <c r="D215" s="8"/>
      <c r="E215" s="8"/>
      <c r="F215" s="21">
        <v>1.75</v>
      </c>
      <c r="G215" s="8"/>
      <c r="H215" s="8"/>
      <c r="I215" s="8"/>
      <c r="J215" s="8"/>
      <c r="K215" s="8"/>
      <c r="L215" s="20">
        <v>2.0</v>
      </c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  <c r="AC215" s="8"/>
      <c r="AD215" s="8"/>
      <c r="AE215" s="8"/>
      <c r="AF215" s="8"/>
      <c r="AG215" s="8"/>
      <c r="AH215" s="8"/>
      <c r="AI215" s="8"/>
      <c r="AJ215" s="8"/>
      <c r="AK215" s="8"/>
      <c r="AL215" s="8"/>
      <c r="AM215" s="8"/>
      <c r="AN215" s="8"/>
      <c r="AO215" s="8"/>
      <c r="AP215" s="8"/>
      <c r="AQ215" s="8"/>
      <c r="AR215" s="8"/>
      <c r="AS215" s="8"/>
      <c r="AT215" s="8"/>
    </row>
    <row r="216" ht="15.75" customHeight="1">
      <c r="A216" s="24" t="s">
        <v>257</v>
      </c>
      <c r="B216" s="8">
        <f t="shared" si="1"/>
        <v>1.75</v>
      </c>
      <c r="C216" s="8"/>
      <c r="D216" s="8"/>
      <c r="E216" s="8"/>
      <c r="F216" s="21">
        <v>1.75</v>
      </c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  <c r="AC216" s="8"/>
      <c r="AD216" s="8"/>
      <c r="AE216" s="8"/>
      <c r="AF216" s="8"/>
      <c r="AG216" s="8"/>
      <c r="AH216" s="8"/>
      <c r="AI216" s="8"/>
      <c r="AJ216" s="8"/>
      <c r="AK216" s="8"/>
      <c r="AL216" s="8"/>
      <c r="AM216" s="8"/>
      <c r="AN216" s="8"/>
      <c r="AO216" s="8"/>
      <c r="AP216" s="8"/>
      <c r="AQ216" s="8"/>
      <c r="AR216" s="8"/>
      <c r="AS216" s="8"/>
      <c r="AT216" s="8"/>
    </row>
    <row r="217" ht="15.75" customHeight="1">
      <c r="A217" s="24" t="s">
        <v>379</v>
      </c>
      <c r="B217" s="8">
        <f t="shared" si="1"/>
        <v>1.75</v>
      </c>
      <c r="C217" s="8"/>
      <c r="D217" s="8"/>
      <c r="E217" s="8"/>
      <c r="F217" s="21">
        <v>1.75</v>
      </c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  <c r="AC217" s="8"/>
      <c r="AD217" s="8"/>
      <c r="AE217" s="8"/>
      <c r="AF217" s="8"/>
      <c r="AG217" s="8"/>
      <c r="AH217" s="8"/>
      <c r="AI217" s="8"/>
      <c r="AJ217" s="8"/>
      <c r="AK217" s="8"/>
      <c r="AL217" s="8"/>
      <c r="AM217" s="8"/>
      <c r="AN217" s="8"/>
      <c r="AO217" s="8"/>
      <c r="AP217" s="8"/>
      <c r="AQ217" s="8"/>
      <c r="AR217" s="8"/>
      <c r="AS217" s="8"/>
      <c r="AT217" s="8"/>
    </row>
    <row r="218" ht="15.75" customHeight="1">
      <c r="A218" s="24" t="s">
        <v>380</v>
      </c>
      <c r="B218" s="8">
        <f t="shared" si="1"/>
        <v>1.75</v>
      </c>
      <c r="C218" s="8"/>
      <c r="D218" s="8"/>
      <c r="E218" s="8"/>
      <c r="F218" s="21">
        <v>1.75</v>
      </c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  <c r="AE218" s="8"/>
      <c r="AF218" s="8"/>
      <c r="AG218" s="8"/>
      <c r="AH218" s="8"/>
      <c r="AI218" s="8"/>
      <c r="AJ218" s="8"/>
      <c r="AK218" s="8"/>
      <c r="AL218" s="8"/>
      <c r="AM218" s="8"/>
      <c r="AN218" s="8"/>
      <c r="AO218" s="8"/>
      <c r="AP218" s="8"/>
      <c r="AQ218" s="8"/>
      <c r="AR218" s="8"/>
      <c r="AS218" s="8"/>
      <c r="AT218" s="8"/>
    </row>
    <row r="219" ht="15.75" customHeight="1">
      <c r="A219" s="23" t="s">
        <v>381</v>
      </c>
      <c r="B219" s="8">
        <f t="shared" si="1"/>
        <v>4</v>
      </c>
      <c r="C219" s="8"/>
      <c r="D219" s="8"/>
      <c r="E219" s="8"/>
      <c r="F219" s="8"/>
      <c r="G219" s="20">
        <v>2.0</v>
      </c>
      <c r="H219" s="8"/>
      <c r="I219" s="8"/>
      <c r="J219" s="20">
        <v>2.0</v>
      </c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  <c r="AE219" s="8"/>
      <c r="AF219" s="8"/>
      <c r="AG219" s="8"/>
      <c r="AH219" s="8"/>
      <c r="AI219" s="8"/>
      <c r="AJ219" s="8"/>
      <c r="AK219" s="8"/>
      <c r="AL219" s="8"/>
      <c r="AM219" s="8"/>
      <c r="AN219" s="8"/>
      <c r="AO219" s="8"/>
      <c r="AP219" s="8"/>
      <c r="AQ219" s="8"/>
      <c r="AR219" s="8"/>
      <c r="AS219" s="8"/>
      <c r="AT219" s="8"/>
    </row>
    <row r="220" ht="15.75" customHeight="1">
      <c r="A220" s="23" t="s">
        <v>382</v>
      </c>
      <c r="B220" s="8">
        <f t="shared" si="1"/>
        <v>2</v>
      </c>
      <c r="C220" s="8"/>
      <c r="D220" s="8"/>
      <c r="E220" s="8"/>
      <c r="F220" s="8"/>
      <c r="G220" s="20">
        <v>2.0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  <c r="AE220" s="8"/>
      <c r="AF220" s="8"/>
      <c r="AG220" s="8"/>
      <c r="AH220" s="8"/>
      <c r="AI220" s="8"/>
      <c r="AJ220" s="8"/>
      <c r="AK220" s="8"/>
      <c r="AL220" s="8"/>
      <c r="AM220" s="8"/>
      <c r="AN220" s="8"/>
      <c r="AO220" s="8"/>
      <c r="AP220" s="8"/>
      <c r="AQ220" s="8"/>
      <c r="AR220" s="8"/>
      <c r="AS220" s="8"/>
      <c r="AT220" s="8"/>
    </row>
    <row r="221" ht="15.75" customHeight="1">
      <c r="A221" s="23" t="s">
        <v>383</v>
      </c>
      <c r="B221" s="8">
        <f t="shared" si="1"/>
        <v>2</v>
      </c>
      <c r="C221" s="8"/>
      <c r="D221" s="8"/>
      <c r="E221" s="8"/>
      <c r="F221" s="8"/>
      <c r="G221" s="20">
        <v>2.0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  <c r="AE221" s="8"/>
      <c r="AF221" s="8"/>
      <c r="AG221" s="8"/>
      <c r="AH221" s="8"/>
      <c r="AI221" s="8"/>
      <c r="AJ221" s="8"/>
      <c r="AK221" s="8"/>
      <c r="AL221" s="8"/>
      <c r="AM221" s="8"/>
      <c r="AN221" s="8"/>
      <c r="AO221" s="8"/>
      <c r="AP221" s="8"/>
      <c r="AQ221" s="8"/>
      <c r="AR221" s="8"/>
      <c r="AS221" s="8"/>
      <c r="AT221" s="8"/>
    </row>
    <row r="222" ht="15.75" customHeight="1">
      <c r="A222" s="23" t="s">
        <v>245</v>
      </c>
      <c r="B222" s="8">
        <f t="shared" si="1"/>
        <v>5.75</v>
      </c>
      <c r="C222" s="8"/>
      <c r="D222" s="8"/>
      <c r="E222" s="8"/>
      <c r="F222" s="8"/>
      <c r="G222" s="20">
        <v>2.0</v>
      </c>
      <c r="H222" s="8"/>
      <c r="I222" s="20">
        <v>1.75</v>
      </c>
      <c r="J222" s="8"/>
      <c r="K222" s="8"/>
      <c r="L222" s="8"/>
      <c r="M222" s="8"/>
      <c r="N222" s="8"/>
      <c r="O222" s="20">
        <v>2.0</v>
      </c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  <c r="AE222" s="8"/>
      <c r="AF222" s="8"/>
      <c r="AG222" s="8"/>
      <c r="AH222" s="8"/>
      <c r="AI222" s="8"/>
      <c r="AJ222" s="8"/>
      <c r="AK222" s="8"/>
      <c r="AL222" s="8"/>
      <c r="AM222" s="8"/>
      <c r="AN222" s="8"/>
      <c r="AO222" s="8"/>
      <c r="AP222" s="8"/>
      <c r="AQ222" s="8"/>
      <c r="AR222" s="8"/>
      <c r="AS222" s="8"/>
      <c r="AT222" s="8"/>
    </row>
    <row r="223" ht="15.75" customHeight="1">
      <c r="A223" s="23" t="s">
        <v>384</v>
      </c>
      <c r="B223" s="8">
        <f t="shared" si="1"/>
        <v>3</v>
      </c>
      <c r="C223" s="8"/>
      <c r="D223" s="8"/>
      <c r="E223" s="8"/>
      <c r="F223" s="8"/>
      <c r="G223" s="20">
        <v>3.0</v>
      </c>
      <c r="H223" s="20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  <c r="AE223" s="8"/>
      <c r="AF223" s="8"/>
      <c r="AG223" s="8"/>
      <c r="AH223" s="8"/>
      <c r="AI223" s="8"/>
      <c r="AJ223" s="8"/>
      <c r="AK223" s="8"/>
      <c r="AL223" s="8"/>
      <c r="AM223" s="8"/>
      <c r="AN223" s="8"/>
      <c r="AO223" s="8"/>
      <c r="AP223" s="8"/>
      <c r="AQ223" s="8"/>
      <c r="AR223" s="8"/>
      <c r="AS223" s="8"/>
      <c r="AT223" s="8"/>
    </row>
    <row r="224" ht="15.75" customHeight="1">
      <c r="A224" s="23" t="s">
        <v>385</v>
      </c>
      <c r="B224" s="8">
        <f t="shared" si="1"/>
        <v>7</v>
      </c>
      <c r="C224" s="8"/>
      <c r="D224" s="8"/>
      <c r="E224" s="8"/>
      <c r="F224" s="8"/>
      <c r="G224" s="20">
        <v>3.0</v>
      </c>
      <c r="H224" s="20">
        <v>2.0</v>
      </c>
      <c r="I224" s="8"/>
      <c r="J224" s="8"/>
      <c r="K224" s="8"/>
      <c r="L224" s="20">
        <v>2.0</v>
      </c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  <c r="AE224" s="8"/>
      <c r="AF224" s="8"/>
      <c r="AG224" s="8"/>
      <c r="AH224" s="8"/>
      <c r="AI224" s="8"/>
      <c r="AJ224" s="8"/>
      <c r="AK224" s="8"/>
      <c r="AL224" s="8"/>
      <c r="AM224" s="8"/>
      <c r="AN224" s="8"/>
      <c r="AO224" s="8"/>
      <c r="AP224" s="8"/>
      <c r="AQ224" s="8"/>
      <c r="AR224" s="8"/>
      <c r="AS224" s="8"/>
      <c r="AT224" s="8"/>
    </row>
    <row r="225" ht="15.75" customHeight="1">
      <c r="A225" s="23" t="s">
        <v>386</v>
      </c>
      <c r="B225" s="8">
        <f t="shared" si="1"/>
        <v>4.75</v>
      </c>
      <c r="C225" s="8"/>
      <c r="D225" s="8"/>
      <c r="E225" s="8"/>
      <c r="F225" s="8"/>
      <c r="G225" s="8"/>
      <c r="H225" s="20">
        <v>2.0</v>
      </c>
      <c r="I225" s="20">
        <v>1.25</v>
      </c>
      <c r="J225" s="8"/>
      <c r="K225" s="8"/>
      <c r="L225" s="8"/>
      <c r="M225" s="8"/>
      <c r="N225" s="8"/>
      <c r="O225" s="8"/>
      <c r="P225" s="20">
        <v>1.5</v>
      </c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  <c r="AE225" s="8"/>
      <c r="AF225" s="8"/>
      <c r="AG225" s="8"/>
      <c r="AH225" s="8"/>
      <c r="AI225" s="8"/>
      <c r="AJ225" s="8"/>
      <c r="AK225" s="8"/>
      <c r="AL225" s="8"/>
      <c r="AM225" s="8"/>
      <c r="AN225" s="8"/>
      <c r="AO225" s="8"/>
      <c r="AP225" s="8"/>
      <c r="AQ225" s="8"/>
      <c r="AR225" s="8"/>
      <c r="AS225" s="8"/>
      <c r="AT225" s="8"/>
    </row>
    <row r="226" ht="15.75" customHeight="1">
      <c r="A226" s="23" t="s">
        <v>387</v>
      </c>
      <c r="B226" s="8">
        <f t="shared" si="1"/>
        <v>6.5</v>
      </c>
      <c r="C226" s="8"/>
      <c r="D226" s="8"/>
      <c r="E226" s="8"/>
      <c r="F226" s="8"/>
      <c r="G226" s="8"/>
      <c r="H226" s="20">
        <v>2.0</v>
      </c>
      <c r="I226" s="20">
        <v>1.25</v>
      </c>
      <c r="J226" s="8"/>
      <c r="K226" s="21">
        <v>1.75</v>
      </c>
      <c r="L226" s="8"/>
      <c r="M226" s="8"/>
      <c r="N226" s="8"/>
      <c r="O226" s="8"/>
      <c r="P226" s="20">
        <v>1.5</v>
      </c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  <c r="AE226" s="8"/>
      <c r="AF226" s="8"/>
      <c r="AG226" s="8"/>
      <c r="AH226" s="8"/>
      <c r="AI226" s="8"/>
      <c r="AJ226" s="8"/>
      <c r="AK226" s="8"/>
      <c r="AL226" s="8"/>
      <c r="AM226" s="8"/>
      <c r="AN226" s="8"/>
      <c r="AO226" s="8"/>
      <c r="AP226" s="8"/>
      <c r="AQ226" s="8"/>
      <c r="AR226" s="8"/>
      <c r="AS226" s="8"/>
      <c r="AT226" s="8"/>
    </row>
    <row r="227" ht="15.75" customHeight="1">
      <c r="A227" s="23" t="s">
        <v>388</v>
      </c>
      <c r="B227" s="8">
        <f t="shared" si="1"/>
        <v>2</v>
      </c>
      <c r="C227" s="8"/>
      <c r="D227" s="8"/>
      <c r="E227" s="8"/>
      <c r="F227" s="8"/>
      <c r="G227" s="8"/>
      <c r="H227" s="20">
        <v>2.0</v>
      </c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  <c r="AE227" s="8"/>
      <c r="AF227" s="8"/>
      <c r="AG227" s="8"/>
      <c r="AH227" s="8"/>
      <c r="AI227" s="8"/>
      <c r="AJ227" s="8"/>
      <c r="AK227" s="8"/>
      <c r="AL227" s="8"/>
      <c r="AM227" s="8"/>
      <c r="AN227" s="8"/>
      <c r="AO227" s="8"/>
      <c r="AP227" s="8"/>
      <c r="AQ227" s="8"/>
      <c r="AR227" s="8"/>
      <c r="AS227" s="8"/>
      <c r="AT227" s="8"/>
    </row>
    <row r="228" ht="15.75" customHeight="1">
      <c r="A228" s="23" t="s">
        <v>389</v>
      </c>
      <c r="B228" s="8">
        <f t="shared" si="1"/>
        <v>7.75</v>
      </c>
      <c r="C228" s="8"/>
      <c r="D228" s="8"/>
      <c r="E228" s="8"/>
      <c r="F228" s="8"/>
      <c r="G228" s="8"/>
      <c r="H228" s="20">
        <v>2.0</v>
      </c>
      <c r="I228" s="8"/>
      <c r="J228" s="8"/>
      <c r="K228" s="21">
        <v>2.0</v>
      </c>
      <c r="L228" s="20">
        <v>1.75</v>
      </c>
      <c r="M228" s="8"/>
      <c r="N228" s="8"/>
      <c r="O228" s="20">
        <v>2.0</v>
      </c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  <c r="AE228" s="8"/>
      <c r="AF228" s="8"/>
      <c r="AG228" s="8"/>
      <c r="AH228" s="8"/>
      <c r="AI228" s="8"/>
      <c r="AJ228" s="8"/>
      <c r="AK228" s="8"/>
      <c r="AL228" s="8"/>
      <c r="AM228" s="8"/>
      <c r="AN228" s="8"/>
      <c r="AO228" s="8"/>
      <c r="AP228" s="8"/>
      <c r="AQ228" s="8"/>
      <c r="AR228" s="8"/>
      <c r="AS228" s="8"/>
      <c r="AT228" s="8"/>
    </row>
    <row r="229" ht="15.75" customHeight="1">
      <c r="A229" s="23" t="s">
        <v>281</v>
      </c>
      <c r="B229" s="8">
        <f t="shared" si="1"/>
        <v>2</v>
      </c>
      <c r="C229" s="8"/>
      <c r="D229" s="8"/>
      <c r="E229" s="8"/>
      <c r="F229" s="8"/>
      <c r="G229" s="8"/>
      <c r="H229" s="20">
        <v>2.0</v>
      </c>
      <c r="I229" s="8"/>
      <c r="J229" s="8"/>
      <c r="K229" s="8"/>
      <c r="L229" s="8"/>
      <c r="M229" s="8"/>
      <c r="N229" s="8"/>
      <c r="O229" s="20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  <c r="AE229" s="8"/>
      <c r="AF229" s="8"/>
      <c r="AG229" s="8"/>
      <c r="AH229" s="8"/>
      <c r="AI229" s="8"/>
      <c r="AJ229" s="8"/>
      <c r="AK229" s="8"/>
      <c r="AL229" s="8"/>
      <c r="AM229" s="8"/>
      <c r="AN229" s="8"/>
      <c r="AO229" s="8"/>
      <c r="AP229" s="8"/>
      <c r="AQ229" s="8"/>
      <c r="AR229" s="8"/>
      <c r="AS229" s="8"/>
      <c r="AT229" s="8"/>
    </row>
    <row r="230" ht="15.75" customHeight="1">
      <c r="A230" s="23" t="s">
        <v>282</v>
      </c>
      <c r="B230" s="8">
        <f t="shared" si="1"/>
        <v>1.75</v>
      </c>
      <c r="C230" s="8"/>
      <c r="D230" s="8"/>
      <c r="E230" s="8"/>
      <c r="F230" s="8"/>
      <c r="G230" s="8"/>
      <c r="H230" s="20">
        <v>1.75</v>
      </c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  <c r="AE230" s="8"/>
      <c r="AF230" s="8"/>
      <c r="AG230" s="8"/>
      <c r="AH230" s="8"/>
      <c r="AI230" s="8"/>
      <c r="AJ230" s="8"/>
      <c r="AK230" s="8"/>
      <c r="AL230" s="8"/>
      <c r="AM230" s="8"/>
      <c r="AN230" s="8"/>
      <c r="AO230" s="8"/>
      <c r="AP230" s="8"/>
      <c r="AQ230" s="8"/>
      <c r="AR230" s="8"/>
      <c r="AS230" s="8"/>
      <c r="AT230" s="8"/>
    </row>
    <row r="231" ht="15.75" customHeight="1">
      <c r="A231" s="23" t="s">
        <v>390</v>
      </c>
      <c r="B231" s="8">
        <f t="shared" si="1"/>
        <v>1.75</v>
      </c>
      <c r="C231" s="8"/>
      <c r="D231" s="8"/>
      <c r="E231" s="8"/>
      <c r="F231" s="8"/>
      <c r="G231" s="8"/>
      <c r="H231" s="20">
        <v>1.75</v>
      </c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  <c r="AE231" s="8"/>
      <c r="AF231" s="8"/>
      <c r="AG231" s="8"/>
      <c r="AH231" s="8"/>
      <c r="AI231" s="8"/>
      <c r="AJ231" s="8"/>
      <c r="AK231" s="8"/>
      <c r="AL231" s="8"/>
      <c r="AM231" s="8"/>
      <c r="AN231" s="8"/>
      <c r="AO231" s="8"/>
      <c r="AP231" s="8"/>
      <c r="AQ231" s="8"/>
      <c r="AR231" s="8"/>
      <c r="AS231" s="8"/>
      <c r="AT231" s="8"/>
    </row>
    <row r="232" ht="15.75" customHeight="1">
      <c r="A232" s="23" t="s">
        <v>391</v>
      </c>
      <c r="B232" s="8">
        <f t="shared" si="1"/>
        <v>1.75</v>
      </c>
      <c r="C232" s="8"/>
      <c r="D232" s="8"/>
      <c r="E232" s="8"/>
      <c r="F232" s="8"/>
      <c r="G232" s="8"/>
      <c r="H232" s="20">
        <v>1.75</v>
      </c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  <c r="AE232" s="8"/>
      <c r="AF232" s="8"/>
      <c r="AG232" s="8"/>
      <c r="AH232" s="8"/>
      <c r="AI232" s="8"/>
      <c r="AJ232" s="8"/>
      <c r="AK232" s="8"/>
      <c r="AL232" s="8"/>
      <c r="AM232" s="8"/>
      <c r="AN232" s="8"/>
      <c r="AO232" s="8"/>
      <c r="AP232" s="8"/>
      <c r="AQ232" s="8"/>
      <c r="AR232" s="8"/>
      <c r="AS232" s="8"/>
      <c r="AT232" s="8"/>
    </row>
    <row r="233" ht="15.75" customHeight="1">
      <c r="A233" s="23" t="s">
        <v>392</v>
      </c>
      <c r="B233" s="8">
        <f t="shared" si="1"/>
        <v>5.5</v>
      </c>
      <c r="C233" s="8"/>
      <c r="D233" s="8"/>
      <c r="E233" s="8"/>
      <c r="F233" s="8"/>
      <c r="G233" s="8"/>
      <c r="H233" s="20">
        <v>2.0</v>
      </c>
      <c r="I233" s="20">
        <v>1.75</v>
      </c>
      <c r="J233" s="8"/>
      <c r="K233" s="8"/>
      <c r="L233" s="8"/>
      <c r="M233" s="20">
        <v>1.75</v>
      </c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  <c r="AE233" s="8"/>
      <c r="AF233" s="8"/>
      <c r="AG233" s="8"/>
      <c r="AH233" s="8"/>
      <c r="AI233" s="8"/>
      <c r="AJ233" s="8"/>
      <c r="AK233" s="8"/>
      <c r="AL233" s="8"/>
      <c r="AM233" s="8"/>
      <c r="AN233" s="8"/>
      <c r="AO233" s="8"/>
      <c r="AP233" s="8"/>
      <c r="AQ233" s="8"/>
      <c r="AR233" s="8"/>
      <c r="AS233" s="8"/>
      <c r="AT233" s="8"/>
    </row>
    <row r="234" ht="15.75" customHeight="1">
      <c r="A234" s="23" t="s">
        <v>393</v>
      </c>
      <c r="B234" s="8">
        <f t="shared" si="1"/>
        <v>1.5</v>
      </c>
      <c r="C234" s="8"/>
      <c r="D234" s="8"/>
      <c r="E234" s="8"/>
      <c r="F234" s="8"/>
      <c r="G234" s="8"/>
      <c r="H234" s="8"/>
      <c r="I234" s="20">
        <v>1.5</v>
      </c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  <c r="AE234" s="8"/>
      <c r="AF234" s="8"/>
      <c r="AG234" s="8"/>
      <c r="AH234" s="8"/>
      <c r="AI234" s="8"/>
      <c r="AJ234" s="8"/>
      <c r="AK234" s="8"/>
      <c r="AL234" s="8"/>
      <c r="AM234" s="8"/>
      <c r="AN234" s="8"/>
      <c r="AO234" s="8"/>
      <c r="AP234" s="8"/>
      <c r="AQ234" s="8"/>
      <c r="AR234" s="8"/>
      <c r="AS234" s="8"/>
      <c r="AT234" s="8"/>
    </row>
    <row r="235" ht="15.75" customHeight="1">
      <c r="A235" s="23" t="s">
        <v>394</v>
      </c>
      <c r="B235" s="8">
        <f t="shared" si="1"/>
        <v>1.5</v>
      </c>
      <c r="C235" s="8"/>
      <c r="D235" s="8"/>
      <c r="E235" s="8"/>
      <c r="F235" s="8"/>
      <c r="G235" s="8"/>
      <c r="H235" s="8"/>
      <c r="I235" s="20">
        <v>1.5</v>
      </c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  <c r="AE235" s="8"/>
      <c r="AF235" s="8"/>
      <c r="AG235" s="8"/>
      <c r="AH235" s="8"/>
      <c r="AI235" s="8"/>
      <c r="AJ235" s="8"/>
      <c r="AK235" s="8"/>
      <c r="AL235" s="8"/>
      <c r="AM235" s="8"/>
      <c r="AN235" s="8"/>
      <c r="AO235" s="8"/>
      <c r="AP235" s="8"/>
      <c r="AQ235" s="8"/>
      <c r="AR235" s="8"/>
      <c r="AS235" s="8"/>
      <c r="AT235" s="8"/>
    </row>
    <row r="236" ht="15.75" customHeight="1">
      <c r="A236" s="23" t="s">
        <v>395</v>
      </c>
      <c r="B236" s="8">
        <f t="shared" si="1"/>
        <v>1.75</v>
      </c>
      <c r="C236" s="8"/>
      <c r="D236" s="8"/>
      <c r="E236" s="8"/>
      <c r="F236" s="8"/>
      <c r="G236" s="8"/>
      <c r="H236" s="8"/>
      <c r="I236" s="20">
        <v>1.75</v>
      </c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  <c r="AE236" s="8"/>
      <c r="AF236" s="8"/>
      <c r="AG236" s="8"/>
      <c r="AH236" s="8"/>
      <c r="AI236" s="8"/>
      <c r="AJ236" s="8"/>
      <c r="AK236" s="8"/>
      <c r="AL236" s="8"/>
      <c r="AM236" s="8"/>
      <c r="AN236" s="8"/>
      <c r="AO236" s="8"/>
      <c r="AP236" s="8"/>
      <c r="AQ236" s="8"/>
      <c r="AR236" s="8"/>
      <c r="AS236" s="8"/>
      <c r="AT236" s="8"/>
    </row>
    <row r="237" ht="15.75" customHeight="1">
      <c r="A237" s="23" t="s">
        <v>396</v>
      </c>
      <c r="B237" s="8">
        <f t="shared" si="1"/>
        <v>4.5</v>
      </c>
      <c r="C237" s="8"/>
      <c r="D237" s="8"/>
      <c r="E237" s="8"/>
      <c r="F237" s="8"/>
      <c r="G237" s="8"/>
      <c r="H237" s="8"/>
      <c r="I237" s="20">
        <v>1.5</v>
      </c>
      <c r="J237" s="8"/>
      <c r="K237" s="8"/>
      <c r="L237" s="8"/>
      <c r="M237" s="20">
        <v>1.5</v>
      </c>
      <c r="N237" s="8"/>
      <c r="O237" s="8"/>
      <c r="P237" s="8"/>
      <c r="Q237" s="20">
        <v>1.5</v>
      </c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  <c r="AE237" s="8"/>
      <c r="AF237" s="8"/>
      <c r="AG237" s="8"/>
      <c r="AH237" s="8"/>
      <c r="AI237" s="8"/>
      <c r="AJ237" s="8"/>
      <c r="AK237" s="8"/>
      <c r="AL237" s="8"/>
      <c r="AM237" s="8"/>
      <c r="AN237" s="8"/>
      <c r="AO237" s="8"/>
      <c r="AP237" s="8"/>
      <c r="AQ237" s="8"/>
      <c r="AR237" s="8"/>
      <c r="AS237" s="8"/>
      <c r="AT237" s="8"/>
    </row>
    <row r="238" ht="15.75" customHeight="1">
      <c r="A238" s="23" t="s">
        <v>397</v>
      </c>
      <c r="B238" s="8">
        <f t="shared" si="1"/>
        <v>4.25</v>
      </c>
      <c r="C238" s="8"/>
      <c r="D238" s="8"/>
      <c r="E238" s="8"/>
      <c r="F238" s="8"/>
      <c r="G238" s="8"/>
      <c r="H238" s="8"/>
      <c r="I238" s="20">
        <v>1.5</v>
      </c>
      <c r="J238" s="8"/>
      <c r="K238" s="8"/>
      <c r="L238" s="8"/>
      <c r="M238" s="20">
        <v>1.75</v>
      </c>
      <c r="N238" s="20">
        <v>1.0</v>
      </c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  <c r="AE238" s="8"/>
      <c r="AF238" s="8"/>
      <c r="AG238" s="8"/>
      <c r="AH238" s="8"/>
      <c r="AI238" s="8"/>
      <c r="AJ238" s="8"/>
      <c r="AK238" s="8"/>
      <c r="AL238" s="8"/>
      <c r="AM238" s="8"/>
      <c r="AN238" s="8"/>
      <c r="AO238" s="8"/>
      <c r="AP238" s="8"/>
      <c r="AQ238" s="8"/>
      <c r="AR238" s="8"/>
      <c r="AS238" s="8"/>
      <c r="AT238" s="8"/>
    </row>
    <row r="239" ht="15.75" customHeight="1">
      <c r="A239" s="23" t="s">
        <v>398</v>
      </c>
      <c r="B239" s="8">
        <f t="shared" si="1"/>
        <v>1.5</v>
      </c>
      <c r="C239" s="8"/>
      <c r="D239" s="8"/>
      <c r="E239" s="8"/>
      <c r="F239" s="8"/>
      <c r="G239" s="8"/>
      <c r="H239" s="8"/>
      <c r="I239" s="8"/>
      <c r="J239" s="20">
        <v>1.5</v>
      </c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  <c r="AE239" s="8"/>
      <c r="AF239" s="8"/>
      <c r="AG239" s="8"/>
      <c r="AH239" s="8"/>
      <c r="AI239" s="8"/>
      <c r="AJ239" s="8"/>
      <c r="AK239" s="8"/>
      <c r="AL239" s="8"/>
      <c r="AM239" s="8"/>
      <c r="AN239" s="8"/>
      <c r="AO239" s="8"/>
      <c r="AP239" s="8"/>
      <c r="AQ239" s="8"/>
      <c r="AR239" s="8"/>
      <c r="AS239" s="8"/>
      <c r="AT239" s="8"/>
    </row>
    <row r="240" ht="15.75" customHeight="1">
      <c r="A240" s="23" t="s">
        <v>399</v>
      </c>
      <c r="B240" s="8">
        <f t="shared" si="1"/>
        <v>1.5</v>
      </c>
      <c r="C240" s="8"/>
      <c r="D240" s="8"/>
      <c r="E240" s="8"/>
      <c r="F240" s="8"/>
      <c r="G240" s="8"/>
      <c r="H240" s="8"/>
      <c r="I240" s="8"/>
      <c r="J240" s="20">
        <v>1.5</v>
      </c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  <c r="AE240" s="8"/>
      <c r="AF240" s="8"/>
      <c r="AG240" s="8"/>
      <c r="AH240" s="8"/>
      <c r="AI240" s="8"/>
      <c r="AJ240" s="8"/>
      <c r="AK240" s="8"/>
      <c r="AL240" s="8"/>
      <c r="AM240" s="8"/>
      <c r="AN240" s="8"/>
      <c r="AO240" s="8"/>
      <c r="AP240" s="8"/>
      <c r="AQ240" s="8"/>
      <c r="AR240" s="8"/>
      <c r="AS240" s="8"/>
      <c r="AT240" s="8"/>
    </row>
    <row r="241" ht="15.75" customHeight="1">
      <c r="A241" s="23" t="s">
        <v>400</v>
      </c>
      <c r="B241" s="8">
        <f t="shared" si="1"/>
        <v>1.5</v>
      </c>
      <c r="C241" s="8"/>
      <c r="D241" s="8"/>
      <c r="E241" s="8"/>
      <c r="F241" s="8"/>
      <c r="G241" s="8"/>
      <c r="H241" s="8"/>
      <c r="I241" s="8"/>
      <c r="J241" s="20">
        <v>1.5</v>
      </c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  <c r="AE241" s="8"/>
      <c r="AF241" s="8"/>
      <c r="AG241" s="8"/>
      <c r="AH241" s="8"/>
      <c r="AI241" s="8"/>
      <c r="AJ241" s="8"/>
      <c r="AK241" s="8"/>
      <c r="AL241" s="8"/>
      <c r="AM241" s="8"/>
      <c r="AN241" s="8"/>
      <c r="AO241" s="8"/>
      <c r="AP241" s="8"/>
      <c r="AQ241" s="8"/>
      <c r="AR241" s="8"/>
      <c r="AS241" s="8"/>
      <c r="AT241" s="8"/>
    </row>
    <row r="242" ht="15.75" customHeight="1">
      <c r="A242" s="23" t="s">
        <v>401</v>
      </c>
      <c r="B242" s="8">
        <f t="shared" si="1"/>
        <v>1.5</v>
      </c>
      <c r="C242" s="8"/>
      <c r="D242" s="8"/>
      <c r="E242" s="8"/>
      <c r="F242" s="8"/>
      <c r="G242" s="8"/>
      <c r="H242" s="8"/>
      <c r="I242" s="8"/>
      <c r="J242" s="20">
        <v>1.5</v>
      </c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  <c r="AE242" s="8"/>
      <c r="AF242" s="8"/>
      <c r="AG242" s="8"/>
      <c r="AH242" s="8"/>
      <c r="AI242" s="8"/>
      <c r="AJ242" s="8"/>
      <c r="AK242" s="8"/>
      <c r="AL242" s="8"/>
      <c r="AM242" s="8"/>
      <c r="AN242" s="8"/>
      <c r="AO242" s="8"/>
      <c r="AP242" s="8"/>
      <c r="AQ242" s="8"/>
      <c r="AR242" s="8"/>
      <c r="AS242" s="8"/>
      <c r="AT242" s="8"/>
    </row>
    <row r="243" ht="15.75" customHeight="1">
      <c r="A243" s="23" t="s">
        <v>402</v>
      </c>
      <c r="B243" s="8">
        <f t="shared" si="1"/>
        <v>1.5</v>
      </c>
      <c r="C243" s="8"/>
      <c r="D243" s="8"/>
      <c r="E243" s="8"/>
      <c r="F243" s="8"/>
      <c r="G243" s="8"/>
      <c r="H243" s="8"/>
      <c r="I243" s="8"/>
      <c r="J243" s="20">
        <v>1.5</v>
      </c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  <c r="AE243" s="8"/>
      <c r="AF243" s="8"/>
      <c r="AG243" s="8"/>
      <c r="AH243" s="8"/>
      <c r="AI243" s="8"/>
      <c r="AJ243" s="8"/>
      <c r="AK243" s="8"/>
      <c r="AL243" s="8"/>
      <c r="AM243" s="8"/>
      <c r="AN243" s="8"/>
      <c r="AO243" s="8"/>
      <c r="AP243" s="8"/>
      <c r="AQ243" s="8"/>
      <c r="AR243" s="8"/>
      <c r="AS243" s="8"/>
      <c r="AT243" s="8"/>
    </row>
    <row r="244" ht="15.75" customHeight="1">
      <c r="A244" s="23" t="s">
        <v>403</v>
      </c>
      <c r="B244" s="8">
        <f t="shared" si="1"/>
        <v>1.5</v>
      </c>
      <c r="C244" s="8"/>
      <c r="D244" s="8"/>
      <c r="E244" s="8"/>
      <c r="F244" s="8"/>
      <c r="G244" s="8"/>
      <c r="H244" s="8"/>
      <c r="I244" s="8"/>
      <c r="J244" s="20">
        <v>1.5</v>
      </c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  <c r="AE244" s="8"/>
      <c r="AF244" s="8"/>
      <c r="AG244" s="8"/>
      <c r="AH244" s="8"/>
      <c r="AI244" s="8"/>
      <c r="AJ244" s="8"/>
      <c r="AK244" s="8"/>
      <c r="AL244" s="8"/>
      <c r="AM244" s="8"/>
      <c r="AN244" s="8"/>
      <c r="AO244" s="8"/>
      <c r="AP244" s="8"/>
      <c r="AQ244" s="8"/>
      <c r="AR244" s="8"/>
      <c r="AS244" s="8"/>
      <c r="AT244" s="8"/>
    </row>
    <row r="245" ht="15.75" customHeight="1">
      <c r="A245" s="23" t="s">
        <v>404</v>
      </c>
      <c r="B245" s="8">
        <f t="shared" si="1"/>
        <v>1.5</v>
      </c>
      <c r="C245" s="8"/>
      <c r="D245" s="8"/>
      <c r="E245" s="8"/>
      <c r="F245" s="8"/>
      <c r="G245" s="8"/>
      <c r="H245" s="8"/>
      <c r="I245" s="8"/>
      <c r="J245" s="20">
        <v>1.5</v>
      </c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  <c r="AE245" s="8"/>
      <c r="AF245" s="8"/>
      <c r="AG245" s="8"/>
      <c r="AH245" s="8"/>
      <c r="AI245" s="8"/>
      <c r="AJ245" s="8"/>
      <c r="AK245" s="8"/>
      <c r="AL245" s="8"/>
      <c r="AM245" s="8"/>
      <c r="AN245" s="8"/>
      <c r="AO245" s="8"/>
      <c r="AP245" s="8"/>
      <c r="AQ245" s="8"/>
      <c r="AR245" s="8"/>
      <c r="AS245" s="8"/>
      <c r="AT245" s="8"/>
    </row>
    <row r="246" ht="15.75" customHeight="1">
      <c r="A246" s="23" t="s">
        <v>405</v>
      </c>
      <c r="B246" s="8">
        <f t="shared" si="1"/>
        <v>1.5</v>
      </c>
      <c r="C246" s="8"/>
      <c r="D246" s="8"/>
      <c r="E246" s="8"/>
      <c r="F246" s="8"/>
      <c r="G246" s="8"/>
      <c r="H246" s="8"/>
      <c r="I246" s="8"/>
      <c r="J246" s="20">
        <v>1.5</v>
      </c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  <c r="AE246" s="8"/>
      <c r="AF246" s="8"/>
      <c r="AG246" s="8"/>
      <c r="AH246" s="8"/>
      <c r="AI246" s="8"/>
      <c r="AJ246" s="8"/>
      <c r="AK246" s="8"/>
      <c r="AL246" s="8"/>
      <c r="AM246" s="8"/>
      <c r="AN246" s="8"/>
      <c r="AO246" s="8"/>
      <c r="AP246" s="8"/>
      <c r="AQ246" s="8"/>
      <c r="AR246" s="8"/>
      <c r="AS246" s="8"/>
      <c r="AT246" s="8"/>
    </row>
    <row r="247" ht="15.75" customHeight="1">
      <c r="A247" s="23" t="s">
        <v>406</v>
      </c>
      <c r="B247" s="8">
        <f t="shared" si="1"/>
        <v>1.5</v>
      </c>
      <c r="C247" s="8"/>
      <c r="D247" s="8"/>
      <c r="E247" s="8"/>
      <c r="F247" s="8"/>
      <c r="G247" s="8"/>
      <c r="H247" s="8"/>
      <c r="I247" s="8"/>
      <c r="J247" s="20">
        <v>1.5</v>
      </c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  <c r="AE247" s="8"/>
      <c r="AF247" s="8"/>
      <c r="AG247" s="8"/>
      <c r="AH247" s="8"/>
      <c r="AI247" s="8"/>
      <c r="AJ247" s="8"/>
      <c r="AK247" s="8"/>
      <c r="AL247" s="8"/>
      <c r="AM247" s="8"/>
      <c r="AN247" s="8"/>
      <c r="AO247" s="8"/>
      <c r="AP247" s="8"/>
      <c r="AQ247" s="8"/>
      <c r="AR247" s="8"/>
      <c r="AS247" s="8"/>
      <c r="AT247" s="8"/>
    </row>
    <row r="248" ht="15.75" customHeight="1">
      <c r="A248" s="23" t="s">
        <v>407</v>
      </c>
      <c r="B248" s="8">
        <f t="shared" si="1"/>
        <v>1.5</v>
      </c>
      <c r="C248" s="8"/>
      <c r="D248" s="8"/>
      <c r="E248" s="8"/>
      <c r="F248" s="8"/>
      <c r="G248" s="8"/>
      <c r="H248" s="8"/>
      <c r="I248" s="8"/>
      <c r="J248" s="20">
        <v>1.5</v>
      </c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  <c r="AE248" s="8"/>
      <c r="AF248" s="8"/>
      <c r="AG248" s="8"/>
      <c r="AH248" s="8"/>
      <c r="AI248" s="8"/>
      <c r="AJ248" s="8"/>
      <c r="AK248" s="8"/>
      <c r="AL248" s="8"/>
      <c r="AM248" s="8"/>
      <c r="AN248" s="8"/>
      <c r="AO248" s="8"/>
      <c r="AP248" s="8"/>
      <c r="AQ248" s="8"/>
      <c r="AR248" s="8"/>
      <c r="AS248" s="8"/>
      <c r="AT248" s="8"/>
    </row>
    <row r="249" ht="15.75" customHeight="1">
      <c r="A249" s="23" t="s">
        <v>408</v>
      </c>
      <c r="B249" s="8">
        <f t="shared" si="1"/>
        <v>1.5</v>
      </c>
      <c r="C249" s="8"/>
      <c r="D249" s="8"/>
      <c r="E249" s="8"/>
      <c r="F249" s="8"/>
      <c r="G249" s="8"/>
      <c r="H249" s="8"/>
      <c r="I249" s="8"/>
      <c r="J249" s="20">
        <v>1.5</v>
      </c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  <c r="AE249" s="8"/>
      <c r="AF249" s="8"/>
      <c r="AG249" s="8"/>
      <c r="AH249" s="8"/>
      <c r="AI249" s="8"/>
      <c r="AJ249" s="8"/>
      <c r="AK249" s="8"/>
      <c r="AL249" s="8"/>
      <c r="AM249" s="8"/>
      <c r="AN249" s="8"/>
      <c r="AO249" s="8"/>
      <c r="AP249" s="8"/>
      <c r="AQ249" s="8"/>
      <c r="AR249" s="8"/>
      <c r="AS249" s="8"/>
      <c r="AT249" s="8"/>
    </row>
    <row r="250" ht="15.75" customHeight="1">
      <c r="A250" s="23" t="s">
        <v>409</v>
      </c>
      <c r="B250" s="8">
        <f t="shared" si="1"/>
        <v>1.5</v>
      </c>
      <c r="C250" s="8"/>
      <c r="D250" s="8"/>
      <c r="E250" s="8"/>
      <c r="F250" s="8"/>
      <c r="G250" s="8"/>
      <c r="H250" s="8"/>
      <c r="I250" s="8"/>
      <c r="J250" s="20">
        <v>1.5</v>
      </c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  <c r="AE250" s="8"/>
      <c r="AF250" s="8"/>
      <c r="AG250" s="8"/>
      <c r="AH250" s="8"/>
      <c r="AI250" s="8"/>
      <c r="AJ250" s="8"/>
      <c r="AK250" s="8"/>
      <c r="AL250" s="8"/>
      <c r="AM250" s="8"/>
      <c r="AN250" s="8"/>
      <c r="AO250" s="8"/>
      <c r="AP250" s="8"/>
      <c r="AQ250" s="8"/>
      <c r="AR250" s="8"/>
      <c r="AS250" s="8"/>
      <c r="AT250" s="8"/>
    </row>
    <row r="251" ht="15.75" customHeight="1">
      <c r="A251" s="23" t="s">
        <v>410</v>
      </c>
      <c r="B251" s="8">
        <f t="shared" si="1"/>
        <v>1.5</v>
      </c>
      <c r="C251" s="8"/>
      <c r="D251" s="8"/>
      <c r="E251" s="8"/>
      <c r="F251" s="8"/>
      <c r="G251" s="8"/>
      <c r="H251" s="8"/>
      <c r="I251" s="8"/>
      <c r="J251" s="20">
        <v>1.5</v>
      </c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  <c r="AE251" s="8"/>
      <c r="AF251" s="8"/>
      <c r="AG251" s="8"/>
      <c r="AH251" s="8"/>
      <c r="AI251" s="8"/>
      <c r="AJ251" s="8"/>
      <c r="AK251" s="8"/>
      <c r="AL251" s="8"/>
      <c r="AM251" s="8"/>
      <c r="AN251" s="8"/>
      <c r="AO251" s="8"/>
      <c r="AP251" s="8"/>
      <c r="AQ251" s="8"/>
      <c r="AR251" s="8"/>
      <c r="AS251" s="8"/>
      <c r="AT251" s="8"/>
    </row>
    <row r="252" ht="15.75" customHeight="1">
      <c r="A252" s="23" t="s">
        <v>411</v>
      </c>
      <c r="B252" s="8">
        <f t="shared" si="1"/>
        <v>1.5</v>
      </c>
      <c r="C252" s="8"/>
      <c r="D252" s="8"/>
      <c r="E252" s="8"/>
      <c r="F252" s="8"/>
      <c r="G252" s="8"/>
      <c r="H252" s="8"/>
      <c r="I252" s="8"/>
      <c r="J252" s="20">
        <v>1.5</v>
      </c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  <c r="AE252" s="8"/>
      <c r="AF252" s="8"/>
      <c r="AG252" s="8"/>
      <c r="AH252" s="8"/>
      <c r="AI252" s="8"/>
      <c r="AJ252" s="8"/>
      <c r="AK252" s="8"/>
      <c r="AL252" s="8"/>
      <c r="AM252" s="8"/>
      <c r="AN252" s="8"/>
      <c r="AO252" s="8"/>
      <c r="AP252" s="8"/>
      <c r="AQ252" s="8"/>
      <c r="AR252" s="8"/>
      <c r="AS252" s="8"/>
      <c r="AT252" s="8"/>
    </row>
    <row r="253" ht="15.75" customHeight="1">
      <c r="A253" s="23" t="s">
        <v>412</v>
      </c>
      <c r="B253" s="8">
        <f t="shared" si="1"/>
        <v>1.5</v>
      </c>
      <c r="C253" s="8"/>
      <c r="D253" s="8"/>
      <c r="E253" s="8"/>
      <c r="F253" s="8"/>
      <c r="G253" s="8"/>
      <c r="H253" s="8"/>
      <c r="I253" s="8"/>
      <c r="J253" s="20">
        <v>1.5</v>
      </c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  <c r="AE253" s="8"/>
      <c r="AF253" s="8"/>
      <c r="AG253" s="8"/>
      <c r="AH253" s="8"/>
      <c r="AI253" s="8"/>
      <c r="AJ253" s="8"/>
      <c r="AK253" s="8"/>
      <c r="AL253" s="8"/>
      <c r="AM253" s="8"/>
      <c r="AN253" s="8"/>
      <c r="AO253" s="8"/>
      <c r="AP253" s="8"/>
      <c r="AQ253" s="8"/>
      <c r="AR253" s="8"/>
      <c r="AS253" s="8"/>
      <c r="AT253" s="8"/>
    </row>
    <row r="254" ht="15.75" customHeight="1">
      <c r="A254" s="23" t="s">
        <v>413</v>
      </c>
      <c r="B254" s="8">
        <f t="shared" si="1"/>
        <v>1.5</v>
      </c>
      <c r="C254" s="8"/>
      <c r="D254" s="8"/>
      <c r="E254" s="8"/>
      <c r="F254" s="8"/>
      <c r="G254" s="8"/>
      <c r="H254" s="8"/>
      <c r="I254" s="8"/>
      <c r="J254" s="20">
        <v>1.5</v>
      </c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  <c r="AE254" s="8"/>
      <c r="AF254" s="8"/>
      <c r="AG254" s="8"/>
      <c r="AH254" s="8"/>
      <c r="AI254" s="8"/>
      <c r="AJ254" s="8"/>
      <c r="AK254" s="8"/>
      <c r="AL254" s="8"/>
      <c r="AM254" s="8"/>
      <c r="AN254" s="8"/>
      <c r="AO254" s="8"/>
      <c r="AP254" s="8"/>
      <c r="AQ254" s="8"/>
      <c r="AR254" s="8"/>
      <c r="AS254" s="8"/>
      <c r="AT254" s="8"/>
    </row>
    <row r="255" ht="15.75" customHeight="1">
      <c r="A255" s="23" t="s">
        <v>414</v>
      </c>
      <c r="B255" s="8">
        <f t="shared" si="1"/>
        <v>1.5</v>
      </c>
      <c r="C255" s="8"/>
      <c r="D255" s="8"/>
      <c r="E255" s="8"/>
      <c r="F255" s="8"/>
      <c r="G255" s="8"/>
      <c r="H255" s="8"/>
      <c r="I255" s="8"/>
      <c r="J255" s="20">
        <v>1.5</v>
      </c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  <c r="AE255" s="8"/>
      <c r="AF255" s="8"/>
      <c r="AG255" s="8"/>
      <c r="AH255" s="8"/>
      <c r="AI255" s="8"/>
      <c r="AJ255" s="8"/>
      <c r="AK255" s="8"/>
      <c r="AL255" s="8"/>
      <c r="AM255" s="8"/>
      <c r="AN255" s="8"/>
      <c r="AO255" s="8"/>
      <c r="AP255" s="8"/>
      <c r="AQ255" s="8"/>
      <c r="AR255" s="8"/>
      <c r="AS255" s="8"/>
      <c r="AT255" s="8"/>
    </row>
    <row r="256" ht="15.75" customHeight="1">
      <c r="A256" s="23" t="s">
        <v>415</v>
      </c>
      <c r="B256" s="8">
        <f t="shared" si="1"/>
        <v>2</v>
      </c>
      <c r="C256" s="8"/>
      <c r="D256" s="8"/>
      <c r="E256" s="8"/>
      <c r="F256" s="8"/>
      <c r="G256" s="8"/>
      <c r="H256" s="8"/>
      <c r="I256" s="8"/>
      <c r="J256" s="20">
        <v>2.0</v>
      </c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  <c r="AE256" s="8"/>
      <c r="AF256" s="8"/>
      <c r="AG256" s="8"/>
      <c r="AH256" s="8"/>
      <c r="AI256" s="8"/>
      <c r="AJ256" s="8"/>
      <c r="AK256" s="8"/>
      <c r="AL256" s="8"/>
      <c r="AM256" s="8"/>
      <c r="AN256" s="8"/>
      <c r="AO256" s="8"/>
      <c r="AP256" s="8"/>
      <c r="AQ256" s="8"/>
      <c r="AR256" s="8"/>
      <c r="AS256" s="8"/>
      <c r="AT256" s="8"/>
    </row>
    <row r="257" ht="15.75" customHeight="1">
      <c r="A257" s="23" t="s">
        <v>416</v>
      </c>
      <c r="B257" s="8">
        <f t="shared" si="1"/>
        <v>1.5</v>
      </c>
      <c r="C257" s="8"/>
      <c r="D257" s="8"/>
      <c r="E257" s="8"/>
      <c r="F257" s="8"/>
      <c r="G257" s="8"/>
      <c r="H257" s="8"/>
      <c r="I257" s="8"/>
      <c r="J257" s="20">
        <v>1.5</v>
      </c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  <c r="AE257" s="8"/>
      <c r="AF257" s="8"/>
      <c r="AG257" s="8"/>
      <c r="AH257" s="8"/>
      <c r="AI257" s="8"/>
      <c r="AJ257" s="8"/>
      <c r="AK257" s="8"/>
      <c r="AL257" s="8"/>
      <c r="AM257" s="8"/>
      <c r="AN257" s="8"/>
      <c r="AO257" s="8"/>
      <c r="AP257" s="8"/>
      <c r="AQ257" s="8"/>
      <c r="AR257" s="8"/>
      <c r="AS257" s="8"/>
      <c r="AT257" s="8"/>
    </row>
    <row r="258" ht="15.75" customHeight="1">
      <c r="A258" s="23" t="s">
        <v>417</v>
      </c>
      <c r="B258" s="8">
        <f t="shared" si="1"/>
        <v>1.5</v>
      </c>
      <c r="C258" s="8"/>
      <c r="D258" s="8"/>
      <c r="E258" s="8"/>
      <c r="F258" s="8"/>
      <c r="G258" s="8"/>
      <c r="H258" s="8"/>
      <c r="I258" s="8"/>
      <c r="J258" s="20">
        <v>1.5</v>
      </c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  <c r="AE258" s="8"/>
      <c r="AF258" s="8"/>
      <c r="AG258" s="8"/>
      <c r="AH258" s="8"/>
      <c r="AI258" s="8"/>
      <c r="AJ258" s="8"/>
      <c r="AK258" s="8"/>
      <c r="AL258" s="8"/>
      <c r="AM258" s="8"/>
      <c r="AN258" s="8"/>
      <c r="AO258" s="8"/>
      <c r="AP258" s="8"/>
      <c r="AQ258" s="8"/>
      <c r="AR258" s="8"/>
      <c r="AS258" s="8"/>
      <c r="AT258" s="8"/>
    </row>
    <row r="259" ht="15.75" customHeight="1">
      <c r="A259" s="24" t="s">
        <v>418</v>
      </c>
      <c r="B259" s="8">
        <f t="shared" si="1"/>
        <v>2</v>
      </c>
      <c r="C259" s="8"/>
      <c r="D259" s="8"/>
      <c r="E259" s="8"/>
      <c r="F259" s="8"/>
      <c r="G259" s="8"/>
      <c r="H259" s="8"/>
      <c r="I259" s="8"/>
      <c r="J259" s="8"/>
      <c r="K259" s="21">
        <v>2.0</v>
      </c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  <c r="AE259" s="8"/>
      <c r="AF259" s="8"/>
      <c r="AG259" s="8"/>
      <c r="AH259" s="8"/>
      <c r="AI259" s="8"/>
      <c r="AJ259" s="8"/>
      <c r="AK259" s="8"/>
      <c r="AL259" s="8"/>
      <c r="AM259" s="8"/>
      <c r="AN259" s="8"/>
      <c r="AO259" s="8"/>
      <c r="AP259" s="8"/>
      <c r="AQ259" s="8"/>
      <c r="AR259" s="8"/>
      <c r="AS259" s="8"/>
      <c r="AT259" s="8"/>
    </row>
    <row r="260" ht="15.75" customHeight="1">
      <c r="A260" s="24" t="s">
        <v>419</v>
      </c>
      <c r="B260" s="8">
        <f t="shared" si="1"/>
        <v>2</v>
      </c>
      <c r="C260" s="8"/>
      <c r="D260" s="8"/>
      <c r="E260" s="8"/>
      <c r="F260" s="8"/>
      <c r="G260" s="8"/>
      <c r="H260" s="8"/>
      <c r="I260" s="8"/>
      <c r="J260" s="8"/>
      <c r="K260" s="21">
        <v>2.0</v>
      </c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  <c r="AE260" s="8"/>
      <c r="AF260" s="8"/>
      <c r="AG260" s="8"/>
      <c r="AH260" s="8"/>
      <c r="AI260" s="8"/>
      <c r="AJ260" s="8"/>
      <c r="AK260" s="8"/>
      <c r="AL260" s="8"/>
      <c r="AM260" s="8"/>
      <c r="AN260" s="8"/>
      <c r="AO260" s="8"/>
      <c r="AP260" s="8"/>
      <c r="AQ260" s="8"/>
      <c r="AR260" s="8"/>
      <c r="AS260" s="8"/>
      <c r="AT260" s="8"/>
    </row>
    <row r="261" ht="15.75" customHeight="1">
      <c r="A261" s="24" t="s">
        <v>420</v>
      </c>
      <c r="B261" s="8">
        <f t="shared" si="1"/>
        <v>4</v>
      </c>
      <c r="C261" s="8"/>
      <c r="D261" s="8"/>
      <c r="E261" s="8"/>
      <c r="F261" s="8"/>
      <c r="G261" s="8"/>
      <c r="H261" s="8"/>
      <c r="I261" s="8"/>
      <c r="J261" s="8"/>
      <c r="K261" s="21">
        <v>2.0</v>
      </c>
      <c r="L261" s="8"/>
      <c r="M261" s="8"/>
      <c r="N261" s="20">
        <v>2.0</v>
      </c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  <c r="AE261" s="8"/>
      <c r="AF261" s="8"/>
      <c r="AG261" s="8"/>
      <c r="AH261" s="8"/>
      <c r="AI261" s="8"/>
      <c r="AJ261" s="8"/>
      <c r="AK261" s="8"/>
      <c r="AL261" s="8"/>
      <c r="AM261" s="8"/>
      <c r="AN261" s="8"/>
      <c r="AO261" s="8"/>
      <c r="AP261" s="8"/>
      <c r="AQ261" s="8"/>
      <c r="AR261" s="8"/>
      <c r="AS261" s="8"/>
      <c r="AT261" s="8"/>
    </row>
    <row r="262" ht="15.75" customHeight="1">
      <c r="A262" s="24" t="s">
        <v>421</v>
      </c>
      <c r="B262" s="8">
        <f t="shared" si="1"/>
        <v>3.5</v>
      </c>
      <c r="C262" s="8"/>
      <c r="D262" s="8"/>
      <c r="E262" s="8"/>
      <c r="F262" s="8"/>
      <c r="G262" s="8"/>
      <c r="H262" s="8"/>
      <c r="I262" s="8"/>
      <c r="J262" s="8"/>
      <c r="K262" s="21">
        <v>2.0</v>
      </c>
      <c r="L262" s="8"/>
      <c r="M262" s="8"/>
      <c r="N262" s="8"/>
      <c r="O262" s="8"/>
      <c r="P262" s="8"/>
      <c r="Q262" s="20">
        <v>1.5</v>
      </c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  <c r="AE262" s="8"/>
      <c r="AF262" s="8"/>
      <c r="AG262" s="8"/>
      <c r="AH262" s="8"/>
      <c r="AI262" s="8"/>
      <c r="AJ262" s="8"/>
      <c r="AK262" s="8"/>
      <c r="AL262" s="8"/>
      <c r="AM262" s="8"/>
      <c r="AN262" s="8"/>
      <c r="AO262" s="8"/>
      <c r="AP262" s="8"/>
      <c r="AQ262" s="8"/>
      <c r="AR262" s="8"/>
      <c r="AS262" s="8"/>
      <c r="AT262" s="8"/>
    </row>
    <row r="263" ht="15.75" customHeight="1">
      <c r="A263" s="24" t="s">
        <v>422</v>
      </c>
      <c r="B263" s="8">
        <f t="shared" si="1"/>
        <v>1.75</v>
      </c>
      <c r="C263" s="8"/>
      <c r="D263" s="8"/>
      <c r="E263" s="8"/>
      <c r="F263" s="8"/>
      <c r="G263" s="8"/>
      <c r="H263" s="8"/>
      <c r="I263" s="8"/>
      <c r="J263" s="8"/>
      <c r="K263" s="21">
        <v>1.75</v>
      </c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  <c r="AE263" s="8"/>
      <c r="AF263" s="8"/>
      <c r="AG263" s="8"/>
      <c r="AH263" s="8"/>
      <c r="AI263" s="8"/>
      <c r="AJ263" s="8"/>
      <c r="AK263" s="8"/>
      <c r="AL263" s="8"/>
      <c r="AM263" s="8"/>
      <c r="AN263" s="8"/>
      <c r="AO263" s="8"/>
      <c r="AP263" s="8"/>
      <c r="AQ263" s="8"/>
      <c r="AR263" s="8"/>
      <c r="AS263" s="8"/>
      <c r="AT263" s="8"/>
    </row>
    <row r="264" ht="15.75" customHeight="1">
      <c r="A264" s="24" t="s">
        <v>423</v>
      </c>
      <c r="B264" s="8">
        <f t="shared" si="1"/>
        <v>1.75</v>
      </c>
      <c r="C264" s="8"/>
      <c r="D264" s="8"/>
      <c r="E264" s="8"/>
      <c r="F264" s="8"/>
      <c r="G264" s="8"/>
      <c r="H264" s="8"/>
      <c r="I264" s="8"/>
      <c r="J264" s="8"/>
      <c r="K264" s="21">
        <v>1.75</v>
      </c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  <c r="AE264" s="8"/>
      <c r="AF264" s="8"/>
      <c r="AG264" s="8"/>
      <c r="AH264" s="8"/>
      <c r="AI264" s="8"/>
      <c r="AJ264" s="8"/>
      <c r="AK264" s="8"/>
      <c r="AL264" s="8"/>
      <c r="AM264" s="8"/>
      <c r="AN264" s="8"/>
      <c r="AO264" s="8"/>
      <c r="AP264" s="8"/>
      <c r="AQ264" s="8"/>
      <c r="AR264" s="8"/>
      <c r="AS264" s="8"/>
      <c r="AT264" s="8"/>
    </row>
    <row r="265" ht="15.75" customHeight="1">
      <c r="A265" s="24" t="s">
        <v>424</v>
      </c>
      <c r="B265" s="8">
        <f t="shared" si="1"/>
        <v>2</v>
      </c>
      <c r="C265" s="8"/>
      <c r="D265" s="8"/>
      <c r="E265" s="8"/>
      <c r="F265" s="8"/>
      <c r="G265" s="8"/>
      <c r="H265" s="8"/>
      <c r="I265" s="8"/>
      <c r="J265" s="8"/>
      <c r="K265" s="21">
        <v>2.0</v>
      </c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  <c r="AE265" s="8"/>
      <c r="AF265" s="8"/>
      <c r="AG265" s="8"/>
      <c r="AH265" s="8"/>
      <c r="AI265" s="8"/>
      <c r="AJ265" s="8"/>
      <c r="AK265" s="8"/>
      <c r="AL265" s="8"/>
      <c r="AM265" s="8"/>
      <c r="AN265" s="8"/>
      <c r="AO265" s="8"/>
      <c r="AP265" s="8"/>
      <c r="AQ265" s="8"/>
      <c r="AR265" s="8"/>
      <c r="AS265" s="8"/>
      <c r="AT265" s="8"/>
    </row>
    <row r="266" ht="15.75" customHeight="1">
      <c r="A266" s="24" t="s">
        <v>425</v>
      </c>
      <c r="B266" s="8">
        <f t="shared" si="1"/>
        <v>2</v>
      </c>
      <c r="C266" s="8"/>
      <c r="D266" s="8"/>
      <c r="E266" s="8"/>
      <c r="F266" s="8"/>
      <c r="G266" s="8"/>
      <c r="H266" s="8"/>
      <c r="I266" s="8"/>
      <c r="J266" s="8"/>
      <c r="K266" s="21">
        <v>2.0</v>
      </c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  <c r="AE266" s="8"/>
      <c r="AF266" s="8"/>
      <c r="AG266" s="8"/>
      <c r="AH266" s="8"/>
      <c r="AI266" s="8"/>
      <c r="AJ266" s="8"/>
      <c r="AK266" s="8"/>
      <c r="AL266" s="8"/>
      <c r="AM266" s="8"/>
      <c r="AN266" s="8"/>
      <c r="AO266" s="8"/>
      <c r="AP266" s="8"/>
      <c r="AQ266" s="8"/>
      <c r="AR266" s="8"/>
      <c r="AS266" s="8"/>
      <c r="AT266" s="8"/>
    </row>
    <row r="267" ht="15.75" customHeight="1">
      <c r="A267" s="24" t="s">
        <v>426</v>
      </c>
      <c r="B267" s="8">
        <f t="shared" si="1"/>
        <v>2</v>
      </c>
      <c r="C267" s="8"/>
      <c r="D267" s="8"/>
      <c r="E267" s="8"/>
      <c r="F267" s="8"/>
      <c r="G267" s="8"/>
      <c r="H267" s="8"/>
      <c r="I267" s="8"/>
      <c r="J267" s="8"/>
      <c r="K267" s="21">
        <v>2.0</v>
      </c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  <c r="AE267" s="8"/>
      <c r="AF267" s="8"/>
      <c r="AG267" s="8"/>
      <c r="AH267" s="8"/>
      <c r="AI267" s="8"/>
      <c r="AJ267" s="8"/>
      <c r="AK267" s="8"/>
      <c r="AL267" s="8"/>
      <c r="AM267" s="8"/>
      <c r="AN267" s="8"/>
      <c r="AO267" s="8"/>
      <c r="AP267" s="8"/>
      <c r="AQ267" s="8"/>
      <c r="AR267" s="8"/>
      <c r="AS267" s="8"/>
      <c r="AT267" s="8"/>
    </row>
    <row r="268" ht="15.75" customHeight="1">
      <c r="A268" s="24" t="s">
        <v>427</v>
      </c>
      <c r="B268" s="8">
        <f t="shared" si="1"/>
        <v>2</v>
      </c>
      <c r="C268" s="8"/>
      <c r="D268" s="8"/>
      <c r="E268" s="8"/>
      <c r="F268" s="8"/>
      <c r="G268" s="8"/>
      <c r="H268" s="8"/>
      <c r="I268" s="8"/>
      <c r="J268" s="8"/>
      <c r="K268" s="21">
        <v>2.0</v>
      </c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  <c r="AE268" s="8"/>
      <c r="AF268" s="8"/>
      <c r="AG268" s="8"/>
      <c r="AH268" s="8"/>
      <c r="AI268" s="8"/>
      <c r="AJ268" s="8"/>
      <c r="AK268" s="8"/>
      <c r="AL268" s="8"/>
      <c r="AM268" s="8"/>
      <c r="AN268" s="8"/>
      <c r="AO268" s="8"/>
      <c r="AP268" s="8"/>
      <c r="AQ268" s="8"/>
      <c r="AR268" s="8"/>
      <c r="AS268" s="8"/>
      <c r="AT268" s="8"/>
    </row>
    <row r="269" ht="15.75" customHeight="1">
      <c r="A269" s="24" t="s">
        <v>428</v>
      </c>
      <c r="B269" s="8">
        <f t="shared" si="1"/>
        <v>2</v>
      </c>
      <c r="C269" s="8"/>
      <c r="D269" s="8"/>
      <c r="E269" s="8"/>
      <c r="F269" s="8"/>
      <c r="G269" s="8"/>
      <c r="H269" s="8"/>
      <c r="I269" s="8"/>
      <c r="J269" s="8"/>
      <c r="K269" s="21">
        <v>2.0</v>
      </c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  <c r="AE269" s="8"/>
      <c r="AF269" s="8"/>
      <c r="AG269" s="8"/>
      <c r="AH269" s="8"/>
      <c r="AI269" s="8"/>
      <c r="AJ269" s="8"/>
      <c r="AK269" s="8"/>
      <c r="AL269" s="8"/>
      <c r="AM269" s="8"/>
      <c r="AN269" s="8"/>
      <c r="AO269" s="8"/>
      <c r="AP269" s="8"/>
      <c r="AQ269" s="8"/>
      <c r="AR269" s="8"/>
      <c r="AS269" s="8"/>
      <c r="AT269" s="8"/>
    </row>
    <row r="270" ht="15.75" customHeight="1">
      <c r="A270" s="24" t="s">
        <v>429</v>
      </c>
      <c r="B270" s="8">
        <f t="shared" si="1"/>
        <v>2</v>
      </c>
      <c r="C270" s="8"/>
      <c r="D270" s="8"/>
      <c r="E270" s="8"/>
      <c r="F270" s="8"/>
      <c r="G270" s="8"/>
      <c r="H270" s="8"/>
      <c r="I270" s="8"/>
      <c r="J270" s="8"/>
      <c r="K270" s="21">
        <v>2.0</v>
      </c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  <c r="AE270" s="8"/>
      <c r="AF270" s="8"/>
      <c r="AG270" s="8"/>
      <c r="AH270" s="8"/>
      <c r="AI270" s="8"/>
      <c r="AJ270" s="8"/>
      <c r="AK270" s="8"/>
      <c r="AL270" s="8"/>
      <c r="AM270" s="8"/>
      <c r="AN270" s="8"/>
      <c r="AO270" s="8"/>
      <c r="AP270" s="8"/>
      <c r="AQ270" s="8"/>
      <c r="AR270" s="8"/>
      <c r="AS270" s="8"/>
      <c r="AT270" s="8"/>
    </row>
    <row r="271" ht="15.75" customHeight="1">
      <c r="A271" s="24" t="s">
        <v>430</v>
      </c>
      <c r="B271" s="8">
        <f t="shared" si="1"/>
        <v>2</v>
      </c>
      <c r="C271" s="8"/>
      <c r="D271" s="8"/>
      <c r="E271" s="8"/>
      <c r="F271" s="8"/>
      <c r="G271" s="8"/>
      <c r="H271" s="8"/>
      <c r="I271" s="8"/>
      <c r="J271" s="8"/>
      <c r="K271" s="21">
        <v>2.0</v>
      </c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  <c r="AE271" s="8"/>
      <c r="AF271" s="8"/>
      <c r="AG271" s="8"/>
      <c r="AH271" s="8"/>
      <c r="AI271" s="8"/>
      <c r="AJ271" s="8"/>
      <c r="AK271" s="8"/>
      <c r="AL271" s="8"/>
      <c r="AM271" s="8"/>
      <c r="AN271" s="8"/>
      <c r="AO271" s="8"/>
      <c r="AP271" s="8"/>
      <c r="AQ271" s="8"/>
      <c r="AR271" s="8"/>
      <c r="AS271" s="8"/>
      <c r="AT271" s="8"/>
    </row>
    <row r="272" ht="15.75" customHeight="1">
      <c r="A272" s="23" t="s">
        <v>431</v>
      </c>
      <c r="B272" s="8">
        <f t="shared" si="1"/>
        <v>1.75</v>
      </c>
      <c r="C272" s="8"/>
      <c r="D272" s="8"/>
      <c r="E272" s="8"/>
      <c r="F272" s="8"/>
      <c r="G272" s="8"/>
      <c r="H272" s="8"/>
      <c r="I272" s="8"/>
      <c r="J272" s="8"/>
      <c r="K272" s="8"/>
      <c r="L272" s="20">
        <v>1.75</v>
      </c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  <c r="AE272" s="8"/>
      <c r="AF272" s="8"/>
      <c r="AG272" s="8"/>
      <c r="AH272" s="8"/>
      <c r="AI272" s="8"/>
      <c r="AJ272" s="8"/>
      <c r="AK272" s="8"/>
      <c r="AL272" s="8"/>
      <c r="AM272" s="8"/>
      <c r="AN272" s="8"/>
      <c r="AO272" s="8"/>
      <c r="AP272" s="8"/>
      <c r="AQ272" s="8"/>
      <c r="AR272" s="8"/>
      <c r="AS272" s="8"/>
      <c r="AT272" s="8"/>
    </row>
    <row r="273" ht="15.75" customHeight="1">
      <c r="A273" s="23" t="s">
        <v>432</v>
      </c>
      <c r="B273" s="8">
        <f t="shared" si="1"/>
        <v>2</v>
      </c>
      <c r="C273" s="8"/>
      <c r="D273" s="8"/>
      <c r="E273" s="8"/>
      <c r="F273" s="8"/>
      <c r="G273" s="8"/>
      <c r="H273" s="8"/>
      <c r="I273" s="8"/>
      <c r="J273" s="8"/>
      <c r="K273" s="8"/>
      <c r="L273" s="20">
        <v>2.0</v>
      </c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  <c r="AE273" s="8"/>
      <c r="AF273" s="8"/>
      <c r="AG273" s="8"/>
      <c r="AH273" s="8"/>
      <c r="AI273" s="8"/>
      <c r="AJ273" s="8"/>
      <c r="AK273" s="8"/>
      <c r="AL273" s="8"/>
      <c r="AM273" s="8"/>
      <c r="AN273" s="8"/>
      <c r="AO273" s="8"/>
      <c r="AP273" s="8"/>
      <c r="AQ273" s="8"/>
      <c r="AR273" s="8"/>
      <c r="AS273" s="8"/>
      <c r="AT273" s="8"/>
    </row>
    <row r="274" ht="15.75" customHeight="1">
      <c r="A274" s="23" t="s">
        <v>264</v>
      </c>
      <c r="B274" s="8">
        <f t="shared" si="1"/>
        <v>3.5</v>
      </c>
      <c r="C274" s="8"/>
      <c r="D274" s="8"/>
      <c r="E274" s="8"/>
      <c r="F274" s="8"/>
      <c r="G274" s="8"/>
      <c r="H274" s="8"/>
      <c r="I274" s="8"/>
      <c r="J274" s="8"/>
      <c r="K274" s="8"/>
      <c r="L274" s="20">
        <v>1.75</v>
      </c>
      <c r="M274" s="8"/>
      <c r="N274" s="20">
        <v>1.75</v>
      </c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  <c r="AE274" s="8"/>
      <c r="AF274" s="8"/>
      <c r="AG274" s="8"/>
      <c r="AH274" s="8"/>
      <c r="AI274" s="8"/>
      <c r="AJ274" s="8"/>
      <c r="AK274" s="8"/>
      <c r="AL274" s="8"/>
      <c r="AM274" s="8"/>
      <c r="AN274" s="8"/>
      <c r="AO274" s="8"/>
      <c r="AP274" s="8"/>
      <c r="AQ274" s="8"/>
      <c r="AR274" s="8"/>
      <c r="AS274" s="8"/>
      <c r="AT274" s="8"/>
    </row>
    <row r="275" ht="15.75" customHeight="1">
      <c r="A275" s="23" t="s">
        <v>433</v>
      </c>
      <c r="B275" s="8">
        <f t="shared" si="1"/>
        <v>1</v>
      </c>
      <c r="C275" s="8"/>
      <c r="D275" s="8"/>
      <c r="E275" s="8"/>
      <c r="F275" s="8"/>
      <c r="G275" s="8"/>
      <c r="H275" s="8"/>
      <c r="I275" s="8"/>
      <c r="J275" s="8"/>
      <c r="K275" s="8"/>
      <c r="L275" s="20">
        <v>1.0</v>
      </c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  <c r="AE275" s="8"/>
      <c r="AF275" s="8"/>
      <c r="AG275" s="8"/>
      <c r="AH275" s="8"/>
      <c r="AI275" s="8"/>
      <c r="AJ275" s="8"/>
      <c r="AK275" s="8"/>
      <c r="AL275" s="8"/>
      <c r="AM275" s="8"/>
      <c r="AN275" s="8"/>
      <c r="AO275" s="8"/>
      <c r="AP275" s="8"/>
      <c r="AQ275" s="8"/>
      <c r="AR275" s="8"/>
      <c r="AS275" s="8"/>
      <c r="AT275" s="8"/>
    </row>
    <row r="276" ht="15.75" customHeight="1">
      <c r="A276" s="23" t="s">
        <v>434</v>
      </c>
      <c r="B276" s="8">
        <f t="shared" si="1"/>
        <v>2</v>
      </c>
      <c r="C276" s="8"/>
      <c r="D276" s="8"/>
      <c r="E276" s="8"/>
      <c r="F276" s="8"/>
      <c r="G276" s="8"/>
      <c r="H276" s="8"/>
      <c r="I276" s="8"/>
      <c r="J276" s="8"/>
      <c r="K276" s="8"/>
      <c r="L276" s="20">
        <v>2.0</v>
      </c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  <c r="AE276" s="8"/>
      <c r="AF276" s="8"/>
      <c r="AG276" s="8"/>
      <c r="AH276" s="8"/>
      <c r="AI276" s="8"/>
      <c r="AJ276" s="8"/>
      <c r="AK276" s="8"/>
      <c r="AL276" s="8"/>
      <c r="AM276" s="8"/>
      <c r="AN276" s="8"/>
      <c r="AO276" s="8"/>
      <c r="AP276" s="8"/>
      <c r="AQ276" s="8"/>
      <c r="AR276" s="8"/>
      <c r="AS276" s="8"/>
      <c r="AT276" s="8"/>
    </row>
    <row r="277" ht="15.75" customHeight="1">
      <c r="A277" s="23" t="s">
        <v>288</v>
      </c>
      <c r="B277" s="8">
        <f t="shared" si="1"/>
        <v>5.5</v>
      </c>
      <c r="C277" s="8"/>
      <c r="D277" s="8"/>
      <c r="E277" s="8"/>
      <c r="F277" s="8"/>
      <c r="G277" s="8"/>
      <c r="H277" s="8"/>
      <c r="I277" s="8"/>
      <c r="J277" s="8"/>
      <c r="K277" s="8"/>
      <c r="L277" s="20">
        <v>2.0</v>
      </c>
      <c r="M277" s="8"/>
      <c r="N277" s="20">
        <v>2.0</v>
      </c>
      <c r="O277" s="8"/>
      <c r="P277" s="20">
        <v>1.5</v>
      </c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  <c r="AE277" s="8"/>
      <c r="AF277" s="8"/>
      <c r="AG277" s="8"/>
      <c r="AH277" s="8"/>
      <c r="AI277" s="8"/>
      <c r="AJ277" s="8"/>
      <c r="AK277" s="8"/>
      <c r="AL277" s="8"/>
      <c r="AM277" s="8"/>
      <c r="AN277" s="8"/>
      <c r="AO277" s="8"/>
      <c r="AP277" s="8"/>
      <c r="AQ277" s="8"/>
      <c r="AR277" s="8"/>
      <c r="AS277" s="8"/>
      <c r="AT277" s="8"/>
    </row>
    <row r="278" ht="15.75" customHeight="1">
      <c r="A278" s="23" t="s">
        <v>435</v>
      </c>
      <c r="B278" s="8">
        <f t="shared" si="1"/>
        <v>2</v>
      </c>
      <c r="C278" s="8"/>
      <c r="D278" s="8"/>
      <c r="E278" s="8"/>
      <c r="F278" s="8"/>
      <c r="G278" s="8"/>
      <c r="H278" s="8"/>
      <c r="I278" s="8"/>
      <c r="J278" s="8"/>
      <c r="K278" s="8"/>
      <c r="L278" s="20">
        <v>2.0</v>
      </c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  <c r="AE278" s="8"/>
      <c r="AF278" s="8"/>
      <c r="AG278" s="8"/>
      <c r="AH278" s="8"/>
      <c r="AI278" s="8"/>
      <c r="AJ278" s="8"/>
      <c r="AK278" s="8"/>
      <c r="AL278" s="8"/>
      <c r="AM278" s="8"/>
      <c r="AN278" s="8"/>
      <c r="AO278" s="8"/>
      <c r="AP278" s="8"/>
      <c r="AQ278" s="8"/>
      <c r="AR278" s="8"/>
      <c r="AS278" s="8"/>
      <c r="AT278" s="8"/>
    </row>
    <row r="279" ht="15.75" customHeight="1">
      <c r="A279" s="23" t="s">
        <v>301</v>
      </c>
      <c r="B279" s="8">
        <f t="shared" si="1"/>
        <v>2</v>
      </c>
      <c r="C279" s="8"/>
      <c r="D279" s="8"/>
      <c r="E279" s="8"/>
      <c r="F279" s="8"/>
      <c r="G279" s="8"/>
      <c r="H279" s="8"/>
      <c r="I279" s="8"/>
      <c r="J279" s="8"/>
      <c r="K279" s="8"/>
      <c r="L279" s="20">
        <v>2.0</v>
      </c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  <c r="AE279" s="8"/>
      <c r="AF279" s="8"/>
      <c r="AG279" s="8"/>
      <c r="AH279" s="8"/>
      <c r="AI279" s="8"/>
      <c r="AJ279" s="8"/>
      <c r="AK279" s="8"/>
      <c r="AL279" s="8"/>
      <c r="AM279" s="8"/>
      <c r="AN279" s="8"/>
      <c r="AO279" s="8"/>
      <c r="AP279" s="8"/>
      <c r="AQ279" s="8"/>
      <c r="AR279" s="8"/>
      <c r="AS279" s="8"/>
      <c r="AT279" s="8"/>
    </row>
    <row r="280" ht="15.75" customHeight="1">
      <c r="A280" s="23" t="s">
        <v>436</v>
      </c>
      <c r="B280" s="8">
        <f t="shared" si="1"/>
        <v>1.75</v>
      </c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20">
        <v>1.75</v>
      </c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  <c r="AE280" s="8"/>
      <c r="AF280" s="8"/>
      <c r="AG280" s="8"/>
      <c r="AH280" s="8"/>
      <c r="AI280" s="8"/>
      <c r="AJ280" s="8"/>
      <c r="AK280" s="8"/>
      <c r="AL280" s="8"/>
      <c r="AM280" s="8"/>
      <c r="AN280" s="8"/>
      <c r="AO280" s="8"/>
      <c r="AP280" s="8"/>
      <c r="AQ280" s="8"/>
      <c r="AR280" s="8"/>
      <c r="AS280" s="8"/>
      <c r="AT280" s="8"/>
    </row>
    <row r="281" ht="15.75" customHeight="1">
      <c r="A281" s="23" t="s">
        <v>437</v>
      </c>
      <c r="B281" s="8">
        <f t="shared" si="1"/>
        <v>1.75</v>
      </c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20">
        <v>1.75</v>
      </c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  <c r="AE281" s="8"/>
      <c r="AF281" s="8"/>
      <c r="AG281" s="8"/>
      <c r="AH281" s="8"/>
      <c r="AI281" s="8"/>
      <c r="AJ281" s="8"/>
      <c r="AK281" s="8"/>
      <c r="AL281" s="8"/>
      <c r="AM281" s="8"/>
      <c r="AN281" s="8"/>
      <c r="AO281" s="8"/>
      <c r="AP281" s="8"/>
      <c r="AQ281" s="8"/>
      <c r="AR281" s="8"/>
      <c r="AS281" s="8"/>
      <c r="AT281" s="8"/>
    </row>
    <row r="282" ht="15.75" customHeight="1">
      <c r="A282" s="23" t="s">
        <v>258</v>
      </c>
      <c r="B282" s="8">
        <f t="shared" si="1"/>
        <v>5</v>
      </c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20">
        <v>1.75</v>
      </c>
      <c r="N282" s="20">
        <v>1.5</v>
      </c>
      <c r="O282" s="20">
        <v>1.75</v>
      </c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  <c r="AE282" s="8"/>
      <c r="AF282" s="8"/>
      <c r="AG282" s="8"/>
      <c r="AH282" s="8"/>
      <c r="AI282" s="8"/>
      <c r="AJ282" s="8"/>
      <c r="AK282" s="8"/>
      <c r="AL282" s="8"/>
      <c r="AM282" s="8"/>
      <c r="AN282" s="8"/>
      <c r="AO282" s="8"/>
      <c r="AP282" s="8"/>
      <c r="AQ282" s="8"/>
      <c r="AR282" s="8"/>
      <c r="AS282" s="8"/>
      <c r="AT282" s="8"/>
    </row>
    <row r="283" ht="15.75" customHeight="1">
      <c r="A283" s="23" t="s">
        <v>438</v>
      </c>
      <c r="B283" s="8">
        <f t="shared" si="1"/>
        <v>1.75</v>
      </c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20">
        <v>1.75</v>
      </c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  <c r="AE283" s="8"/>
      <c r="AF283" s="8"/>
      <c r="AG283" s="8"/>
      <c r="AH283" s="8"/>
      <c r="AI283" s="8"/>
      <c r="AJ283" s="8"/>
      <c r="AK283" s="8"/>
      <c r="AL283" s="8"/>
      <c r="AM283" s="8"/>
      <c r="AN283" s="8"/>
      <c r="AO283" s="8"/>
      <c r="AP283" s="8"/>
      <c r="AQ283" s="8"/>
      <c r="AR283" s="8"/>
      <c r="AS283" s="8"/>
      <c r="AT283" s="8"/>
    </row>
    <row r="284" ht="15.75" customHeight="1">
      <c r="A284" s="23" t="s">
        <v>439</v>
      </c>
      <c r="B284" s="8">
        <f t="shared" si="1"/>
        <v>1.75</v>
      </c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20">
        <v>1.75</v>
      </c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  <c r="AE284" s="8"/>
      <c r="AF284" s="8"/>
      <c r="AG284" s="8"/>
      <c r="AH284" s="8"/>
      <c r="AI284" s="8"/>
      <c r="AJ284" s="8"/>
      <c r="AK284" s="8"/>
      <c r="AL284" s="8"/>
      <c r="AM284" s="8"/>
      <c r="AN284" s="8"/>
      <c r="AO284" s="8"/>
      <c r="AP284" s="8"/>
      <c r="AQ284" s="8"/>
      <c r="AR284" s="8"/>
      <c r="AS284" s="8"/>
      <c r="AT284" s="8"/>
    </row>
    <row r="285" ht="15.75" customHeight="1">
      <c r="A285" s="23" t="s">
        <v>273</v>
      </c>
      <c r="B285" s="8">
        <f t="shared" si="1"/>
        <v>1.75</v>
      </c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20">
        <v>1.75</v>
      </c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  <c r="AE285" s="8"/>
      <c r="AF285" s="8"/>
      <c r="AG285" s="8"/>
      <c r="AH285" s="8"/>
      <c r="AI285" s="8"/>
      <c r="AJ285" s="8"/>
      <c r="AK285" s="8"/>
      <c r="AL285" s="8"/>
      <c r="AM285" s="8"/>
      <c r="AN285" s="8"/>
      <c r="AO285" s="8"/>
      <c r="AP285" s="8"/>
      <c r="AQ285" s="8"/>
      <c r="AR285" s="8"/>
      <c r="AS285" s="8"/>
      <c r="AT285" s="8"/>
    </row>
    <row r="286" ht="15.75" customHeight="1">
      <c r="A286" s="23" t="s">
        <v>440</v>
      </c>
      <c r="B286" s="8">
        <f t="shared" si="1"/>
        <v>2</v>
      </c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20">
        <v>2.0</v>
      </c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  <c r="AE286" s="8"/>
      <c r="AF286" s="8"/>
      <c r="AG286" s="8"/>
      <c r="AH286" s="8"/>
      <c r="AI286" s="8"/>
      <c r="AJ286" s="8"/>
      <c r="AK286" s="8"/>
      <c r="AL286" s="8"/>
      <c r="AM286" s="8"/>
      <c r="AN286" s="8"/>
      <c r="AO286" s="8"/>
      <c r="AP286" s="8"/>
      <c r="AQ286" s="8"/>
      <c r="AR286" s="8"/>
      <c r="AS286" s="8"/>
      <c r="AT286" s="8"/>
    </row>
    <row r="287" ht="15.75" customHeight="1">
      <c r="A287" s="23" t="s">
        <v>441</v>
      </c>
      <c r="B287" s="8">
        <f t="shared" si="1"/>
        <v>2</v>
      </c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20">
        <v>2.0</v>
      </c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  <c r="AE287" s="8"/>
      <c r="AF287" s="8"/>
      <c r="AG287" s="8"/>
      <c r="AH287" s="8"/>
      <c r="AI287" s="8"/>
      <c r="AJ287" s="8"/>
      <c r="AK287" s="8"/>
      <c r="AL287" s="8"/>
      <c r="AM287" s="8"/>
      <c r="AN287" s="8"/>
      <c r="AO287" s="8"/>
      <c r="AP287" s="8"/>
      <c r="AQ287" s="8"/>
      <c r="AR287" s="8"/>
      <c r="AS287" s="8"/>
      <c r="AT287" s="8"/>
    </row>
    <row r="288" ht="15.75" customHeight="1">
      <c r="A288" s="23" t="s">
        <v>442</v>
      </c>
      <c r="B288" s="8">
        <f t="shared" si="1"/>
        <v>2</v>
      </c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20">
        <v>2.0</v>
      </c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  <c r="AE288" s="8"/>
      <c r="AF288" s="8"/>
      <c r="AG288" s="8"/>
      <c r="AH288" s="8"/>
      <c r="AI288" s="8"/>
      <c r="AJ288" s="8"/>
      <c r="AK288" s="8"/>
      <c r="AL288" s="8"/>
      <c r="AM288" s="8"/>
      <c r="AN288" s="8"/>
      <c r="AO288" s="8"/>
      <c r="AP288" s="8"/>
      <c r="AQ288" s="8"/>
      <c r="AR288" s="8"/>
      <c r="AS288" s="8"/>
      <c r="AT288" s="8"/>
    </row>
    <row r="289" ht="15.75" customHeight="1">
      <c r="A289" s="23" t="s">
        <v>443</v>
      </c>
      <c r="B289" s="8">
        <f t="shared" si="1"/>
        <v>1.75</v>
      </c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20">
        <v>1.75</v>
      </c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  <c r="AE289" s="8"/>
      <c r="AF289" s="8"/>
      <c r="AG289" s="8"/>
      <c r="AH289" s="8"/>
      <c r="AI289" s="8"/>
      <c r="AJ289" s="8"/>
      <c r="AK289" s="8"/>
      <c r="AL289" s="8"/>
      <c r="AM289" s="8"/>
      <c r="AN289" s="8"/>
      <c r="AO289" s="8"/>
      <c r="AP289" s="8"/>
      <c r="AQ289" s="8"/>
      <c r="AR289" s="8"/>
      <c r="AS289" s="8"/>
      <c r="AT289" s="8"/>
    </row>
    <row r="290" ht="15.75" customHeight="1">
      <c r="A290" s="23" t="s">
        <v>444</v>
      </c>
      <c r="B290" s="8">
        <f t="shared" si="1"/>
        <v>1.75</v>
      </c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20">
        <v>1.75</v>
      </c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  <c r="AE290" s="8"/>
      <c r="AF290" s="8"/>
      <c r="AG290" s="8"/>
      <c r="AH290" s="8"/>
      <c r="AI290" s="8"/>
      <c r="AJ290" s="8"/>
      <c r="AK290" s="8"/>
      <c r="AL290" s="8"/>
      <c r="AM290" s="8"/>
      <c r="AN290" s="8"/>
      <c r="AO290" s="8"/>
      <c r="AP290" s="8"/>
      <c r="AQ290" s="8"/>
      <c r="AR290" s="8"/>
      <c r="AS290" s="8"/>
      <c r="AT290" s="8"/>
    </row>
    <row r="291" ht="15.75" customHeight="1">
      <c r="A291" s="23" t="s">
        <v>445</v>
      </c>
      <c r="B291" s="8">
        <f t="shared" si="1"/>
        <v>1.75</v>
      </c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20">
        <v>1.75</v>
      </c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  <c r="AE291" s="8"/>
      <c r="AF291" s="8"/>
      <c r="AG291" s="8"/>
      <c r="AH291" s="8"/>
      <c r="AI291" s="8"/>
      <c r="AJ291" s="8"/>
      <c r="AK291" s="8"/>
      <c r="AL291" s="8"/>
      <c r="AM291" s="8"/>
      <c r="AN291" s="8"/>
      <c r="AO291" s="8"/>
      <c r="AP291" s="8"/>
      <c r="AQ291" s="8"/>
      <c r="AR291" s="8"/>
      <c r="AS291" s="8"/>
      <c r="AT291" s="8"/>
    </row>
    <row r="292" ht="15.75" customHeight="1">
      <c r="A292" s="23" t="s">
        <v>446</v>
      </c>
      <c r="B292" s="8">
        <f t="shared" si="1"/>
        <v>2</v>
      </c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20">
        <v>2.0</v>
      </c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  <c r="AE292" s="8"/>
      <c r="AF292" s="8"/>
      <c r="AG292" s="8"/>
      <c r="AH292" s="8"/>
      <c r="AI292" s="8"/>
      <c r="AJ292" s="8"/>
      <c r="AK292" s="8"/>
      <c r="AL292" s="8"/>
      <c r="AM292" s="8"/>
      <c r="AN292" s="8"/>
      <c r="AO292" s="8"/>
      <c r="AP292" s="8"/>
      <c r="AQ292" s="8"/>
      <c r="AR292" s="8"/>
      <c r="AS292" s="8"/>
      <c r="AT292" s="8"/>
    </row>
    <row r="293" ht="15.75" customHeight="1">
      <c r="A293" s="23" t="s">
        <v>284</v>
      </c>
      <c r="B293" s="8">
        <f t="shared" si="1"/>
        <v>1.75</v>
      </c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20">
        <v>1.75</v>
      </c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  <c r="AE293" s="8"/>
      <c r="AF293" s="8"/>
      <c r="AG293" s="8"/>
      <c r="AH293" s="8"/>
      <c r="AI293" s="8"/>
      <c r="AJ293" s="8"/>
      <c r="AK293" s="8"/>
      <c r="AL293" s="8"/>
      <c r="AM293" s="8"/>
      <c r="AN293" s="8"/>
      <c r="AO293" s="8"/>
      <c r="AP293" s="8"/>
      <c r="AQ293" s="8"/>
      <c r="AR293" s="8"/>
      <c r="AS293" s="8"/>
      <c r="AT293" s="8"/>
    </row>
    <row r="294" ht="15.75" customHeight="1">
      <c r="A294" s="23" t="s">
        <v>447</v>
      </c>
      <c r="B294" s="8">
        <f t="shared" si="1"/>
        <v>1.75</v>
      </c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20">
        <v>1.75</v>
      </c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  <c r="AE294" s="8"/>
      <c r="AF294" s="8"/>
      <c r="AG294" s="8"/>
      <c r="AH294" s="8"/>
      <c r="AI294" s="8"/>
      <c r="AJ294" s="8"/>
      <c r="AK294" s="8"/>
      <c r="AL294" s="8"/>
      <c r="AM294" s="8"/>
      <c r="AN294" s="8"/>
      <c r="AO294" s="8"/>
      <c r="AP294" s="8"/>
      <c r="AQ294" s="8"/>
      <c r="AR294" s="8"/>
      <c r="AS294" s="8"/>
      <c r="AT294" s="8"/>
    </row>
    <row r="295" ht="15.75" customHeight="1">
      <c r="A295" s="23" t="s">
        <v>448</v>
      </c>
      <c r="B295" s="8">
        <f t="shared" si="1"/>
        <v>2</v>
      </c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20">
        <v>2.0</v>
      </c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  <c r="AE295" s="8"/>
      <c r="AF295" s="8"/>
      <c r="AG295" s="8"/>
      <c r="AH295" s="8"/>
      <c r="AI295" s="8"/>
      <c r="AJ295" s="8"/>
      <c r="AK295" s="8"/>
      <c r="AL295" s="8"/>
      <c r="AM295" s="8"/>
      <c r="AN295" s="8"/>
      <c r="AO295" s="8"/>
      <c r="AP295" s="8"/>
      <c r="AQ295" s="8"/>
      <c r="AR295" s="8"/>
      <c r="AS295" s="8"/>
      <c r="AT295" s="8"/>
    </row>
    <row r="296" ht="15.75" customHeight="1">
      <c r="A296" s="23" t="s">
        <v>449</v>
      </c>
      <c r="B296" s="8">
        <f t="shared" si="1"/>
        <v>1.75</v>
      </c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20">
        <v>1.75</v>
      </c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  <c r="AE296" s="8"/>
      <c r="AF296" s="8"/>
      <c r="AG296" s="8"/>
      <c r="AH296" s="8"/>
      <c r="AI296" s="8"/>
      <c r="AJ296" s="8"/>
      <c r="AK296" s="8"/>
      <c r="AL296" s="8"/>
      <c r="AM296" s="8"/>
      <c r="AN296" s="8"/>
      <c r="AO296" s="8"/>
      <c r="AP296" s="8"/>
      <c r="AQ296" s="8"/>
      <c r="AR296" s="8"/>
      <c r="AS296" s="8"/>
      <c r="AT296" s="8"/>
    </row>
    <row r="297" ht="15.75" customHeight="1">
      <c r="A297" s="23" t="s">
        <v>450</v>
      </c>
      <c r="B297" s="8">
        <f t="shared" si="1"/>
        <v>1.25</v>
      </c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20">
        <v>1.25</v>
      </c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  <c r="AE297" s="8"/>
      <c r="AF297" s="8"/>
      <c r="AG297" s="8"/>
      <c r="AH297" s="8"/>
      <c r="AI297" s="8"/>
      <c r="AJ297" s="8"/>
      <c r="AK297" s="8"/>
      <c r="AL297" s="8"/>
      <c r="AM297" s="8"/>
      <c r="AN297" s="8"/>
      <c r="AO297" s="8"/>
      <c r="AP297" s="8"/>
      <c r="AQ297" s="8"/>
      <c r="AR297" s="8"/>
      <c r="AS297" s="8"/>
      <c r="AT297" s="8"/>
    </row>
    <row r="298" ht="15.75" customHeight="1">
      <c r="A298" s="23" t="s">
        <v>451</v>
      </c>
      <c r="B298" s="8">
        <f t="shared" si="1"/>
        <v>1.5</v>
      </c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20">
        <v>1.5</v>
      </c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  <c r="AE298" s="8"/>
      <c r="AF298" s="8"/>
      <c r="AG298" s="8"/>
      <c r="AH298" s="8"/>
      <c r="AI298" s="8"/>
      <c r="AJ298" s="8"/>
      <c r="AK298" s="8"/>
      <c r="AL298" s="8"/>
      <c r="AM298" s="8"/>
      <c r="AN298" s="8"/>
      <c r="AO298" s="8"/>
      <c r="AP298" s="8"/>
      <c r="AQ298" s="8"/>
      <c r="AR298" s="8"/>
      <c r="AS298" s="8"/>
      <c r="AT298" s="8"/>
    </row>
    <row r="299" ht="15.75" customHeight="1">
      <c r="A299" s="23" t="s">
        <v>452</v>
      </c>
      <c r="B299" s="8">
        <f t="shared" si="1"/>
        <v>1.5</v>
      </c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20">
        <v>1.5</v>
      </c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  <c r="AE299" s="8"/>
      <c r="AF299" s="8"/>
      <c r="AG299" s="8"/>
      <c r="AH299" s="8"/>
      <c r="AI299" s="8"/>
      <c r="AJ299" s="8"/>
      <c r="AK299" s="8"/>
      <c r="AL299" s="8"/>
      <c r="AM299" s="8"/>
      <c r="AN299" s="8"/>
      <c r="AO299" s="8"/>
      <c r="AP299" s="8"/>
      <c r="AQ299" s="8"/>
      <c r="AR299" s="8"/>
      <c r="AS299" s="8"/>
      <c r="AT299" s="8"/>
    </row>
    <row r="300" ht="15.75" customHeight="1">
      <c r="A300" s="23" t="s">
        <v>453</v>
      </c>
      <c r="B300" s="8">
        <f t="shared" si="1"/>
        <v>1.25</v>
      </c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20">
        <v>1.25</v>
      </c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  <c r="AE300" s="8"/>
      <c r="AF300" s="8"/>
      <c r="AG300" s="8"/>
      <c r="AH300" s="8"/>
      <c r="AI300" s="8"/>
      <c r="AJ300" s="8"/>
      <c r="AK300" s="8"/>
      <c r="AL300" s="8"/>
      <c r="AM300" s="8"/>
      <c r="AN300" s="8"/>
      <c r="AO300" s="8"/>
      <c r="AP300" s="8"/>
      <c r="AQ300" s="8"/>
      <c r="AR300" s="8"/>
      <c r="AS300" s="8"/>
      <c r="AT300" s="8"/>
    </row>
    <row r="301" ht="15.75" customHeight="1">
      <c r="A301" s="23" t="s">
        <v>454</v>
      </c>
      <c r="B301" s="8">
        <f t="shared" si="1"/>
        <v>1.25</v>
      </c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20">
        <v>1.25</v>
      </c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  <c r="AE301" s="8"/>
      <c r="AF301" s="8"/>
      <c r="AG301" s="8"/>
      <c r="AH301" s="8"/>
      <c r="AI301" s="8"/>
      <c r="AJ301" s="8"/>
      <c r="AK301" s="8"/>
      <c r="AL301" s="8"/>
      <c r="AM301" s="8"/>
      <c r="AN301" s="8"/>
      <c r="AO301" s="8"/>
      <c r="AP301" s="8"/>
      <c r="AQ301" s="8"/>
      <c r="AR301" s="8"/>
      <c r="AS301" s="8"/>
      <c r="AT301" s="8"/>
    </row>
    <row r="302" ht="15.75" customHeight="1">
      <c r="A302" s="23" t="s">
        <v>455</v>
      </c>
      <c r="B302" s="8">
        <f t="shared" si="1"/>
        <v>1.5</v>
      </c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20">
        <v>1.5</v>
      </c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  <c r="AE302" s="8"/>
      <c r="AF302" s="8"/>
      <c r="AG302" s="8"/>
      <c r="AH302" s="8"/>
      <c r="AI302" s="8"/>
      <c r="AJ302" s="8"/>
      <c r="AK302" s="8"/>
      <c r="AL302" s="8"/>
      <c r="AM302" s="8"/>
      <c r="AN302" s="8"/>
      <c r="AO302" s="8"/>
      <c r="AP302" s="8"/>
      <c r="AQ302" s="8"/>
      <c r="AR302" s="8"/>
      <c r="AS302" s="8"/>
      <c r="AT302" s="8"/>
    </row>
    <row r="303" ht="15.75" customHeight="1">
      <c r="A303" s="23" t="s">
        <v>456</v>
      </c>
      <c r="B303" s="8">
        <f t="shared" si="1"/>
        <v>1.5</v>
      </c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20">
        <v>1.5</v>
      </c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  <c r="AE303" s="8"/>
      <c r="AF303" s="8"/>
      <c r="AG303" s="8"/>
      <c r="AH303" s="8"/>
      <c r="AI303" s="8"/>
      <c r="AJ303" s="8"/>
      <c r="AK303" s="8"/>
      <c r="AL303" s="8"/>
      <c r="AM303" s="8"/>
      <c r="AN303" s="8"/>
      <c r="AO303" s="8"/>
      <c r="AP303" s="8"/>
      <c r="AQ303" s="8"/>
      <c r="AR303" s="8"/>
      <c r="AS303" s="8"/>
      <c r="AT303" s="8"/>
    </row>
    <row r="304" ht="15.75" customHeight="1">
      <c r="A304" s="23" t="s">
        <v>457</v>
      </c>
      <c r="B304" s="8">
        <f t="shared" si="1"/>
        <v>1.5</v>
      </c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20">
        <v>1.5</v>
      </c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  <c r="AE304" s="8"/>
      <c r="AF304" s="8"/>
      <c r="AG304" s="8"/>
      <c r="AH304" s="8"/>
      <c r="AI304" s="8"/>
      <c r="AJ304" s="8"/>
      <c r="AK304" s="8"/>
      <c r="AL304" s="8"/>
      <c r="AM304" s="8"/>
      <c r="AN304" s="8"/>
      <c r="AO304" s="8"/>
      <c r="AP304" s="8"/>
      <c r="AQ304" s="8"/>
      <c r="AR304" s="8"/>
      <c r="AS304" s="8"/>
      <c r="AT304" s="8"/>
    </row>
    <row r="305" ht="15.75" customHeight="1">
      <c r="A305" s="23" t="s">
        <v>458</v>
      </c>
      <c r="B305" s="8">
        <f t="shared" si="1"/>
        <v>1.5</v>
      </c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20">
        <v>1.5</v>
      </c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  <c r="AE305" s="8"/>
      <c r="AF305" s="8"/>
      <c r="AG305" s="8"/>
      <c r="AH305" s="8"/>
      <c r="AI305" s="8"/>
      <c r="AJ305" s="8"/>
      <c r="AK305" s="8"/>
      <c r="AL305" s="8"/>
      <c r="AM305" s="8"/>
      <c r="AN305" s="8"/>
      <c r="AO305" s="8"/>
      <c r="AP305" s="8"/>
      <c r="AQ305" s="8"/>
      <c r="AR305" s="8"/>
      <c r="AS305" s="8"/>
      <c r="AT305" s="8"/>
    </row>
    <row r="306" ht="15.75" customHeight="1">
      <c r="A306" s="23" t="s">
        <v>459</v>
      </c>
      <c r="B306" s="8">
        <f t="shared" si="1"/>
        <v>2</v>
      </c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20">
        <v>2.0</v>
      </c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  <c r="AE306" s="8"/>
      <c r="AF306" s="8"/>
      <c r="AG306" s="8"/>
      <c r="AH306" s="8"/>
      <c r="AI306" s="8"/>
      <c r="AJ306" s="8"/>
      <c r="AK306" s="8"/>
      <c r="AL306" s="8"/>
      <c r="AM306" s="8"/>
      <c r="AN306" s="8"/>
      <c r="AO306" s="8"/>
      <c r="AP306" s="8"/>
      <c r="AQ306" s="8"/>
      <c r="AR306" s="8"/>
      <c r="AS306" s="8"/>
      <c r="AT306" s="8"/>
    </row>
    <row r="307" ht="15.75" customHeight="1">
      <c r="A307" s="22"/>
      <c r="B307" s="8">
        <f t="shared" si="1"/>
        <v>0</v>
      </c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  <c r="AE307" s="8"/>
      <c r="AF307" s="8"/>
      <c r="AG307" s="8"/>
      <c r="AH307" s="8"/>
      <c r="AI307" s="8"/>
      <c r="AJ307" s="8"/>
      <c r="AK307" s="8"/>
      <c r="AL307" s="8"/>
      <c r="AM307" s="8"/>
      <c r="AN307" s="8"/>
      <c r="AO307" s="8"/>
      <c r="AP307" s="8"/>
      <c r="AQ307" s="8"/>
      <c r="AR307" s="8"/>
      <c r="AS307" s="8"/>
      <c r="AT307" s="8"/>
    </row>
    <row r="308" ht="15.75" customHeight="1">
      <c r="A308" s="22"/>
      <c r="B308" s="8">
        <f t="shared" si="1"/>
        <v>0</v>
      </c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  <c r="AE308" s="8"/>
      <c r="AF308" s="8"/>
      <c r="AG308" s="8"/>
      <c r="AH308" s="8"/>
      <c r="AI308" s="8"/>
      <c r="AJ308" s="8"/>
      <c r="AK308" s="8"/>
      <c r="AL308" s="8"/>
      <c r="AM308" s="8"/>
      <c r="AN308" s="8"/>
      <c r="AO308" s="8"/>
      <c r="AP308" s="8"/>
      <c r="AQ308" s="8"/>
      <c r="AR308" s="8"/>
      <c r="AS308" s="8"/>
      <c r="AT308" s="8"/>
    </row>
    <row r="309" ht="15.75" customHeight="1">
      <c r="A309" s="22"/>
      <c r="B309" s="8">
        <f t="shared" si="1"/>
        <v>0</v>
      </c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  <c r="AE309" s="8"/>
      <c r="AF309" s="8"/>
      <c r="AG309" s="8"/>
      <c r="AH309" s="8"/>
      <c r="AI309" s="8"/>
      <c r="AJ309" s="8"/>
      <c r="AK309" s="8"/>
      <c r="AL309" s="8"/>
      <c r="AM309" s="8"/>
      <c r="AN309" s="8"/>
      <c r="AO309" s="8"/>
      <c r="AP309" s="8"/>
      <c r="AQ309" s="8"/>
      <c r="AR309" s="8"/>
      <c r="AS309" s="8"/>
      <c r="AT309" s="8"/>
    </row>
    <row r="310" ht="15.75" customHeight="1">
      <c r="A310" s="22"/>
      <c r="B310" s="8">
        <f t="shared" si="1"/>
        <v>0</v>
      </c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  <c r="AE310" s="8"/>
      <c r="AF310" s="8"/>
      <c r="AG310" s="8"/>
      <c r="AH310" s="8"/>
      <c r="AI310" s="8"/>
      <c r="AJ310" s="8"/>
      <c r="AK310" s="8"/>
      <c r="AL310" s="8"/>
      <c r="AM310" s="8"/>
      <c r="AN310" s="8"/>
      <c r="AO310" s="8"/>
      <c r="AP310" s="8"/>
      <c r="AQ310" s="8"/>
      <c r="AR310" s="8"/>
      <c r="AS310" s="8"/>
      <c r="AT310" s="8"/>
    </row>
    <row r="311" ht="15.75" customHeight="1">
      <c r="A311" s="22"/>
      <c r="B311" s="8">
        <f t="shared" si="1"/>
        <v>0</v>
      </c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  <c r="AE311" s="8"/>
      <c r="AF311" s="8"/>
      <c r="AG311" s="8"/>
      <c r="AH311" s="8"/>
      <c r="AI311" s="8"/>
      <c r="AJ311" s="8"/>
      <c r="AK311" s="8"/>
      <c r="AL311" s="8"/>
      <c r="AM311" s="8"/>
      <c r="AN311" s="8"/>
      <c r="AO311" s="8"/>
      <c r="AP311" s="8"/>
      <c r="AQ311" s="8"/>
      <c r="AR311" s="8"/>
      <c r="AS311" s="8"/>
      <c r="AT311" s="8"/>
    </row>
    <row r="312" ht="15.75" customHeight="1">
      <c r="A312" s="22"/>
      <c r="B312" s="8">
        <f t="shared" si="1"/>
        <v>0</v>
      </c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  <c r="AE312" s="8"/>
      <c r="AF312" s="8"/>
      <c r="AG312" s="8"/>
      <c r="AH312" s="8"/>
      <c r="AI312" s="8"/>
      <c r="AJ312" s="8"/>
      <c r="AK312" s="8"/>
      <c r="AL312" s="8"/>
      <c r="AM312" s="8"/>
      <c r="AN312" s="8"/>
      <c r="AO312" s="8"/>
      <c r="AP312" s="8"/>
      <c r="AQ312" s="8"/>
      <c r="AR312" s="8"/>
      <c r="AS312" s="8"/>
      <c r="AT312" s="8"/>
    </row>
    <row r="313" ht="15.75" customHeight="1">
      <c r="A313" s="22"/>
      <c r="B313" s="8">
        <f t="shared" si="1"/>
        <v>0</v>
      </c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  <c r="AE313" s="8"/>
      <c r="AF313" s="8"/>
      <c r="AG313" s="8"/>
      <c r="AH313" s="8"/>
      <c r="AI313" s="8"/>
      <c r="AJ313" s="8"/>
      <c r="AK313" s="8"/>
      <c r="AL313" s="8"/>
      <c r="AM313" s="8"/>
      <c r="AN313" s="8"/>
      <c r="AO313" s="8"/>
      <c r="AP313" s="8"/>
      <c r="AQ313" s="8"/>
      <c r="AR313" s="8"/>
      <c r="AS313" s="8"/>
      <c r="AT313" s="8"/>
    </row>
    <row r="314" ht="15.75" customHeight="1">
      <c r="A314" s="22"/>
      <c r="B314" s="8">
        <f t="shared" si="1"/>
        <v>0</v>
      </c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  <c r="AE314" s="8"/>
      <c r="AF314" s="8"/>
      <c r="AG314" s="8"/>
      <c r="AH314" s="8"/>
      <c r="AI314" s="8"/>
      <c r="AJ314" s="8"/>
      <c r="AK314" s="8"/>
      <c r="AL314" s="8"/>
      <c r="AM314" s="8"/>
      <c r="AN314" s="8"/>
      <c r="AO314" s="8"/>
      <c r="AP314" s="8"/>
      <c r="AQ314" s="8"/>
      <c r="AR314" s="8"/>
      <c r="AS314" s="8"/>
      <c r="AT314" s="8"/>
    </row>
    <row r="315" ht="15.75" customHeight="1">
      <c r="A315" s="22"/>
      <c r="B315" s="8">
        <f t="shared" si="1"/>
        <v>0</v>
      </c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  <c r="AE315" s="8"/>
      <c r="AF315" s="8"/>
      <c r="AG315" s="8"/>
      <c r="AH315" s="8"/>
      <c r="AI315" s="8"/>
      <c r="AJ315" s="8"/>
      <c r="AK315" s="8"/>
      <c r="AL315" s="8"/>
      <c r="AM315" s="8"/>
      <c r="AN315" s="8"/>
      <c r="AO315" s="8"/>
      <c r="AP315" s="8"/>
      <c r="AQ315" s="8"/>
      <c r="AR315" s="8"/>
      <c r="AS315" s="8"/>
      <c r="AT315" s="8"/>
    </row>
    <row r="316" ht="15.75" customHeight="1">
      <c r="A316" s="22"/>
      <c r="B316" s="8">
        <f t="shared" si="1"/>
        <v>0</v>
      </c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  <c r="AE316" s="8"/>
      <c r="AF316" s="8"/>
      <c r="AG316" s="8"/>
      <c r="AH316" s="8"/>
      <c r="AI316" s="8"/>
      <c r="AJ316" s="8"/>
      <c r="AK316" s="8"/>
      <c r="AL316" s="8"/>
      <c r="AM316" s="8"/>
      <c r="AN316" s="8"/>
      <c r="AO316" s="8"/>
      <c r="AP316" s="8"/>
      <c r="AQ316" s="8"/>
      <c r="AR316" s="8"/>
      <c r="AS316" s="8"/>
      <c r="AT316" s="8"/>
    </row>
    <row r="317" ht="15.75" customHeight="1">
      <c r="A317" s="22"/>
      <c r="B317" s="8">
        <f t="shared" si="1"/>
        <v>0</v>
      </c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  <c r="AE317" s="8"/>
      <c r="AF317" s="8"/>
      <c r="AG317" s="8"/>
      <c r="AH317" s="8"/>
      <c r="AI317" s="8"/>
      <c r="AJ317" s="8"/>
      <c r="AK317" s="8"/>
      <c r="AL317" s="8"/>
      <c r="AM317" s="8"/>
      <c r="AN317" s="8"/>
      <c r="AO317" s="8"/>
      <c r="AP317" s="8"/>
      <c r="AQ317" s="8"/>
      <c r="AR317" s="8"/>
      <c r="AS317" s="8"/>
      <c r="AT317" s="8"/>
    </row>
    <row r="318" ht="15.75" customHeight="1">
      <c r="A318" s="22"/>
      <c r="B318" s="8">
        <f t="shared" si="1"/>
        <v>0</v>
      </c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  <c r="AE318" s="8"/>
      <c r="AF318" s="8"/>
      <c r="AG318" s="8"/>
      <c r="AH318" s="8"/>
      <c r="AI318" s="8"/>
      <c r="AJ318" s="8"/>
      <c r="AK318" s="8"/>
      <c r="AL318" s="8"/>
      <c r="AM318" s="8"/>
      <c r="AN318" s="8"/>
      <c r="AO318" s="8"/>
      <c r="AP318" s="8"/>
      <c r="AQ318" s="8"/>
      <c r="AR318" s="8"/>
      <c r="AS318" s="8"/>
      <c r="AT318" s="8"/>
    </row>
    <row r="319" ht="15.75" customHeight="1">
      <c r="A319" s="22"/>
      <c r="B319" s="8">
        <f t="shared" si="1"/>
        <v>0</v>
      </c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  <c r="AE319" s="8"/>
      <c r="AF319" s="8"/>
      <c r="AG319" s="8"/>
      <c r="AH319" s="8"/>
      <c r="AI319" s="8"/>
      <c r="AJ319" s="8"/>
      <c r="AK319" s="8"/>
      <c r="AL319" s="8"/>
      <c r="AM319" s="8"/>
      <c r="AN319" s="8"/>
      <c r="AO319" s="8"/>
      <c r="AP319" s="8"/>
      <c r="AQ319" s="8"/>
      <c r="AR319" s="8"/>
      <c r="AS319" s="8"/>
      <c r="AT319" s="8"/>
    </row>
    <row r="320" ht="15.75" customHeight="1">
      <c r="A320" s="22"/>
      <c r="B320" s="8">
        <f t="shared" si="1"/>
        <v>0</v>
      </c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  <c r="AE320" s="8"/>
      <c r="AF320" s="8"/>
      <c r="AG320" s="8"/>
      <c r="AH320" s="8"/>
      <c r="AI320" s="8"/>
      <c r="AJ320" s="8"/>
      <c r="AK320" s="8"/>
      <c r="AL320" s="8"/>
      <c r="AM320" s="8"/>
      <c r="AN320" s="8"/>
      <c r="AO320" s="8"/>
      <c r="AP320" s="8"/>
      <c r="AQ320" s="8"/>
      <c r="AR320" s="8"/>
      <c r="AS320" s="8"/>
      <c r="AT320" s="8"/>
    </row>
    <row r="321" ht="15.75" customHeight="1">
      <c r="A321" s="22"/>
      <c r="B321" s="8">
        <f t="shared" si="1"/>
        <v>0</v>
      </c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  <c r="AE321" s="8"/>
      <c r="AF321" s="8"/>
      <c r="AG321" s="8"/>
      <c r="AH321" s="8"/>
      <c r="AI321" s="8"/>
      <c r="AJ321" s="8"/>
      <c r="AK321" s="8"/>
      <c r="AL321" s="8"/>
      <c r="AM321" s="8"/>
      <c r="AN321" s="8"/>
      <c r="AO321" s="8"/>
      <c r="AP321" s="8"/>
      <c r="AQ321" s="8"/>
      <c r="AR321" s="8"/>
      <c r="AS321" s="8"/>
      <c r="AT321" s="8"/>
    </row>
    <row r="322" ht="15.75" customHeight="1">
      <c r="A322" s="22"/>
      <c r="B322" s="8">
        <f t="shared" si="1"/>
        <v>0</v>
      </c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  <c r="AE322" s="8"/>
      <c r="AF322" s="8"/>
      <c r="AG322" s="8"/>
      <c r="AH322" s="8"/>
      <c r="AI322" s="8"/>
      <c r="AJ322" s="8"/>
      <c r="AK322" s="8"/>
      <c r="AL322" s="8"/>
      <c r="AM322" s="8"/>
      <c r="AN322" s="8"/>
      <c r="AO322" s="8"/>
      <c r="AP322" s="8"/>
      <c r="AQ322" s="8"/>
      <c r="AR322" s="8"/>
      <c r="AS322" s="8"/>
      <c r="AT322" s="8"/>
    </row>
    <row r="323" ht="15.75" customHeight="1">
      <c r="A323" s="22"/>
      <c r="B323" s="8">
        <f t="shared" si="1"/>
        <v>0</v>
      </c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  <c r="AE323" s="8"/>
      <c r="AF323" s="8"/>
      <c r="AG323" s="8"/>
      <c r="AH323" s="8"/>
      <c r="AI323" s="8"/>
      <c r="AJ323" s="8"/>
      <c r="AK323" s="8"/>
      <c r="AL323" s="8"/>
      <c r="AM323" s="8"/>
      <c r="AN323" s="8"/>
      <c r="AO323" s="8"/>
      <c r="AP323" s="8"/>
      <c r="AQ323" s="8"/>
      <c r="AR323" s="8"/>
      <c r="AS323" s="8"/>
      <c r="AT323" s="8"/>
    </row>
    <row r="324" ht="15.75" customHeight="1">
      <c r="A324" s="22"/>
      <c r="B324" s="8">
        <f t="shared" si="1"/>
        <v>0</v>
      </c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  <c r="AE324" s="8"/>
      <c r="AF324" s="8"/>
      <c r="AG324" s="8"/>
      <c r="AH324" s="8"/>
      <c r="AI324" s="8"/>
      <c r="AJ324" s="8"/>
      <c r="AK324" s="8"/>
      <c r="AL324" s="8"/>
      <c r="AM324" s="8"/>
      <c r="AN324" s="8"/>
      <c r="AO324" s="8"/>
      <c r="AP324" s="8"/>
      <c r="AQ324" s="8"/>
      <c r="AR324" s="8"/>
      <c r="AS324" s="8"/>
      <c r="AT324" s="8"/>
    </row>
    <row r="325" ht="15.75" customHeight="1">
      <c r="A325" s="22"/>
      <c r="B325" s="8">
        <f t="shared" si="1"/>
        <v>0</v>
      </c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  <c r="AE325" s="8"/>
      <c r="AF325" s="8"/>
      <c r="AG325" s="8"/>
      <c r="AH325" s="8"/>
      <c r="AI325" s="8"/>
      <c r="AJ325" s="8"/>
      <c r="AK325" s="8"/>
      <c r="AL325" s="8"/>
      <c r="AM325" s="8"/>
      <c r="AN325" s="8"/>
      <c r="AO325" s="8"/>
      <c r="AP325" s="8"/>
      <c r="AQ325" s="8"/>
      <c r="AR325" s="8"/>
      <c r="AS325" s="8"/>
      <c r="AT325" s="8"/>
    </row>
    <row r="326" ht="15.75" customHeight="1">
      <c r="A326" s="22"/>
      <c r="B326" s="8">
        <f t="shared" si="1"/>
        <v>0</v>
      </c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  <c r="AE326" s="8"/>
      <c r="AF326" s="8"/>
      <c r="AG326" s="8"/>
      <c r="AH326" s="8"/>
      <c r="AI326" s="8"/>
      <c r="AJ326" s="8"/>
      <c r="AK326" s="8"/>
      <c r="AL326" s="8"/>
      <c r="AM326" s="8"/>
      <c r="AN326" s="8"/>
      <c r="AO326" s="8"/>
      <c r="AP326" s="8"/>
      <c r="AQ326" s="8"/>
      <c r="AR326" s="8"/>
      <c r="AS326" s="8"/>
      <c r="AT326" s="8"/>
    </row>
    <row r="327" ht="15.75" customHeight="1">
      <c r="A327" s="22"/>
      <c r="B327" s="8">
        <f t="shared" si="1"/>
        <v>0</v>
      </c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  <c r="AE327" s="8"/>
      <c r="AF327" s="8"/>
      <c r="AG327" s="8"/>
      <c r="AH327" s="8"/>
      <c r="AI327" s="8"/>
      <c r="AJ327" s="8"/>
      <c r="AK327" s="8"/>
      <c r="AL327" s="8"/>
      <c r="AM327" s="8"/>
      <c r="AN327" s="8"/>
      <c r="AO327" s="8"/>
      <c r="AP327" s="8"/>
      <c r="AQ327" s="8"/>
      <c r="AR327" s="8"/>
      <c r="AS327" s="8"/>
      <c r="AT327" s="8"/>
    </row>
    <row r="328" ht="15.75" customHeight="1">
      <c r="A328" s="22"/>
      <c r="B328" s="8">
        <f t="shared" si="1"/>
        <v>0</v>
      </c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  <c r="AE328" s="8"/>
      <c r="AF328" s="8"/>
      <c r="AG328" s="8"/>
      <c r="AH328" s="8"/>
      <c r="AI328" s="8"/>
      <c r="AJ328" s="8"/>
      <c r="AK328" s="8"/>
      <c r="AL328" s="8"/>
      <c r="AM328" s="8"/>
      <c r="AN328" s="8"/>
      <c r="AO328" s="8"/>
      <c r="AP328" s="8"/>
      <c r="AQ328" s="8"/>
      <c r="AR328" s="8"/>
      <c r="AS328" s="8"/>
      <c r="AT328" s="8"/>
    </row>
    <row r="329" ht="15.75" customHeight="1">
      <c r="A329" s="22"/>
      <c r="B329" s="8">
        <f t="shared" si="1"/>
        <v>0</v>
      </c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  <c r="AE329" s="8"/>
      <c r="AF329" s="8"/>
      <c r="AG329" s="8"/>
      <c r="AH329" s="8"/>
      <c r="AI329" s="8"/>
      <c r="AJ329" s="8"/>
      <c r="AK329" s="8"/>
      <c r="AL329" s="8"/>
      <c r="AM329" s="8"/>
      <c r="AN329" s="8"/>
      <c r="AO329" s="8"/>
      <c r="AP329" s="8"/>
      <c r="AQ329" s="8"/>
      <c r="AR329" s="8"/>
      <c r="AS329" s="8"/>
      <c r="AT329" s="8"/>
    </row>
    <row r="330" ht="15.75" customHeight="1">
      <c r="A330" s="22"/>
      <c r="B330" s="8">
        <f t="shared" si="1"/>
        <v>0</v>
      </c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  <c r="AE330" s="8"/>
      <c r="AF330" s="8"/>
      <c r="AG330" s="8"/>
      <c r="AH330" s="8"/>
      <c r="AI330" s="8"/>
      <c r="AJ330" s="8"/>
      <c r="AK330" s="8"/>
      <c r="AL330" s="8"/>
      <c r="AM330" s="8"/>
      <c r="AN330" s="8"/>
      <c r="AO330" s="8"/>
      <c r="AP330" s="8"/>
      <c r="AQ330" s="8"/>
      <c r="AR330" s="8"/>
      <c r="AS330" s="8"/>
      <c r="AT330" s="8"/>
    </row>
    <row r="331" ht="15.75" customHeight="1">
      <c r="A331" s="22"/>
      <c r="B331" s="8">
        <f t="shared" si="1"/>
        <v>0</v>
      </c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  <c r="AE331" s="8"/>
      <c r="AF331" s="8"/>
      <c r="AG331" s="8"/>
      <c r="AH331" s="8"/>
      <c r="AI331" s="8"/>
      <c r="AJ331" s="8"/>
      <c r="AK331" s="8"/>
      <c r="AL331" s="8"/>
      <c r="AM331" s="8"/>
      <c r="AN331" s="8"/>
      <c r="AO331" s="8"/>
      <c r="AP331" s="8"/>
      <c r="AQ331" s="8"/>
      <c r="AR331" s="8"/>
      <c r="AS331" s="8"/>
      <c r="AT331" s="8"/>
    </row>
    <row r="332" ht="15.75" customHeight="1">
      <c r="A332" s="22"/>
      <c r="B332" s="8">
        <f t="shared" si="1"/>
        <v>0</v>
      </c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  <c r="AE332" s="8"/>
      <c r="AF332" s="8"/>
      <c r="AG332" s="8"/>
      <c r="AH332" s="8"/>
      <c r="AI332" s="8"/>
      <c r="AJ332" s="8"/>
      <c r="AK332" s="8"/>
      <c r="AL332" s="8"/>
      <c r="AM332" s="8"/>
      <c r="AN332" s="8"/>
      <c r="AO332" s="8"/>
      <c r="AP332" s="8"/>
      <c r="AQ332" s="8"/>
      <c r="AR332" s="8"/>
      <c r="AS332" s="8"/>
      <c r="AT332" s="8"/>
    </row>
    <row r="333" ht="15.75" customHeight="1">
      <c r="A333" s="22"/>
      <c r="B333" s="8">
        <f t="shared" si="1"/>
        <v>0</v>
      </c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  <c r="AE333" s="8"/>
      <c r="AF333" s="8"/>
      <c r="AG333" s="8"/>
      <c r="AH333" s="8"/>
      <c r="AI333" s="8"/>
      <c r="AJ333" s="8"/>
      <c r="AK333" s="8"/>
      <c r="AL333" s="8"/>
      <c r="AM333" s="8"/>
      <c r="AN333" s="8"/>
      <c r="AO333" s="8"/>
      <c r="AP333" s="8"/>
      <c r="AQ333" s="8"/>
      <c r="AR333" s="8"/>
      <c r="AS333" s="8"/>
      <c r="AT333" s="8"/>
    </row>
    <row r="334" ht="15.75" customHeight="1">
      <c r="A334" s="22"/>
      <c r="B334" s="8">
        <f t="shared" si="1"/>
        <v>0</v>
      </c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  <c r="AE334" s="8"/>
      <c r="AF334" s="8"/>
      <c r="AG334" s="8"/>
      <c r="AH334" s="8"/>
      <c r="AI334" s="8"/>
      <c r="AJ334" s="8"/>
      <c r="AK334" s="8"/>
      <c r="AL334" s="8"/>
      <c r="AM334" s="8"/>
      <c r="AN334" s="8"/>
      <c r="AO334" s="8"/>
      <c r="AP334" s="8"/>
      <c r="AQ334" s="8"/>
      <c r="AR334" s="8"/>
      <c r="AS334" s="8"/>
      <c r="AT334" s="8"/>
    </row>
    <row r="335" ht="15.75" customHeight="1">
      <c r="A335" s="22"/>
      <c r="B335" s="8">
        <f t="shared" si="1"/>
        <v>0</v>
      </c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  <c r="AE335" s="8"/>
      <c r="AF335" s="8"/>
      <c r="AG335" s="8"/>
      <c r="AH335" s="8"/>
      <c r="AI335" s="8"/>
      <c r="AJ335" s="8"/>
      <c r="AK335" s="8"/>
      <c r="AL335" s="8"/>
      <c r="AM335" s="8"/>
      <c r="AN335" s="8"/>
      <c r="AO335" s="8"/>
      <c r="AP335" s="8"/>
      <c r="AQ335" s="8"/>
      <c r="AR335" s="8"/>
      <c r="AS335" s="8"/>
      <c r="AT335" s="8"/>
    </row>
    <row r="336" ht="15.75" customHeight="1">
      <c r="A336" s="22"/>
      <c r="B336" s="8">
        <f t="shared" si="1"/>
        <v>0</v>
      </c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  <c r="AE336" s="8"/>
      <c r="AF336" s="8"/>
      <c r="AG336" s="8"/>
      <c r="AH336" s="8"/>
      <c r="AI336" s="8"/>
      <c r="AJ336" s="8"/>
      <c r="AK336" s="8"/>
      <c r="AL336" s="8"/>
      <c r="AM336" s="8"/>
      <c r="AN336" s="8"/>
      <c r="AO336" s="8"/>
      <c r="AP336" s="8"/>
      <c r="AQ336" s="8"/>
      <c r="AR336" s="8"/>
      <c r="AS336" s="8"/>
      <c r="AT336" s="8"/>
    </row>
    <row r="337" ht="15.75" customHeight="1">
      <c r="A337" s="22"/>
      <c r="B337" s="8">
        <f t="shared" si="1"/>
        <v>0</v>
      </c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  <c r="AE337" s="8"/>
      <c r="AF337" s="8"/>
      <c r="AG337" s="8"/>
      <c r="AH337" s="8"/>
      <c r="AI337" s="8"/>
      <c r="AJ337" s="8"/>
      <c r="AK337" s="8"/>
      <c r="AL337" s="8"/>
      <c r="AM337" s="8"/>
      <c r="AN337" s="8"/>
      <c r="AO337" s="8"/>
      <c r="AP337" s="8"/>
      <c r="AQ337" s="8"/>
      <c r="AR337" s="8"/>
      <c r="AS337" s="8"/>
      <c r="AT337" s="8"/>
    </row>
    <row r="338" ht="15.75" customHeight="1">
      <c r="A338" s="22"/>
      <c r="B338" s="8">
        <f t="shared" si="1"/>
        <v>0</v>
      </c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  <c r="AE338" s="8"/>
      <c r="AF338" s="8"/>
      <c r="AG338" s="8"/>
      <c r="AH338" s="8"/>
      <c r="AI338" s="8"/>
      <c r="AJ338" s="8"/>
      <c r="AK338" s="8"/>
      <c r="AL338" s="8"/>
      <c r="AM338" s="8"/>
      <c r="AN338" s="8"/>
      <c r="AO338" s="8"/>
      <c r="AP338" s="8"/>
      <c r="AQ338" s="8"/>
      <c r="AR338" s="8"/>
      <c r="AS338" s="8"/>
      <c r="AT338" s="8"/>
    </row>
    <row r="339" ht="15.75" customHeight="1">
      <c r="A339" s="22"/>
      <c r="B339" s="8">
        <f t="shared" si="1"/>
        <v>0</v>
      </c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  <c r="AE339" s="8"/>
      <c r="AF339" s="8"/>
      <c r="AG339" s="8"/>
      <c r="AH339" s="8"/>
      <c r="AI339" s="8"/>
      <c r="AJ339" s="8"/>
      <c r="AK339" s="8"/>
      <c r="AL339" s="8"/>
      <c r="AM339" s="8"/>
      <c r="AN339" s="8"/>
      <c r="AO339" s="8"/>
      <c r="AP339" s="8"/>
      <c r="AQ339" s="8"/>
      <c r="AR339" s="8"/>
      <c r="AS339" s="8"/>
      <c r="AT339" s="8"/>
    </row>
    <row r="340" ht="15.75" customHeight="1">
      <c r="A340" s="22"/>
      <c r="B340" s="8">
        <f t="shared" si="1"/>
        <v>0</v>
      </c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  <c r="AE340" s="8"/>
      <c r="AF340" s="8"/>
      <c r="AG340" s="8"/>
      <c r="AH340" s="8"/>
      <c r="AI340" s="8"/>
      <c r="AJ340" s="8"/>
      <c r="AK340" s="8"/>
      <c r="AL340" s="8"/>
      <c r="AM340" s="8"/>
      <c r="AN340" s="8"/>
      <c r="AO340" s="8"/>
      <c r="AP340" s="8"/>
      <c r="AQ340" s="8"/>
      <c r="AR340" s="8"/>
      <c r="AS340" s="8"/>
      <c r="AT340" s="8"/>
    </row>
    <row r="341" ht="15.75" customHeight="1">
      <c r="A341" s="22"/>
      <c r="B341" s="8">
        <f t="shared" si="1"/>
        <v>0</v>
      </c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  <c r="AE341" s="8"/>
      <c r="AF341" s="8"/>
      <c r="AG341" s="8"/>
      <c r="AH341" s="8"/>
      <c r="AI341" s="8"/>
      <c r="AJ341" s="8"/>
      <c r="AK341" s="8"/>
      <c r="AL341" s="8"/>
      <c r="AM341" s="8"/>
      <c r="AN341" s="8"/>
      <c r="AO341" s="8"/>
      <c r="AP341" s="8"/>
      <c r="AQ341" s="8"/>
      <c r="AR341" s="8"/>
      <c r="AS341" s="8"/>
      <c r="AT341" s="8"/>
    </row>
    <row r="342" ht="15.75" customHeight="1">
      <c r="A342" s="22"/>
      <c r="B342" s="8">
        <f t="shared" si="1"/>
        <v>0</v>
      </c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  <c r="AE342" s="8"/>
      <c r="AF342" s="8"/>
      <c r="AG342" s="8"/>
      <c r="AH342" s="8"/>
      <c r="AI342" s="8"/>
      <c r="AJ342" s="8"/>
      <c r="AK342" s="8"/>
      <c r="AL342" s="8"/>
      <c r="AM342" s="8"/>
      <c r="AN342" s="8"/>
      <c r="AO342" s="8"/>
      <c r="AP342" s="8"/>
      <c r="AQ342" s="8"/>
      <c r="AR342" s="8"/>
      <c r="AS342" s="8"/>
      <c r="AT342" s="8"/>
    </row>
    <row r="343" ht="15.75" customHeight="1">
      <c r="A343" s="22"/>
      <c r="B343" s="8">
        <f t="shared" si="1"/>
        <v>0</v>
      </c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  <c r="AE343" s="8"/>
      <c r="AF343" s="8"/>
      <c r="AG343" s="8"/>
      <c r="AH343" s="8"/>
      <c r="AI343" s="8"/>
      <c r="AJ343" s="8"/>
      <c r="AK343" s="8"/>
      <c r="AL343" s="8"/>
      <c r="AM343" s="8"/>
      <c r="AN343" s="8"/>
      <c r="AO343" s="8"/>
      <c r="AP343" s="8"/>
      <c r="AQ343" s="8"/>
      <c r="AR343" s="8"/>
      <c r="AS343" s="8"/>
      <c r="AT343" s="8"/>
    </row>
    <row r="344" ht="15.75" customHeight="1">
      <c r="A344" s="22"/>
      <c r="B344" s="8">
        <f t="shared" si="1"/>
        <v>0</v>
      </c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  <c r="AE344" s="8"/>
      <c r="AF344" s="8"/>
      <c r="AG344" s="8"/>
      <c r="AH344" s="8"/>
      <c r="AI344" s="8"/>
      <c r="AJ344" s="8"/>
      <c r="AK344" s="8"/>
      <c r="AL344" s="8"/>
      <c r="AM344" s="8"/>
      <c r="AN344" s="8"/>
      <c r="AO344" s="8"/>
      <c r="AP344" s="8"/>
      <c r="AQ344" s="8"/>
      <c r="AR344" s="8"/>
      <c r="AS344" s="8"/>
      <c r="AT344" s="8"/>
    </row>
    <row r="345" ht="15.75" customHeight="1">
      <c r="A345" s="22"/>
      <c r="B345" s="8">
        <f t="shared" si="1"/>
        <v>0</v>
      </c>
      <c r="C345" s="8"/>
      <c r="D345" s="8"/>
      <c r="E345" s="8"/>
      <c r="F345" s="8"/>
      <c r="G345" s="8"/>
      <c r="H345" s="8"/>
      <c r="I345" s="8"/>
      <c r="J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  <c r="AE345" s="8"/>
      <c r="AF345" s="8"/>
      <c r="AG345" s="8"/>
      <c r="AH345" s="8"/>
      <c r="AI345" s="8"/>
      <c r="AJ345" s="8"/>
      <c r="AK345" s="8"/>
      <c r="AL345" s="8"/>
      <c r="AM345" s="8"/>
      <c r="AN345" s="8"/>
      <c r="AO345" s="8"/>
      <c r="AP345" s="8"/>
      <c r="AQ345" s="8"/>
      <c r="AR345" s="8"/>
      <c r="AS345" s="8"/>
      <c r="AT345" s="8"/>
    </row>
    <row r="346" ht="15.75" customHeight="1">
      <c r="A346" s="22"/>
      <c r="B346" s="8">
        <f t="shared" si="1"/>
        <v>0</v>
      </c>
      <c r="C346" s="8"/>
      <c r="D346" s="8"/>
      <c r="E346" s="8"/>
      <c r="F346" s="8"/>
      <c r="G346" s="8"/>
      <c r="H346" s="8"/>
      <c r="I346" s="8"/>
      <c r="J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  <c r="AE346" s="8"/>
      <c r="AF346" s="8"/>
      <c r="AG346" s="8"/>
      <c r="AH346" s="8"/>
      <c r="AI346" s="8"/>
      <c r="AJ346" s="8"/>
      <c r="AK346" s="8"/>
      <c r="AL346" s="8"/>
      <c r="AM346" s="8"/>
      <c r="AN346" s="8"/>
      <c r="AO346" s="8"/>
      <c r="AP346" s="8"/>
      <c r="AQ346" s="8"/>
      <c r="AR346" s="8"/>
      <c r="AS346" s="8"/>
      <c r="AT346" s="8"/>
    </row>
    <row r="347" ht="15.75" customHeight="1">
      <c r="A347" s="22"/>
      <c r="B347" s="8">
        <f t="shared" si="1"/>
        <v>0</v>
      </c>
      <c r="C347" s="8"/>
      <c r="D347" s="8"/>
      <c r="E347" s="8"/>
      <c r="F347" s="8"/>
      <c r="G347" s="8"/>
      <c r="H347" s="8"/>
      <c r="I347" s="8"/>
      <c r="J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  <c r="AE347" s="8"/>
      <c r="AF347" s="8"/>
      <c r="AG347" s="8"/>
      <c r="AH347" s="8"/>
      <c r="AI347" s="8"/>
      <c r="AJ347" s="8"/>
      <c r="AK347" s="8"/>
      <c r="AL347" s="8"/>
      <c r="AM347" s="8"/>
      <c r="AN347" s="8"/>
      <c r="AO347" s="8"/>
      <c r="AP347" s="8"/>
      <c r="AQ347" s="8"/>
      <c r="AR347" s="8"/>
      <c r="AS347" s="8"/>
      <c r="AT347" s="8"/>
    </row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1.0"/>
    <col customWidth="1" min="2" max="2" width="18.63"/>
    <col customWidth="1" min="3" max="4" width="14.75"/>
    <col customWidth="1" min="5" max="7" width="9.38"/>
    <col customWidth="1" min="8" max="27" width="8.63"/>
    <col customWidth="1" min="28" max="30" width="10.25"/>
    <col customWidth="1" min="31" max="31" width="10.38"/>
    <col customWidth="1" min="32" max="34" width="10.25"/>
    <col customWidth="1" min="35" max="36" width="10.38"/>
    <col customWidth="1" min="37" max="39" width="10.25"/>
    <col customWidth="1" min="40" max="41" width="10.38"/>
    <col customWidth="1" min="42" max="43" width="8.63"/>
    <col customWidth="1" min="44" max="46" width="10.25"/>
  </cols>
  <sheetData>
    <row r="1">
      <c r="A1" s="1" t="s">
        <v>0</v>
      </c>
      <c r="B1" s="2" t="s">
        <v>1</v>
      </c>
      <c r="C1" s="5">
        <v>46025.0</v>
      </c>
      <c r="D1" s="5">
        <v>46032.0</v>
      </c>
      <c r="E1" s="5">
        <v>46039.0</v>
      </c>
      <c r="F1" s="5">
        <v>46046.0</v>
      </c>
      <c r="G1" s="5">
        <v>46053.0</v>
      </c>
      <c r="H1" s="5">
        <v>46060.0</v>
      </c>
      <c r="I1" s="5">
        <v>46067.0</v>
      </c>
      <c r="J1" s="5">
        <v>46074.0</v>
      </c>
      <c r="K1" s="5">
        <v>46081.0</v>
      </c>
      <c r="L1" s="5">
        <v>46088.0</v>
      </c>
      <c r="M1" s="5">
        <v>46095.0</v>
      </c>
      <c r="N1" s="5">
        <v>46102.0</v>
      </c>
      <c r="O1" s="5">
        <v>46109.0</v>
      </c>
      <c r="P1" s="5">
        <v>46116.0</v>
      </c>
      <c r="Q1" s="5">
        <v>46123.0</v>
      </c>
      <c r="R1" s="5">
        <v>46130.0</v>
      </c>
      <c r="S1" s="5">
        <v>46137.0</v>
      </c>
      <c r="T1" s="5">
        <v>46144.0</v>
      </c>
      <c r="U1" s="5">
        <v>46151.0</v>
      </c>
      <c r="V1" s="5">
        <v>46158.0</v>
      </c>
      <c r="W1" s="5">
        <v>46165.0</v>
      </c>
      <c r="X1" s="5">
        <v>46172.0</v>
      </c>
      <c r="Y1" s="5">
        <v>46179.0</v>
      </c>
      <c r="Z1" s="5">
        <v>46186.0</v>
      </c>
      <c r="AA1" s="5">
        <v>46193.0</v>
      </c>
      <c r="AB1" s="5">
        <v>46200.0</v>
      </c>
      <c r="AC1" s="5">
        <v>46207.0</v>
      </c>
      <c r="AD1" s="5">
        <v>46214.0</v>
      </c>
      <c r="AE1" s="5">
        <v>46221.0</v>
      </c>
      <c r="AF1" s="5">
        <v>46228.0</v>
      </c>
      <c r="AG1" s="5">
        <v>46235.0</v>
      </c>
      <c r="AH1" s="5">
        <v>46242.0</v>
      </c>
      <c r="AI1" s="5">
        <v>46249.0</v>
      </c>
      <c r="AJ1" s="5">
        <v>46256.0</v>
      </c>
      <c r="AK1" s="5">
        <v>46263.0</v>
      </c>
      <c r="AL1" s="5">
        <v>46270.0</v>
      </c>
      <c r="AM1" s="5">
        <v>46277.0</v>
      </c>
      <c r="AN1" s="5">
        <v>46284.0</v>
      </c>
      <c r="AO1" s="5">
        <v>46291.0</v>
      </c>
      <c r="AP1" s="5">
        <v>46298.0</v>
      </c>
      <c r="AQ1" s="5">
        <v>46305.0</v>
      </c>
      <c r="AR1" s="5">
        <v>46312.0</v>
      </c>
      <c r="AS1" s="5">
        <v>46319.0</v>
      </c>
      <c r="AT1" s="5">
        <v>46326.0</v>
      </c>
    </row>
    <row r="2">
      <c r="A2" s="1">
        <v>16.0</v>
      </c>
      <c r="B2" s="7">
        <f>SUM(B3:B315)</f>
        <v>318.75</v>
      </c>
      <c r="C2" s="8"/>
      <c r="D2" s="8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10"/>
    </row>
    <row r="3">
      <c r="A3" s="11" t="s">
        <v>3</v>
      </c>
      <c r="B3" s="8">
        <f t="shared" ref="B3:B344" si="1">SUM(C3:CB3)</f>
        <v>0</v>
      </c>
      <c r="C3" s="20" t="s">
        <v>62</v>
      </c>
      <c r="D3" s="20" t="s">
        <v>62</v>
      </c>
      <c r="E3" s="21" t="s">
        <v>62</v>
      </c>
      <c r="F3" s="21" t="s">
        <v>62</v>
      </c>
      <c r="G3" s="8"/>
      <c r="H3" s="20" t="s">
        <v>62</v>
      </c>
      <c r="I3" s="8"/>
      <c r="J3" s="20" t="s">
        <v>311</v>
      </c>
      <c r="K3" s="21" t="s">
        <v>62</v>
      </c>
      <c r="L3" s="8"/>
      <c r="M3" s="8"/>
      <c r="N3" s="20" t="s">
        <v>62</v>
      </c>
      <c r="O3" s="20" t="s">
        <v>62</v>
      </c>
      <c r="P3" s="20" t="s">
        <v>62</v>
      </c>
      <c r="Q3" s="20" t="s">
        <v>311</v>
      </c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20"/>
      <c r="AF3" s="20"/>
      <c r="AG3" s="20"/>
      <c r="AH3" s="20"/>
      <c r="AI3" s="21"/>
      <c r="AJ3" s="20"/>
      <c r="AK3" s="20"/>
      <c r="AL3" s="20"/>
      <c r="AM3" s="20"/>
      <c r="AN3" s="20"/>
      <c r="AO3" s="20"/>
      <c r="AP3" s="8"/>
      <c r="AQ3" s="8"/>
      <c r="AR3" s="8"/>
      <c r="AS3" s="8"/>
      <c r="AT3" s="10"/>
    </row>
    <row r="4">
      <c r="A4" s="11" t="s">
        <v>6</v>
      </c>
      <c r="B4" s="8">
        <f t="shared" si="1"/>
        <v>0</v>
      </c>
      <c r="C4" s="20"/>
      <c r="D4" s="20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8"/>
      <c r="AP4" s="8"/>
      <c r="AQ4" s="8"/>
      <c r="AR4" s="8"/>
      <c r="AS4" s="8"/>
      <c r="AT4" s="10"/>
    </row>
    <row r="5">
      <c r="A5" s="11" t="s">
        <v>7</v>
      </c>
      <c r="B5" s="8">
        <f t="shared" si="1"/>
        <v>2</v>
      </c>
      <c r="C5" s="20"/>
      <c r="D5" s="20"/>
      <c r="E5" s="8"/>
      <c r="F5" s="8"/>
      <c r="G5" s="20">
        <v>2.0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20"/>
      <c r="AE5" s="20"/>
      <c r="AF5" s="20"/>
      <c r="AG5" s="20"/>
      <c r="AH5" s="8"/>
      <c r="AI5" s="21"/>
      <c r="AJ5" s="20"/>
      <c r="AK5" s="20"/>
      <c r="AL5" s="20"/>
      <c r="AM5" s="8"/>
      <c r="AN5" s="20"/>
      <c r="AO5" s="20"/>
      <c r="AP5" s="8"/>
      <c r="AQ5" s="8"/>
      <c r="AR5" s="8"/>
      <c r="AS5" s="8"/>
      <c r="AT5" s="10"/>
    </row>
    <row r="6">
      <c r="A6" s="11" t="s">
        <v>51</v>
      </c>
      <c r="B6" s="8">
        <f t="shared" si="1"/>
        <v>1</v>
      </c>
      <c r="C6" s="8"/>
      <c r="D6" s="8"/>
      <c r="E6" s="8"/>
      <c r="F6" s="8"/>
      <c r="G6" s="8"/>
      <c r="H6" s="8"/>
      <c r="I6" s="8"/>
      <c r="J6" s="8"/>
      <c r="K6" s="21">
        <v>1.0</v>
      </c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20"/>
      <c r="AM6" s="8"/>
      <c r="AN6" s="8"/>
      <c r="AO6" s="8"/>
      <c r="AP6" s="8"/>
      <c r="AQ6" s="8"/>
      <c r="AR6" s="8"/>
      <c r="AS6" s="8"/>
      <c r="AT6" s="10"/>
    </row>
    <row r="7">
      <c r="A7" s="11" t="s">
        <v>13</v>
      </c>
      <c r="B7" s="8">
        <f t="shared" si="1"/>
        <v>0</v>
      </c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  <c r="AJ7" s="8"/>
      <c r="AK7" s="8"/>
      <c r="AL7" s="8"/>
      <c r="AM7" s="8"/>
      <c r="AN7" s="8"/>
      <c r="AO7" s="8"/>
      <c r="AP7" s="8"/>
      <c r="AQ7" s="8"/>
      <c r="AR7" s="8"/>
      <c r="AS7" s="8"/>
      <c r="AT7" s="10"/>
    </row>
    <row r="8">
      <c r="A8" s="11" t="s">
        <v>55</v>
      </c>
      <c r="B8" s="8">
        <f t="shared" si="1"/>
        <v>0</v>
      </c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  <c r="AO8" s="8"/>
      <c r="AP8" s="8"/>
      <c r="AQ8" s="8"/>
      <c r="AR8" s="8"/>
      <c r="AS8" s="8"/>
      <c r="AT8" s="10"/>
    </row>
    <row r="9">
      <c r="A9" s="11" t="s">
        <v>17</v>
      </c>
      <c r="B9" s="8">
        <f t="shared" si="1"/>
        <v>0</v>
      </c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8"/>
      <c r="AM9" s="8"/>
      <c r="AN9" s="8"/>
      <c r="AO9" s="8"/>
      <c r="AP9" s="8"/>
      <c r="AQ9" s="8"/>
      <c r="AR9" s="8"/>
      <c r="AS9" s="8"/>
      <c r="AT9" s="10"/>
    </row>
    <row r="10">
      <c r="A10" s="11" t="s">
        <v>64</v>
      </c>
      <c r="B10" s="8">
        <f t="shared" si="1"/>
        <v>0</v>
      </c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  <c r="AJ10" s="8"/>
      <c r="AK10" s="8"/>
      <c r="AL10" s="8"/>
      <c r="AM10" s="8"/>
      <c r="AN10" s="8"/>
      <c r="AO10" s="8"/>
      <c r="AP10" s="8"/>
      <c r="AQ10" s="8"/>
      <c r="AR10" s="8"/>
      <c r="AS10" s="8"/>
      <c r="AT10" s="10"/>
    </row>
    <row r="11">
      <c r="A11" s="11" t="s">
        <v>65</v>
      </c>
      <c r="B11" s="8">
        <f t="shared" si="1"/>
        <v>0</v>
      </c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  <c r="AN11" s="8"/>
      <c r="AO11" s="8"/>
      <c r="AP11" s="8"/>
      <c r="AQ11" s="8"/>
      <c r="AR11" s="8"/>
      <c r="AS11" s="8"/>
      <c r="AT11" s="10"/>
    </row>
    <row r="12">
      <c r="A12" s="11" t="s">
        <v>66</v>
      </c>
      <c r="B12" s="8">
        <f t="shared" si="1"/>
        <v>0</v>
      </c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  <c r="AO12" s="8"/>
      <c r="AP12" s="8"/>
      <c r="AQ12" s="8"/>
      <c r="AR12" s="8"/>
      <c r="AS12" s="8"/>
      <c r="AT12" s="10"/>
    </row>
    <row r="13">
      <c r="A13" s="11" t="s">
        <v>23</v>
      </c>
      <c r="B13" s="8">
        <f t="shared" si="1"/>
        <v>0</v>
      </c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  <c r="AO13" s="8"/>
      <c r="AP13" s="8"/>
      <c r="AQ13" s="8"/>
      <c r="AR13" s="8"/>
      <c r="AS13" s="8"/>
      <c r="AT13" s="10"/>
    </row>
    <row r="14">
      <c r="A14" s="11" t="s">
        <v>24</v>
      </c>
      <c r="B14" s="8">
        <f t="shared" si="1"/>
        <v>0</v>
      </c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10"/>
    </row>
    <row r="15">
      <c r="A15" s="11" t="s">
        <v>33</v>
      </c>
      <c r="B15" s="8">
        <f t="shared" si="1"/>
        <v>0</v>
      </c>
      <c r="C15" s="20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21"/>
      <c r="AJ15" s="20"/>
      <c r="AK15" s="8"/>
      <c r="AL15" s="8"/>
      <c r="AM15" s="8"/>
      <c r="AN15" s="8"/>
      <c r="AO15" s="8"/>
      <c r="AP15" s="8"/>
      <c r="AQ15" s="8"/>
      <c r="AR15" s="8"/>
      <c r="AS15" s="8"/>
      <c r="AT15" s="10"/>
    </row>
    <row r="16">
      <c r="A16" s="11" t="s">
        <v>61</v>
      </c>
      <c r="B16" s="8">
        <f t="shared" si="1"/>
        <v>0</v>
      </c>
      <c r="C16" s="20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21"/>
      <c r="AJ16" s="20"/>
      <c r="AK16" s="8"/>
      <c r="AL16" s="8"/>
      <c r="AM16" s="8"/>
      <c r="AN16" s="8"/>
      <c r="AO16" s="8"/>
      <c r="AP16" s="8"/>
      <c r="AQ16" s="8"/>
      <c r="AR16" s="8"/>
      <c r="AS16" s="8"/>
      <c r="AT16" s="10"/>
    </row>
    <row r="17">
      <c r="A17" s="11" t="s">
        <v>67</v>
      </c>
      <c r="B17" s="8">
        <f t="shared" si="1"/>
        <v>0</v>
      </c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  <c r="AL17" s="8"/>
      <c r="AM17" s="8"/>
      <c r="AN17" s="8"/>
      <c r="AO17" s="8"/>
      <c r="AP17" s="8"/>
      <c r="AQ17" s="8"/>
      <c r="AR17" s="8"/>
      <c r="AS17" s="8"/>
      <c r="AT17" s="10"/>
    </row>
    <row r="18">
      <c r="A18" s="11" t="s">
        <v>68</v>
      </c>
      <c r="B18" s="8">
        <f t="shared" si="1"/>
        <v>0</v>
      </c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10"/>
    </row>
    <row r="19">
      <c r="A19" s="11" t="s">
        <v>69</v>
      </c>
      <c r="B19" s="8">
        <f t="shared" si="1"/>
        <v>2</v>
      </c>
      <c r="C19" s="8"/>
      <c r="D19" s="8"/>
      <c r="E19" s="8"/>
      <c r="F19" s="8"/>
      <c r="G19" s="8"/>
      <c r="H19" s="20">
        <v>2.0</v>
      </c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20"/>
      <c r="AF19" s="20"/>
      <c r="AG19" s="20"/>
      <c r="AH19" s="20"/>
      <c r="AI19" s="20"/>
      <c r="AJ19" s="20"/>
      <c r="AK19" s="8"/>
      <c r="AL19" s="20"/>
      <c r="AM19" s="8"/>
      <c r="AN19" s="8"/>
      <c r="AO19" s="8"/>
      <c r="AP19" s="8"/>
      <c r="AQ19" s="8"/>
      <c r="AR19" s="8"/>
      <c r="AS19" s="8"/>
      <c r="AT19" s="10"/>
    </row>
    <row r="20">
      <c r="A20" s="11" t="s">
        <v>70</v>
      </c>
      <c r="B20" s="8">
        <f t="shared" si="1"/>
        <v>0</v>
      </c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  <c r="AO20" s="8"/>
      <c r="AP20" s="8"/>
      <c r="AQ20" s="8"/>
      <c r="AR20" s="8"/>
      <c r="AS20" s="8"/>
      <c r="AT20" s="10"/>
    </row>
    <row r="21" ht="15.75" customHeight="1">
      <c r="A21" s="11" t="s">
        <v>52</v>
      </c>
      <c r="B21" s="8">
        <f t="shared" si="1"/>
        <v>0</v>
      </c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  <c r="AJ21" s="8"/>
      <c r="AK21" s="8"/>
      <c r="AL21" s="8"/>
      <c r="AM21" s="8"/>
      <c r="AN21" s="8"/>
      <c r="AO21" s="8"/>
      <c r="AP21" s="8"/>
      <c r="AQ21" s="8"/>
      <c r="AR21" s="8"/>
      <c r="AS21" s="8"/>
      <c r="AT21" s="10"/>
    </row>
    <row r="22" ht="15.75" customHeight="1">
      <c r="A22" s="11" t="s">
        <v>16</v>
      </c>
      <c r="B22" s="8">
        <f t="shared" si="1"/>
        <v>0</v>
      </c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  <c r="AO22" s="8"/>
      <c r="AP22" s="8"/>
      <c r="AQ22" s="8"/>
      <c r="AR22" s="8"/>
      <c r="AS22" s="8"/>
      <c r="AT22" s="10"/>
    </row>
    <row r="23" ht="15.75" customHeight="1">
      <c r="A23" s="11" t="s">
        <v>46</v>
      </c>
      <c r="B23" s="8">
        <f t="shared" si="1"/>
        <v>0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  <c r="AJ23" s="8"/>
      <c r="AK23" s="8"/>
      <c r="AL23" s="8"/>
      <c r="AM23" s="8"/>
      <c r="AN23" s="8"/>
      <c r="AO23" s="8"/>
      <c r="AP23" s="8"/>
      <c r="AQ23" s="8"/>
      <c r="AR23" s="8"/>
      <c r="AS23" s="8"/>
      <c r="AT23" s="10"/>
    </row>
    <row r="24" ht="15.75" customHeight="1">
      <c r="A24" s="11" t="s">
        <v>71</v>
      </c>
      <c r="B24" s="8">
        <f t="shared" si="1"/>
        <v>0</v>
      </c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  <c r="AO24" s="8"/>
      <c r="AP24" s="8"/>
      <c r="AQ24" s="8"/>
      <c r="AR24" s="8"/>
      <c r="AS24" s="8"/>
      <c r="AT24" s="10"/>
    </row>
    <row r="25" ht="15.75" customHeight="1">
      <c r="A25" s="11" t="s">
        <v>72</v>
      </c>
      <c r="B25" s="8">
        <f t="shared" si="1"/>
        <v>0</v>
      </c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  <c r="AT25" s="10"/>
    </row>
    <row r="26" ht="15.75" customHeight="1">
      <c r="A26" s="12" t="s">
        <v>48</v>
      </c>
      <c r="B26" s="8">
        <f t="shared" si="1"/>
        <v>7.25</v>
      </c>
      <c r="C26" s="8"/>
      <c r="D26" s="8"/>
      <c r="E26" s="8"/>
      <c r="F26" s="8"/>
      <c r="G26" s="20">
        <v>2.0</v>
      </c>
      <c r="H26" s="8"/>
      <c r="I26" s="20">
        <v>1.5</v>
      </c>
      <c r="J26" s="8"/>
      <c r="K26" s="8"/>
      <c r="L26" s="20">
        <v>2.0</v>
      </c>
      <c r="M26" s="20">
        <v>1.75</v>
      </c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8"/>
      <c r="AJ26" s="8"/>
      <c r="AK26" s="8"/>
      <c r="AL26" s="8"/>
      <c r="AM26" s="8"/>
      <c r="AN26" s="8"/>
      <c r="AO26" s="8"/>
      <c r="AP26" s="8"/>
      <c r="AQ26" s="8"/>
      <c r="AR26" s="8"/>
      <c r="AS26" s="8"/>
      <c r="AT26" s="10"/>
    </row>
    <row r="27" ht="15.75" customHeight="1">
      <c r="A27" s="11" t="s">
        <v>41</v>
      </c>
      <c r="B27" s="8">
        <f t="shared" si="1"/>
        <v>3.5</v>
      </c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20">
        <v>2.0</v>
      </c>
      <c r="O27" s="8"/>
      <c r="P27" s="8"/>
      <c r="Q27" s="20">
        <v>1.5</v>
      </c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I27" s="8"/>
      <c r="AJ27" s="8"/>
      <c r="AK27" s="8"/>
      <c r="AL27" s="8"/>
      <c r="AM27" s="8"/>
      <c r="AN27" s="8"/>
      <c r="AO27" s="8"/>
      <c r="AP27" s="8"/>
      <c r="AQ27" s="8"/>
      <c r="AR27" s="8"/>
      <c r="AS27" s="8"/>
      <c r="AT27" s="10"/>
    </row>
    <row r="28" ht="15.75" customHeight="1">
      <c r="A28" s="11" t="s">
        <v>40</v>
      </c>
      <c r="B28" s="8">
        <f t="shared" si="1"/>
        <v>0</v>
      </c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8"/>
      <c r="AK28" s="8"/>
      <c r="AL28" s="8"/>
      <c r="AM28" s="8"/>
      <c r="AN28" s="20"/>
      <c r="AO28" s="8"/>
      <c r="AP28" s="8"/>
      <c r="AQ28" s="8"/>
      <c r="AR28" s="8"/>
      <c r="AS28" s="8"/>
      <c r="AT28" s="10"/>
    </row>
    <row r="29" ht="15.75" customHeight="1">
      <c r="A29" s="11" t="s">
        <v>10</v>
      </c>
      <c r="B29" s="8">
        <f t="shared" si="1"/>
        <v>0</v>
      </c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20"/>
      <c r="AG29" s="8"/>
      <c r="AH29" s="8"/>
      <c r="AI29" s="8"/>
      <c r="AJ29" s="8"/>
      <c r="AK29" s="8"/>
      <c r="AL29" s="8"/>
      <c r="AM29" s="8"/>
      <c r="AN29" s="8"/>
      <c r="AO29" s="8"/>
      <c r="AP29" s="8"/>
      <c r="AQ29" s="8"/>
      <c r="AR29" s="8"/>
      <c r="AS29" s="8"/>
      <c r="AT29" s="10"/>
    </row>
    <row r="30" ht="15.75" customHeight="1">
      <c r="A30" s="11" t="s">
        <v>9</v>
      </c>
      <c r="B30" s="8">
        <f t="shared" si="1"/>
        <v>0</v>
      </c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  <c r="AJ30" s="8"/>
      <c r="AK30" s="8"/>
      <c r="AL30" s="8"/>
      <c r="AM30" s="8"/>
      <c r="AN30" s="8"/>
      <c r="AO30" s="8"/>
      <c r="AP30" s="8"/>
      <c r="AQ30" s="8"/>
      <c r="AR30" s="8"/>
      <c r="AS30" s="8"/>
      <c r="AT30" s="10"/>
    </row>
    <row r="31" ht="15.75" customHeight="1">
      <c r="A31" s="11" t="s">
        <v>73</v>
      </c>
      <c r="B31" s="8">
        <f t="shared" si="1"/>
        <v>0</v>
      </c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  <c r="AO31" s="8"/>
      <c r="AP31" s="8"/>
      <c r="AQ31" s="8"/>
      <c r="AR31" s="8"/>
      <c r="AS31" s="8"/>
      <c r="AT31" s="10"/>
    </row>
    <row r="32" ht="15.75" customHeight="1">
      <c r="A32" s="11" t="s">
        <v>31</v>
      </c>
      <c r="B32" s="8">
        <f t="shared" si="1"/>
        <v>0</v>
      </c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  <c r="AO32" s="8"/>
      <c r="AP32" s="8"/>
      <c r="AQ32" s="8"/>
      <c r="AR32" s="8"/>
      <c r="AS32" s="8"/>
      <c r="AT32" s="10"/>
    </row>
    <row r="33" ht="15.75" customHeight="1">
      <c r="A33" s="11" t="s">
        <v>74</v>
      </c>
      <c r="B33" s="8">
        <f t="shared" si="1"/>
        <v>0</v>
      </c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  <c r="AL33" s="8"/>
      <c r="AM33" s="8"/>
      <c r="AN33" s="8"/>
      <c r="AO33" s="8"/>
      <c r="AP33" s="8"/>
      <c r="AQ33" s="8"/>
      <c r="AR33" s="8"/>
      <c r="AS33" s="8"/>
      <c r="AT33" s="10"/>
    </row>
    <row r="34" ht="15.75" customHeight="1">
      <c r="A34" s="11" t="s">
        <v>75</v>
      </c>
      <c r="B34" s="8">
        <f t="shared" si="1"/>
        <v>0</v>
      </c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8"/>
      <c r="AJ34" s="8"/>
      <c r="AK34" s="8"/>
      <c r="AL34" s="8"/>
      <c r="AM34" s="8"/>
      <c r="AN34" s="8"/>
      <c r="AO34" s="8"/>
      <c r="AP34" s="8"/>
      <c r="AQ34" s="8"/>
      <c r="AR34" s="8"/>
      <c r="AS34" s="8"/>
      <c r="AT34" s="10"/>
    </row>
    <row r="35" ht="15.75" customHeight="1">
      <c r="A35" s="11" t="s">
        <v>15</v>
      </c>
      <c r="B35" s="8">
        <f t="shared" si="1"/>
        <v>0</v>
      </c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8"/>
      <c r="AH35" s="8"/>
      <c r="AI35" s="8"/>
      <c r="AJ35" s="8"/>
      <c r="AK35" s="8"/>
      <c r="AL35" s="8"/>
      <c r="AM35" s="8"/>
      <c r="AN35" s="8"/>
      <c r="AO35" s="8"/>
      <c r="AP35" s="8"/>
      <c r="AQ35" s="8"/>
      <c r="AR35" s="8"/>
      <c r="AS35" s="8"/>
      <c r="AT35" s="10"/>
    </row>
    <row r="36" ht="15.75" customHeight="1">
      <c r="A36" s="11" t="s">
        <v>12</v>
      </c>
      <c r="B36" s="8">
        <f t="shared" si="1"/>
        <v>2</v>
      </c>
      <c r="C36" s="8"/>
      <c r="D36" s="8"/>
      <c r="E36" s="8"/>
      <c r="F36" s="8"/>
      <c r="G36" s="8"/>
      <c r="H36" s="20">
        <v>2.0</v>
      </c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  <c r="AI36" s="8"/>
      <c r="AJ36" s="8"/>
      <c r="AK36" s="8"/>
      <c r="AL36" s="8"/>
      <c r="AM36" s="8"/>
      <c r="AN36" s="8"/>
      <c r="AO36" s="8"/>
      <c r="AP36" s="8"/>
      <c r="AQ36" s="8"/>
      <c r="AR36" s="8"/>
      <c r="AS36" s="8"/>
      <c r="AT36" s="10"/>
    </row>
    <row r="37" ht="15.75" customHeight="1">
      <c r="A37" s="11" t="s">
        <v>76</v>
      </c>
      <c r="B37" s="8">
        <f t="shared" si="1"/>
        <v>0</v>
      </c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I37" s="8"/>
      <c r="AJ37" s="8"/>
      <c r="AK37" s="8"/>
      <c r="AL37" s="8"/>
      <c r="AM37" s="8"/>
      <c r="AN37" s="8"/>
      <c r="AO37" s="8"/>
      <c r="AP37" s="8"/>
      <c r="AQ37" s="8"/>
      <c r="AR37" s="8"/>
      <c r="AS37" s="8"/>
      <c r="AT37" s="10"/>
    </row>
    <row r="38" ht="15.75" customHeight="1">
      <c r="A38" s="11" t="s">
        <v>77</v>
      </c>
      <c r="B38" s="8">
        <f t="shared" si="1"/>
        <v>0</v>
      </c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I38" s="8"/>
      <c r="AJ38" s="8"/>
      <c r="AK38" s="20"/>
      <c r="AL38" s="8"/>
      <c r="AM38" s="8"/>
      <c r="AN38" s="8"/>
      <c r="AO38" s="8"/>
      <c r="AP38" s="8"/>
      <c r="AQ38" s="8"/>
      <c r="AR38" s="8"/>
      <c r="AS38" s="8"/>
      <c r="AT38" s="10"/>
    </row>
    <row r="39" ht="15.75" customHeight="1">
      <c r="A39" s="11" t="s">
        <v>78</v>
      </c>
      <c r="B39" s="8">
        <f t="shared" si="1"/>
        <v>0</v>
      </c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  <c r="AF39" s="8"/>
      <c r="AG39" s="8"/>
      <c r="AH39" s="8"/>
      <c r="AI39" s="8"/>
      <c r="AJ39" s="8"/>
      <c r="AK39" s="8"/>
      <c r="AL39" s="8"/>
      <c r="AM39" s="8"/>
      <c r="AN39" s="8"/>
      <c r="AO39" s="8"/>
      <c r="AP39" s="8"/>
      <c r="AQ39" s="8"/>
      <c r="AR39" s="8"/>
      <c r="AS39" s="8"/>
      <c r="AT39" s="10"/>
    </row>
    <row r="40" ht="15.75" customHeight="1">
      <c r="A40" s="11" t="s">
        <v>79</v>
      </c>
      <c r="B40" s="8">
        <f t="shared" si="1"/>
        <v>0</v>
      </c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8"/>
      <c r="AG40" s="20"/>
      <c r="AH40" s="8"/>
      <c r="AI40" s="8"/>
      <c r="AJ40" s="8"/>
      <c r="AK40" s="8"/>
      <c r="AL40" s="8"/>
      <c r="AM40" s="8"/>
      <c r="AN40" s="8"/>
      <c r="AO40" s="8"/>
      <c r="AP40" s="8"/>
      <c r="AQ40" s="8"/>
      <c r="AR40" s="8"/>
      <c r="AS40" s="8"/>
      <c r="AT40" s="10"/>
    </row>
    <row r="41" ht="15.75" customHeight="1">
      <c r="A41" s="11" t="s">
        <v>80</v>
      </c>
      <c r="B41" s="8">
        <f t="shared" si="1"/>
        <v>0</v>
      </c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I41" s="8"/>
      <c r="AJ41" s="8"/>
      <c r="AK41" s="8"/>
      <c r="AL41" s="8"/>
      <c r="AM41" s="8"/>
      <c r="AN41" s="8"/>
      <c r="AO41" s="8"/>
      <c r="AP41" s="8"/>
      <c r="AQ41" s="8"/>
      <c r="AR41" s="8"/>
      <c r="AS41" s="8"/>
      <c r="AT41" s="10"/>
    </row>
    <row r="42" ht="15.75" customHeight="1">
      <c r="A42" s="11" t="s">
        <v>81</v>
      </c>
      <c r="B42" s="8">
        <f t="shared" si="1"/>
        <v>0</v>
      </c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I42" s="8"/>
      <c r="AJ42" s="8"/>
      <c r="AK42" s="8"/>
      <c r="AL42" s="8"/>
      <c r="AM42" s="8"/>
      <c r="AN42" s="8"/>
      <c r="AO42" s="8"/>
      <c r="AP42" s="8"/>
      <c r="AQ42" s="8"/>
      <c r="AR42" s="8"/>
      <c r="AS42" s="8"/>
      <c r="AT42" s="10"/>
    </row>
    <row r="43" ht="15.75" customHeight="1">
      <c r="A43" s="11" t="s">
        <v>82</v>
      </c>
      <c r="B43" s="8">
        <f t="shared" si="1"/>
        <v>0</v>
      </c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8"/>
      <c r="AH43" s="8"/>
      <c r="AI43" s="8"/>
      <c r="AJ43" s="8"/>
      <c r="AK43" s="8"/>
      <c r="AL43" s="8"/>
      <c r="AM43" s="8"/>
      <c r="AN43" s="8"/>
      <c r="AO43" s="8"/>
      <c r="AP43" s="8"/>
      <c r="AQ43" s="8"/>
      <c r="AR43" s="8"/>
      <c r="AS43" s="8"/>
      <c r="AT43" s="10"/>
    </row>
    <row r="44" ht="15.75" customHeight="1">
      <c r="A44" s="11" t="s">
        <v>83</v>
      </c>
      <c r="B44" s="8">
        <f t="shared" si="1"/>
        <v>0</v>
      </c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8"/>
      <c r="AJ44" s="8"/>
      <c r="AK44" s="8"/>
      <c r="AL44" s="8"/>
      <c r="AM44" s="8"/>
      <c r="AN44" s="8"/>
      <c r="AO44" s="8"/>
      <c r="AP44" s="8"/>
      <c r="AQ44" s="8"/>
      <c r="AR44" s="8"/>
      <c r="AS44" s="8"/>
      <c r="AT44" s="10"/>
    </row>
    <row r="45" ht="15.75" customHeight="1">
      <c r="A45" s="11" t="s">
        <v>84</v>
      </c>
      <c r="B45" s="8">
        <f t="shared" si="1"/>
        <v>2</v>
      </c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20">
        <v>2.0</v>
      </c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8"/>
      <c r="AJ45" s="8"/>
      <c r="AK45" s="8"/>
      <c r="AL45" s="8"/>
      <c r="AM45" s="8"/>
      <c r="AN45" s="8"/>
      <c r="AO45" s="8"/>
      <c r="AP45" s="8"/>
      <c r="AQ45" s="8"/>
      <c r="AR45" s="8"/>
      <c r="AS45" s="8"/>
      <c r="AT45" s="10"/>
    </row>
    <row r="46" ht="15.75" customHeight="1">
      <c r="A46" s="12" t="s">
        <v>362</v>
      </c>
      <c r="B46" s="8">
        <f t="shared" si="1"/>
        <v>2</v>
      </c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20">
        <v>2.0</v>
      </c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8"/>
      <c r="AJ46" s="8"/>
      <c r="AK46" s="8"/>
      <c r="AL46" s="8"/>
      <c r="AM46" s="8"/>
      <c r="AN46" s="8"/>
      <c r="AO46" s="8"/>
      <c r="AP46" s="8"/>
      <c r="AQ46" s="8"/>
      <c r="AR46" s="8"/>
      <c r="AS46" s="8"/>
      <c r="AT46" s="10"/>
    </row>
    <row r="47" ht="15.75" customHeight="1">
      <c r="A47" s="11" t="s">
        <v>86</v>
      </c>
      <c r="B47" s="8">
        <f t="shared" si="1"/>
        <v>0</v>
      </c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8"/>
      <c r="AJ47" s="8"/>
      <c r="AK47" s="8"/>
      <c r="AL47" s="8"/>
      <c r="AM47" s="8"/>
      <c r="AN47" s="8"/>
      <c r="AO47" s="8"/>
      <c r="AP47" s="8"/>
      <c r="AQ47" s="8"/>
      <c r="AR47" s="8"/>
      <c r="AS47" s="8"/>
      <c r="AT47" s="10"/>
    </row>
    <row r="48" ht="15.75" customHeight="1">
      <c r="A48" s="11" t="s">
        <v>87</v>
      </c>
      <c r="B48" s="8">
        <f t="shared" si="1"/>
        <v>0</v>
      </c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  <c r="AE48" s="8"/>
      <c r="AF48" s="8"/>
      <c r="AG48" s="8"/>
      <c r="AH48" s="8"/>
      <c r="AI48" s="8"/>
      <c r="AJ48" s="8"/>
      <c r="AK48" s="8"/>
      <c r="AL48" s="8"/>
      <c r="AM48" s="8"/>
      <c r="AN48" s="8"/>
      <c r="AO48" s="8"/>
      <c r="AP48" s="8"/>
      <c r="AQ48" s="8"/>
      <c r="AR48" s="8"/>
      <c r="AS48" s="8"/>
      <c r="AT48" s="10"/>
    </row>
    <row r="49" ht="15.75" customHeight="1">
      <c r="A49" s="11" t="s">
        <v>88</v>
      </c>
      <c r="B49" s="8">
        <f t="shared" si="1"/>
        <v>0</v>
      </c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  <c r="AE49" s="8"/>
      <c r="AF49" s="8"/>
      <c r="AG49" s="8"/>
      <c r="AH49" s="8"/>
      <c r="AI49" s="8"/>
      <c r="AJ49" s="8"/>
      <c r="AK49" s="8"/>
      <c r="AL49" s="8"/>
      <c r="AM49" s="8"/>
      <c r="AN49" s="8"/>
      <c r="AO49" s="8"/>
      <c r="AP49" s="8"/>
      <c r="AQ49" s="8"/>
      <c r="AR49" s="8"/>
      <c r="AS49" s="8"/>
      <c r="AT49" s="10"/>
    </row>
    <row r="50" ht="15.75" customHeight="1">
      <c r="A50" s="11" t="s">
        <v>89</v>
      </c>
      <c r="B50" s="8">
        <f t="shared" si="1"/>
        <v>0</v>
      </c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  <c r="AE50" s="8"/>
      <c r="AF50" s="8"/>
      <c r="AG50" s="8"/>
      <c r="AH50" s="8"/>
      <c r="AI50" s="8"/>
      <c r="AJ50" s="8"/>
      <c r="AK50" s="8"/>
      <c r="AL50" s="8"/>
      <c r="AM50" s="8"/>
      <c r="AN50" s="8"/>
      <c r="AO50" s="8"/>
      <c r="AP50" s="8"/>
      <c r="AQ50" s="8"/>
      <c r="AR50" s="8"/>
      <c r="AS50" s="8"/>
      <c r="AT50" s="10"/>
    </row>
    <row r="51" ht="15.75" customHeight="1">
      <c r="A51" s="11" t="s">
        <v>90</v>
      </c>
      <c r="B51" s="8">
        <f t="shared" si="1"/>
        <v>0</v>
      </c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  <c r="AE51" s="8"/>
      <c r="AF51" s="20"/>
      <c r="AG51" s="8"/>
      <c r="AH51" s="8"/>
      <c r="AI51" s="8"/>
      <c r="AJ51" s="8"/>
      <c r="AK51" s="8"/>
      <c r="AL51" s="8"/>
      <c r="AM51" s="8"/>
      <c r="AN51" s="8"/>
      <c r="AO51" s="8"/>
      <c r="AP51" s="8"/>
      <c r="AQ51" s="8"/>
      <c r="AR51" s="8"/>
      <c r="AS51" s="8"/>
      <c r="AT51" s="10"/>
    </row>
    <row r="52" ht="15.75" customHeight="1">
      <c r="A52" s="11" t="s">
        <v>91</v>
      </c>
      <c r="B52" s="8">
        <f t="shared" si="1"/>
        <v>0</v>
      </c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  <c r="AD52" s="8"/>
      <c r="AE52" s="8"/>
      <c r="AF52" s="8"/>
      <c r="AG52" s="8"/>
      <c r="AH52" s="8"/>
      <c r="AI52" s="8"/>
      <c r="AJ52" s="8"/>
      <c r="AK52" s="8"/>
      <c r="AL52" s="8"/>
      <c r="AM52" s="8"/>
      <c r="AN52" s="8"/>
      <c r="AO52" s="8"/>
      <c r="AP52" s="8"/>
      <c r="AQ52" s="8"/>
      <c r="AR52" s="8"/>
      <c r="AS52" s="8"/>
      <c r="AT52" s="10"/>
    </row>
    <row r="53" ht="15.75" customHeight="1">
      <c r="A53" s="11" t="s">
        <v>92</v>
      </c>
      <c r="B53" s="8">
        <f t="shared" si="1"/>
        <v>5.75</v>
      </c>
      <c r="C53" s="8"/>
      <c r="D53" s="8"/>
      <c r="E53" s="21">
        <v>2.0</v>
      </c>
      <c r="F53" s="8"/>
      <c r="G53" s="20">
        <v>2.0</v>
      </c>
      <c r="H53" s="8"/>
      <c r="I53" s="8"/>
      <c r="J53" s="8"/>
      <c r="K53" s="8"/>
      <c r="L53" s="8"/>
      <c r="M53" s="8"/>
      <c r="N53" s="8"/>
      <c r="O53" s="8"/>
      <c r="P53" s="20">
        <v>1.75</v>
      </c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  <c r="AC53" s="8"/>
      <c r="AD53" s="20"/>
      <c r="AE53" s="20"/>
      <c r="AF53" s="8"/>
      <c r="AG53" s="20"/>
      <c r="AH53" s="8"/>
      <c r="AI53" s="8"/>
      <c r="AJ53" s="20"/>
      <c r="AK53" s="8"/>
      <c r="AL53" s="8"/>
      <c r="AM53" s="8"/>
      <c r="AN53" s="20"/>
      <c r="AO53" s="20"/>
      <c r="AP53" s="8"/>
      <c r="AQ53" s="8"/>
      <c r="AR53" s="8"/>
      <c r="AS53" s="8"/>
      <c r="AT53" s="10"/>
    </row>
    <row r="54" ht="15.75" customHeight="1">
      <c r="A54" s="11" t="s">
        <v>93</v>
      </c>
      <c r="B54" s="8">
        <f t="shared" si="1"/>
        <v>0</v>
      </c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  <c r="AC54" s="8"/>
      <c r="AD54" s="8"/>
      <c r="AE54" s="8"/>
      <c r="AF54" s="8"/>
      <c r="AG54" s="8"/>
      <c r="AH54" s="8"/>
      <c r="AI54" s="8"/>
      <c r="AJ54" s="8"/>
      <c r="AK54" s="8"/>
      <c r="AL54" s="8"/>
      <c r="AM54" s="8"/>
      <c r="AN54" s="8"/>
      <c r="AO54" s="8"/>
      <c r="AP54" s="8"/>
      <c r="AQ54" s="8"/>
      <c r="AR54" s="8"/>
      <c r="AS54" s="8"/>
      <c r="AT54" s="10"/>
    </row>
    <row r="55" ht="15.75" customHeight="1">
      <c r="A55" s="11" t="s">
        <v>94</v>
      </c>
      <c r="B55" s="8">
        <f t="shared" si="1"/>
        <v>0</v>
      </c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  <c r="AD55" s="8"/>
      <c r="AE55" s="8"/>
      <c r="AF55" s="8"/>
      <c r="AG55" s="8"/>
      <c r="AH55" s="8"/>
      <c r="AI55" s="8"/>
      <c r="AJ55" s="8"/>
      <c r="AK55" s="8"/>
      <c r="AL55" s="8"/>
      <c r="AM55" s="8"/>
      <c r="AN55" s="8"/>
      <c r="AO55" s="8"/>
      <c r="AP55" s="8"/>
      <c r="AQ55" s="8"/>
      <c r="AR55" s="8"/>
      <c r="AS55" s="8"/>
      <c r="AT55" s="10"/>
    </row>
    <row r="56" ht="15.75" customHeight="1">
      <c r="A56" s="11" t="s">
        <v>95</v>
      </c>
      <c r="B56" s="8">
        <f t="shared" si="1"/>
        <v>0</v>
      </c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  <c r="AC56" s="8"/>
      <c r="AD56" s="8"/>
      <c r="AE56" s="8"/>
      <c r="AF56" s="8"/>
      <c r="AG56" s="8"/>
      <c r="AH56" s="8"/>
      <c r="AI56" s="8"/>
      <c r="AJ56" s="8"/>
      <c r="AK56" s="8"/>
      <c r="AL56" s="8"/>
      <c r="AM56" s="8"/>
      <c r="AN56" s="8"/>
      <c r="AO56" s="8"/>
      <c r="AP56" s="8"/>
      <c r="AQ56" s="8"/>
      <c r="AR56" s="8"/>
      <c r="AS56" s="8"/>
      <c r="AT56" s="10"/>
    </row>
    <row r="57" ht="15.75" customHeight="1">
      <c r="A57" s="11" t="s">
        <v>96</v>
      </c>
      <c r="B57" s="8">
        <f t="shared" si="1"/>
        <v>0</v>
      </c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  <c r="AE57" s="8"/>
      <c r="AF57" s="8"/>
      <c r="AG57" s="8"/>
      <c r="AH57" s="8"/>
      <c r="AI57" s="8"/>
      <c r="AJ57" s="8"/>
      <c r="AK57" s="8"/>
      <c r="AL57" s="8"/>
      <c r="AM57" s="8"/>
      <c r="AN57" s="8"/>
      <c r="AO57" s="8"/>
      <c r="AP57" s="8"/>
      <c r="AQ57" s="8"/>
      <c r="AR57" s="8"/>
      <c r="AS57" s="8"/>
      <c r="AT57" s="10"/>
    </row>
    <row r="58" ht="15.75" customHeight="1">
      <c r="A58" s="11" t="s">
        <v>97</v>
      </c>
      <c r="B58" s="8">
        <f t="shared" si="1"/>
        <v>0</v>
      </c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  <c r="AD58" s="8"/>
      <c r="AE58" s="8"/>
      <c r="AF58" s="8"/>
      <c r="AG58" s="8"/>
      <c r="AH58" s="8"/>
      <c r="AI58" s="8"/>
      <c r="AJ58" s="8"/>
      <c r="AK58" s="8"/>
      <c r="AL58" s="8"/>
      <c r="AM58" s="8"/>
      <c r="AN58" s="8"/>
      <c r="AO58" s="8"/>
      <c r="AP58" s="8"/>
      <c r="AQ58" s="8"/>
      <c r="AR58" s="8"/>
      <c r="AS58" s="8"/>
      <c r="AT58" s="10"/>
    </row>
    <row r="59" ht="15.75" customHeight="1">
      <c r="A59" s="11" t="s">
        <v>98</v>
      </c>
      <c r="B59" s="8">
        <f t="shared" si="1"/>
        <v>0</v>
      </c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  <c r="AD59" s="8"/>
      <c r="AE59" s="8"/>
      <c r="AF59" s="8"/>
      <c r="AG59" s="8"/>
      <c r="AH59" s="8"/>
      <c r="AI59" s="8"/>
      <c r="AJ59" s="8"/>
      <c r="AK59" s="8"/>
      <c r="AL59" s="8"/>
      <c r="AM59" s="8"/>
      <c r="AN59" s="8"/>
      <c r="AO59" s="8"/>
      <c r="AP59" s="8"/>
      <c r="AQ59" s="8"/>
      <c r="AR59" s="8"/>
      <c r="AS59" s="8"/>
      <c r="AT59" s="10"/>
    </row>
    <row r="60" ht="15.75" customHeight="1">
      <c r="A60" s="11" t="s">
        <v>99</v>
      </c>
      <c r="B60" s="8">
        <f t="shared" si="1"/>
        <v>0</v>
      </c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  <c r="AD60" s="8"/>
      <c r="AE60" s="8"/>
      <c r="AF60" s="8"/>
      <c r="AG60" s="8"/>
      <c r="AH60" s="8"/>
      <c r="AI60" s="8"/>
      <c r="AJ60" s="8"/>
      <c r="AK60" s="8"/>
      <c r="AL60" s="8"/>
      <c r="AM60" s="8"/>
      <c r="AN60" s="8"/>
      <c r="AO60" s="8"/>
      <c r="AP60" s="8"/>
      <c r="AQ60" s="8"/>
      <c r="AR60" s="8"/>
      <c r="AS60" s="8"/>
      <c r="AT60" s="10"/>
    </row>
    <row r="61" ht="15.75" customHeight="1">
      <c r="A61" s="11" t="s">
        <v>100</v>
      </c>
      <c r="B61" s="8">
        <f t="shared" si="1"/>
        <v>0</v>
      </c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  <c r="AD61" s="8"/>
      <c r="AE61" s="8"/>
      <c r="AF61" s="8"/>
      <c r="AG61" s="8"/>
      <c r="AH61" s="8"/>
      <c r="AI61" s="21"/>
      <c r="AJ61" s="8"/>
      <c r="AK61" s="8"/>
      <c r="AL61" s="8"/>
      <c r="AM61" s="8"/>
      <c r="AN61" s="8"/>
      <c r="AO61" s="8"/>
      <c r="AP61" s="8"/>
      <c r="AQ61" s="8"/>
      <c r="AR61" s="8"/>
      <c r="AS61" s="8"/>
      <c r="AT61" s="10"/>
    </row>
    <row r="62" ht="15.75" customHeight="1">
      <c r="A62" s="11" t="s">
        <v>101</v>
      </c>
      <c r="B62" s="8">
        <f t="shared" si="1"/>
        <v>0</v>
      </c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  <c r="AC62" s="8"/>
      <c r="AD62" s="8"/>
      <c r="AE62" s="8"/>
      <c r="AF62" s="8"/>
      <c r="AG62" s="8"/>
      <c r="AH62" s="8"/>
      <c r="AI62" s="8"/>
      <c r="AJ62" s="8"/>
      <c r="AK62" s="8"/>
      <c r="AL62" s="8"/>
      <c r="AM62" s="8"/>
      <c r="AN62" s="8"/>
      <c r="AO62" s="8"/>
      <c r="AP62" s="8"/>
      <c r="AQ62" s="8"/>
      <c r="AR62" s="8"/>
      <c r="AS62" s="8"/>
      <c r="AT62" s="10"/>
    </row>
    <row r="63" ht="15.75" customHeight="1">
      <c r="A63" s="11" t="s">
        <v>102</v>
      </c>
      <c r="B63" s="8">
        <f t="shared" si="1"/>
        <v>0</v>
      </c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  <c r="AD63" s="8"/>
      <c r="AE63" s="8"/>
      <c r="AF63" s="8"/>
      <c r="AG63" s="8"/>
      <c r="AH63" s="8"/>
      <c r="AI63" s="8"/>
      <c r="AJ63" s="8"/>
      <c r="AK63" s="8"/>
      <c r="AL63" s="8"/>
      <c r="AM63" s="8"/>
      <c r="AN63" s="8"/>
      <c r="AO63" s="8"/>
      <c r="AP63" s="8"/>
      <c r="AQ63" s="8"/>
      <c r="AR63" s="8"/>
      <c r="AS63" s="8"/>
      <c r="AT63" s="10"/>
    </row>
    <row r="64" ht="15.75" customHeight="1">
      <c r="A64" s="11" t="s">
        <v>103</v>
      </c>
      <c r="B64" s="8">
        <f t="shared" si="1"/>
        <v>0</v>
      </c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8"/>
      <c r="AH64" s="8"/>
      <c r="AI64" s="8"/>
      <c r="AJ64" s="8"/>
      <c r="AK64" s="8"/>
      <c r="AL64" s="8"/>
      <c r="AM64" s="8"/>
      <c r="AN64" s="8"/>
      <c r="AO64" s="8"/>
      <c r="AP64" s="8"/>
      <c r="AQ64" s="8"/>
      <c r="AR64" s="8"/>
      <c r="AS64" s="8"/>
      <c r="AT64" s="10"/>
    </row>
    <row r="65" ht="15.75" customHeight="1">
      <c r="A65" s="11" t="s">
        <v>104</v>
      </c>
      <c r="B65" s="8">
        <f t="shared" si="1"/>
        <v>0</v>
      </c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  <c r="AE65" s="8"/>
      <c r="AF65" s="8"/>
      <c r="AG65" s="8"/>
      <c r="AH65" s="8"/>
      <c r="AI65" s="8"/>
      <c r="AJ65" s="8"/>
      <c r="AK65" s="8"/>
      <c r="AL65" s="8"/>
      <c r="AM65" s="8"/>
      <c r="AN65" s="8"/>
      <c r="AO65" s="8"/>
      <c r="AP65" s="8"/>
      <c r="AQ65" s="8"/>
      <c r="AR65" s="8"/>
      <c r="AS65" s="8"/>
      <c r="AT65" s="10"/>
    </row>
    <row r="66" ht="15.75" customHeight="1">
      <c r="A66" s="11" t="s">
        <v>105</v>
      </c>
      <c r="B66" s="8">
        <f t="shared" si="1"/>
        <v>0</v>
      </c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  <c r="AD66" s="8"/>
      <c r="AE66" s="8"/>
      <c r="AF66" s="8"/>
      <c r="AG66" s="8"/>
      <c r="AH66" s="8"/>
      <c r="AI66" s="8"/>
      <c r="AJ66" s="8"/>
      <c r="AK66" s="8"/>
      <c r="AL66" s="8"/>
      <c r="AM66" s="8"/>
      <c r="AN66" s="8"/>
      <c r="AO66" s="8"/>
      <c r="AP66" s="8"/>
      <c r="AQ66" s="8"/>
      <c r="AR66" s="8"/>
      <c r="AS66" s="8"/>
      <c r="AT66" s="10"/>
    </row>
    <row r="67" ht="15.75" customHeight="1">
      <c r="A67" s="11" t="s">
        <v>106</v>
      </c>
      <c r="B67" s="8">
        <f t="shared" si="1"/>
        <v>0</v>
      </c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  <c r="AD67" s="8"/>
      <c r="AE67" s="8"/>
      <c r="AF67" s="8"/>
      <c r="AG67" s="8"/>
      <c r="AH67" s="8"/>
      <c r="AI67" s="8"/>
      <c r="AJ67" s="8"/>
      <c r="AK67" s="8"/>
      <c r="AL67" s="8"/>
      <c r="AM67" s="8"/>
      <c r="AN67" s="8"/>
      <c r="AO67" s="8"/>
      <c r="AP67" s="8"/>
      <c r="AQ67" s="8"/>
      <c r="AR67" s="8"/>
      <c r="AS67" s="8"/>
      <c r="AT67" s="10"/>
    </row>
    <row r="68" ht="15.75" customHeight="1">
      <c r="A68" s="11" t="s">
        <v>107</v>
      </c>
      <c r="B68" s="8">
        <f t="shared" si="1"/>
        <v>0</v>
      </c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  <c r="AD68" s="8"/>
      <c r="AE68" s="8"/>
      <c r="AF68" s="8"/>
      <c r="AG68" s="8"/>
      <c r="AH68" s="8"/>
      <c r="AI68" s="8"/>
      <c r="AJ68" s="8"/>
      <c r="AK68" s="8"/>
      <c r="AL68" s="8"/>
      <c r="AM68" s="8"/>
      <c r="AN68" s="8"/>
      <c r="AO68" s="8"/>
      <c r="AP68" s="8"/>
      <c r="AQ68" s="8"/>
      <c r="AR68" s="8"/>
      <c r="AS68" s="8"/>
      <c r="AT68" s="10"/>
    </row>
    <row r="69" ht="15.75" customHeight="1">
      <c r="A69" s="11" t="s">
        <v>108</v>
      </c>
      <c r="B69" s="8">
        <f t="shared" si="1"/>
        <v>0</v>
      </c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  <c r="AE69" s="8"/>
      <c r="AF69" s="8"/>
      <c r="AG69" s="8"/>
      <c r="AH69" s="8"/>
      <c r="AI69" s="8"/>
      <c r="AJ69" s="8"/>
      <c r="AK69" s="8"/>
      <c r="AL69" s="8"/>
      <c r="AM69" s="8"/>
      <c r="AN69" s="8"/>
      <c r="AO69" s="8"/>
      <c r="AP69" s="8"/>
      <c r="AQ69" s="8"/>
      <c r="AR69" s="8"/>
      <c r="AS69" s="8"/>
      <c r="AT69" s="10"/>
    </row>
    <row r="70" ht="15.75" customHeight="1">
      <c r="A70" s="11" t="s">
        <v>109</v>
      </c>
      <c r="B70" s="8">
        <f t="shared" si="1"/>
        <v>2</v>
      </c>
      <c r="C70" s="8"/>
      <c r="D70" s="8"/>
      <c r="E70" s="21">
        <v>2.0</v>
      </c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/>
      <c r="AF70" s="20"/>
      <c r="AG70" s="8"/>
      <c r="AH70" s="8"/>
      <c r="AI70" s="21"/>
      <c r="AJ70" s="8"/>
      <c r="AK70" s="20"/>
      <c r="AL70" s="8"/>
      <c r="AM70" s="8"/>
      <c r="AN70" s="8"/>
      <c r="AO70" s="20"/>
      <c r="AP70" s="8"/>
      <c r="AQ70" s="8"/>
      <c r="AR70" s="8"/>
      <c r="AS70" s="8"/>
      <c r="AT70" s="10"/>
    </row>
    <row r="71" ht="15.75" customHeight="1">
      <c r="A71" s="11" t="s">
        <v>110</v>
      </c>
      <c r="B71" s="8">
        <f t="shared" si="1"/>
        <v>0</v>
      </c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  <c r="AE71" s="8"/>
      <c r="AF71" s="8"/>
      <c r="AG71" s="8"/>
      <c r="AH71" s="8"/>
      <c r="AI71" s="8"/>
      <c r="AJ71" s="8"/>
      <c r="AK71" s="8"/>
      <c r="AL71" s="8"/>
      <c r="AM71" s="8"/>
      <c r="AN71" s="8"/>
      <c r="AO71" s="8"/>
      <c r="AP71" s="8"/>
      <c r="AQ71" s="8"/>
      <c r="AR71" s="8"/>
      <c r="AS71" s="8"/>
      <c r="AT71" s="10"/>
    </row>
    <row r="72" ht="15.75" customHeight="1">
      <c r="A72" s="11" t="s">
        <v>111</v>
      </c>
      <c r="B72" s="8">
        <f t="shared" si="1"/>
        <v>0</v>
      </c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  <c r="AD72" s="8"/>
      <c r="AE72" s="8"/>
      <c r="AF72" s="8"/>
      <c r="AG72" s="8"/>
      <c r="AH72" s="8"/>
      <c r="AI72" s="8"/>
      <c r="AJ72" s="8"/>
      <c r="AK72" s="8"/>
      <c r="AL72" s="8"/>
      <c r="AM72" s="8"/>
      <c r="AN72" s="8"/>
      <c r="AO72" s="8"/>
      <c r="AP72" s="8"/>
      <c r="AQ72" s="8"/>
      <c r="AR72" s="8"/>
      <c r="AS72" s="8"/>
      <c r="AT72" s="10"/>
    </row>
    <row r="73" ht="15.75" customHeight="1">
      <c r="A73" s="11" t="s">
        <v>112</v>
      </c>
      <c r="B73" s="8">
        <f t="shared" si="1"/>
        <v>0</v>
      </c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  <c r="AD73" s="8"/>
      <c r="AE73" s="8"/>
      <c r="AF73" s="8"/>
      <c r="AG73" s="8"/>
      <c r="AH73" s="8"/>
      <c r="AI73" s="8"/>
      <c r="AJ73" s="8"/>
      <c r="AK73" s="8"/>
      <c r="AL73" s="8"/>
      <c r="AM73" s="8"/>
      <c r="AN73" s="8"/>
      <c r="AO73" s="8"/>
      <c r="AP73" s="8"/>
      <c r="AQ73" s="8"/>
      <c r="AR73" s="8"/>
      <c r="AS73" s="8"/>
      <c r="AT73" s="10"/>
    </row>
    <row r="74" ht="15.75" customHeight="1">
      <c r="A74" s="11" t="s">
        <v>113</v>
      </c>
      <c r="B74" s="8">
        <f t="shared" si="1"/>
        <v>0</v>
      </c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  <c r="AD74" s="8"/>
      <c r="AE74" s="8"/>
      <c r="AF74" s="8"/>
      <c r="AG74" s="8"/>
      <c r="AH74" s="8"/>
      <c r="AI74" s="8"/>
      <c r="AJ74" s="8"/>
      <c r="AK74" s="8"/>
      <c r="AL74" s="8"/>
      <c r="AM74" s="8"/>
      <c r="AN74" s="8"/>
      <c r="AO74" s="8"/>
      <c r="AP74" s="8"/>
      <c r="AQ74" s="8"/>
      <c r="AR74" s="8"/>
      <c r="AS74" s="8"/>
      <c r="AT74" s="10"/>
    </row>
    <row r="75" ht="15.75" customHeight="1">
      <c r="A75" s="11" t="s">
        <v>114</v>
      </c>
      <c r="B75" s="8">
        <f t="shared" si="1"/>
        <v>0</v>
      </c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  <c r="AD75" s="8"/>
      <c r="AE75" s="8"/>
      <c r="AF75" s="8"/>
      <c r="AG75" s="8"/>
      <c r="AH75" s="8"/>
      <c r="AI75" s="8"/>
      <c r="AJ75" s="8"/>
      <c r="AK75" s="8"/>
      <c r="AL75" s="8"/>
      <c r="AM75" s="8"/>
      <c r="AN75" s="8"/>
      <c r="AO75" s="8"/>
      <c r="AP75" s="8"/>
      <c r="AQ75" s="8"/>
      <c r="AR75" s="8"/>
      <c r="AS75" s="8"/>
      <c r="AT75" s="10"/>
    </row>
    <row r="76" ht="15.75" customHeight="1">
      <c r="A76" s="11" t="s">
        <v>115</v>
      </c>
      <c r="B76" s="8">
        <f t="shared" si="1"/>
        <v>0</v>
      </c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  <c r="AE76" s="8"/>
      <c r="AF76" s="8"/>
      <c r="AG76" s="8"/>
      <c r="AH76" s="8"/>
      <c r="AI76" s="8"/>
      <c r="AJ76" s="8"/>
      <c r="AK76" s="8"/>
      <c r="AL76" s="8"/>
      <c r="AM76" s="8"/>
      <c r="AN76" s="8"/>
      <c r="AO76" s="8"/>
      <c r="AP76" s="8"/>
      <c r="AQ76" s="8"/>
      <c r="AR76" s="8"/>
      <c r="AS76" s="8"/>
      <c r="AT76" s="10"/>
    </row>
    <row r="77" ht="15.75" customHeight="1">
      <c r="A77" s="11" t="s">
        <v>116</v>
      </c>
      <c r="B77" s="8">
        <f t="shared" si="1"/>
        <v>0</v>
      </c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  <c r="AE77" s="8"/>
      <c r="AF77" s="8"/>
      <c r="AG77" s="8"/>
      <c r="AH77" s="8"/>
      <c r="AI77" s="8"/>
      <c r="AJ77" s="8"/>
      <c r="AK77" s="8"/>
      <c r="AL77" s="8"/>
      <c r="AM77" s="8"/>
      <c r="AN77" s="8"/>
      <c r="AO77" s="8"/>
      <c r="AP77" s="8"/>
      <c r="AQ77" s="8"/>
      <c r="AR77" s="8"/>
      <c r="AS77" s="8"/>
      <c r="AT77" s="10"/>
    </row>
    <row r="78" ht="15.75" customHeight="1">
      <c r="A78" s="22" t="s">
        <v>117</v>
      </c>
      <c r="B78" s="8">
        <f t="shared" si="1"/>
        <v>0</v>
      </c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  <c r="AD78" s="8"/>
      <c r="AE78" s="8"/>
      <c r="AF78" s="8"/>
      <c r="AG78" s="8"/>
      <c r="AH78" s="8"/>
      <c r="AI78" s="8"/>
      <c r="AJ78" s="8"/>
      <c r="AK78" s="8"/>
      <c r="AL78" s="8"/>
      <c r="AM78" s="8"/>
      <c r="AN78" s="8"/>
      <c r="AO78" s="8"/>
      <c r="AP78" s="8"/>
      <c r="AQ78" s="8"/>
      <c r="AR78" s="8"/>
      <c r="AS78" s="8"/>
      <c r="AT78" s="8"/>
    </row>
    <row r="79" ht="15.75" customHeight="1">
      <c r="A79" s="22" t="s">
        <v>118</v>
      </c>
      <c r="B79" s="8">
        <f t="shared" si="1"/>
        <v>0</v>
      </c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  <c r="AD79" s="8"/>
      <c r="AE79" s="8"/>
      <c r="AF79" s="8"/>
      <c r="AG79" s="8"/>
      <c r="AH79" s="8"/>
      <c r="AI79" s="8"/>
      <c r="AJ79" s="8"/>
      <c r="AK79" s="8"/>
      <c r="AL79" s="8"/>
      <c r="AM79" s="8"/>
      <c r="AN79" s="8"/>
      <c r="AO79" s="8"/>
      <c r="AP79" s="8"/>
      <c r="AQ79" s="8"/>
      <c r="AR79" s="8"/>
      <c r="AS79" s="8"/>
      <c r="AT79" s="8"/>
    </row>
    <row r="80" ht="15.75" customHeight="1">
      <c r="A80" s="22" t="s">
        <v>119</v>
      </c>
      <c r="B80" s="8">
        <f t="shared" si="1"/>
        <v>0</v>
      </c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  <c r="AE80" s="8"/>
      <c r="AF80" s="8"/>
      <c r="AG80" s="8"/>
      <c r="AH80" s="8"/>
      <c r="AI80" s="8"/>
      <c r="AJ80" s="8"/>
      <c r="AK80" s="8"/>
      <c r="AL80" s="8"/>
      <c r="AM80" s="8"/>
      <c r="AN80" s="8"/>
      <c r="AO80" s="8"/>
      <c r="AP80" s="8"/>
      <c r="AQ80" s="8"/>
      <c r="AR80" s="8"/>
      <c r="AS80" s="8"/>
      <c r="AT80" s="8"/>
    </row>
    <row r="81" ht="15.75" customHeight="1">
      <c r="A81" s="22" t="s">
        <v>120</v>
      </c>
      <c r="B81" s="8">
        <f t="shared" si="1"/>
        <v>0</v>
      </c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  <c r="AD81" s="8"/>
      <c r="AE81" s="8"/>
      <c r="AF81" s="8"/>
      <c r="AG81" s="8"/>
      <c r="AH81" s="8"/>
      <c r="AI81" s="8"/>
      <c r="AJ81" s="8"/>
      <c r="AK81" s="8"/>
      <c r="AL81" s="8"/>
      <c r="AM81" s="8"/>
      <c r="AN81" s="8"/>
      <c r="AO81" s="8"/>
      <c r="AP81" s="8"/>
      <c r="AQ81" s="8"/>
      <c r="AR81" s="8"/>
      <c r="AS81" s="8"/>
      <c r="AT81" s="8"/>
    </row>
    <row r="82" ht="15.75" customHeight="1">
      <c r="A82" s="22" t="s">
        <v>121</v>
      </c>
      <c r="B82" s="8">
        <f t="shared" si="1"/>
        <v>0</v>
      </c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  <c r="AD82" s="8"/>
      <c r="AE82" s="8"/>
      <c r="AF82" s="8"/>
      <c r="AG82" s="8"/>
      <c r="AH82" s="8"/>
      <c r="AI82" s="8"/>
      <c r="AJ82" s="8"/>
      <c r="AK82" s="8"/>
      <c r="AL82" s="8"/>
      <c r="AM82" s="8"/>
      <c r="AN82" s="8"/>
      <c r="AO82" s="8"/>
      <c r="AP82" s="8"/>
      <c r="AQ82" s="8"/>
      <c r="AR82" s="8"/>
      <c r="AS82" s="8"/>
      <c r="AT82" s="8"/>
    </row>
    <row r="83" ht="15.75" customHeight="1">
      <c r="A83" s="22" t="s">
        <v>122</v>
      </c>
      <c r="B83" s="8">
        <f t="shared" si="1"/>
        <v>0</v>
      </c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  <c r="AE83" s="8"/>
      <c r="AF83" s="8"/>
      <c r="AG83" s="8"/>
      <c r="AH83" s="8"/>
      <c r="AI83" s="8"/>
      <c r="AJ83" s="8"/>
      <c r="AK83" s="8"/>
      <c r="AL83" s="8"/>
      <c r="AM83" s="8"/>
      <c r="AN83" s="8"/>
      <c r="AO83" s="8"/>
      <c r="AP83" s="8"/>
      <c r="AQ83" s="8"/>
      <c r="AR83" s="8"/>
      <c r="AS83" s="8"/>
      <c r="AT83" s="8"/>
    </row>
    <row r="84" ht="15.75" customHeight="1">
      <c r="A84" s="22" t="s">
        <v>123</v>
      </c>
      <c r="B84" s="8">
        <f t="shared" si="1"/>
        <v>0</v>
      </c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  <c r="AE84" s="8"/>
      <c r="AF84" s="8"/>
      <c r="AG84" s="8"/>
      <c r="AH84" s="8"/>
      <c r="AI84" s="8"/>
      <c r="AJ84" s="8"/>
      <c r="AK84" s="8"/>
      <c r="AL84" s="8"/>
      <c r="AM84" s="8"/>
      <c r="AN84" s="8"/>
      <c r="AO84" s="8"/>
      <c r="AP84" s="8"/>
      <c r="AQ84" s="8"/>
      <c r="AR84" s="8"/>
      <c r="AS84" s="8"/>
      <c r="AT84" s="8"/>
    </row>
    <row r="85" ht="15.75" customHeight="1">
      <c r="A85" s="22" t="s">
        <v>124</v>
      </c>
      <c r="B85" s="8">
        <f t="shared" si="1"/>
        <v>0</v>
      </c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  <c r="AE85" s="8"/>
      <c r="AF85" s="8"/>
      <c r="AG85" s="8"/>
      <c r="AH85" s="8"/>
      <c r="AI85" s="8"/>
      <c r="AJ85" s="8"/>
      <c r="AK85" s="8"/>
      <c r="AL85" s="8"/>
      <c r="AM85" s="8"/>
      <c r="AN85" s="8"/>
      <c r="AO85" s="8"/>
      <c r="AP85" s="8"/>
      <c r="AQ85" s="8"/>
      <c r="AR85" s="8"/>
      <c r="AS85" s="8"/>
      <c r="AT85" s="8"/>
    </row>
    <row r="86" ht="15.75" customHeight="1">
      <c r="A86" s="22" t="s">
        <v>125</v>
      </c>
      <c r="B86" s="8">
        <f t="shared" si="1"/>
        <v>0</v>
      </c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  <c r="AE86" s="8"/>
      <c r="AF86" s="8"/>
      <c r="AG86" s="8"/>
      <c r="AH86" s="8"/>
      <c r="AI86" s="8"/>
      <c r="AJ86" s="8"/>
      <c r="AK86" s="8"/>
      <c r="AL86" s="8"/>
      <c r="AM86" s="8"/>
      <c r="AN86" s="8"/>
      <c r="AO86" s="8"/>
      <c r="AP86" s="8"/>
      <c r="AQ86" s="8"/>
      <c r="AR86" s="8"/>
      <c r="AS86" s="8"/>
      <c r="AT86" s="8"/>
    </row>
    <row r="87" ht="15.75" customHeight="1">
      <c r="A87" s="22" t="s">
        <v>126</v>
      </c>
      <c r="B87" s="8">
        <f t="shared" si="1"/>
        <v>0</v>
      </c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  <c r="AD87" s="8"/>
      <c r="AE87" s="8"/>
      <c r="AF87" s="8"/>
      <c r="AG87" s="8"/>
      <c r="AH87" s="8"/>
      <c r="AI87" s="8"/>
      <c r="AJ87" s="8"/>
      <c r="AK87" s="8"/>
      <c r="AL87" s="8"/>
      <c r="AM87" s="8"/>
      <c r="AN87" s="8"/>
      <c r="AO87" s="8"/>
      <c r="AP87" s="8"/>
      <c r="AQ87" s="8"/>
      <c r="AR87" s="8"/>
      <c r="AS87" s="8"/>
      <c r="AT87" s="8"/>
    </row>
    <row r="88" ht="15.75" customHeight="1">
      <c r="A88" s="22" t="s">
        <v>127</v>
      </c>
      <c r="B88" s="8">
        <f t="shared" si="1"/>
        <v>0</v>
      </c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  <c r="AE88" s="8"/>
      <c r="AF88" s="8"/>
      <c r="AG88" s="8"/>
      <c r="AH88" s="8"/>
      <c r="AI88" s="8"/>
      <c r="AJ88" s="8"/>
      <c r="AK88" s="8"/>
      <c r="AL88" s="8"/>
      <c r="AM88" s="8"/>
      <c r="AN88" s="8"/>
      <c r="AO88" s="8"/>
      <c r="AP88" s="8"/>
      <c r="AQ88" s="8"/>
      <c r="AR88" s="8"/>
      <c r="AS88" s="8"/>
      <c r="AT88" s="8"/>
    </row>
    <row r="89" ht="15.75" customHeight="1">
      <c r="A89" s="22" t="s">
        <v>128</v>
      </c>
      <c r="B89" s="8">
        <f t="shared" si="1"/>
        <v>0</v>
      </c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  <c r="AE89" s="8"/>
      <c r="AF89" s="8"/>
      <c r="AG89" s="8"/>
      <c r="AH89" s="8"/>
      <c r="AI89" s="8"/>
      <c r="AJ89" s="8"/>
      <c r="AK89" s="8"/>
      <c r="AL89" s="8"/>
      <c r="AM89" s="8"/>
      <c r="AN89" s="8"/>
      <c r="AO89" s="8"/>
      <c r="AP89" s="8"/>
      <c r="AQ89" s="8"/>
      <c r="AR89" s="8"/>
      <c r="AS89" s="8"/>
      <c r="AT89" s="8"/>
    </row>
    <row r="90" ht="15.75" customHeight="1">
      <c r="A90" s="22" t="s">
        <v>129</v>
      </c>
      <c r="B90" s="8">
        <f t="shared" si="1"/>
        <v>0</v>
      </c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  <c r="AD90" s="8"/>
      <c r="AE90" s="8"/>
      <c r="AF90" s="8"/>
      <c r="AG90" s="8"/>
      <c r="AH90" s="8"/>
      <c r="AI90" s="8"/>
      <c r="AJ90" s="8"/>
      <c r="AK90" s="8"/>
      <c r="AL90" s="8"/>
      <c r="AM90" s="8"/>
      <c r="AN90" s="8"/>
      <c r="AO90" s="8"/>
      <c r="AP90" s="8"/>
      <c r="AQ90" s="8"/>
      <c r="AR90" s="8"/>
      <c r="AS90" s="8"/>
      <c r="AT90" s="8"/>
    </row>
    <row r="91" ht="15.75" customHeight="1">
      <c r="A91" s="22" t="s">
        <v>130</v>
      </c>
      <c r="B91" s="8">
        <f t="shared" si="1"/>
        <v>0</v>
      </c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  <c r="AE91" s="8"/>
      <c r="AF91" s="8"/>
      <c r="AG91" s="8"/>
      <c r="AH91" s="8"/>
      <c r="AI91" s="8"/>
      <c r="AJ91" s="8"/>
      <c r="AK91" s="8"/>
      <c r="AL91" s="8"/>
      <c r="AM91" s="8"/>
      <c r="AN91" s="8"/>
      <c r="AO91" s="8"/>
      <c r="AP91" s="8"/>
      <c r="AQ91" s="8"/>
      <c r="AR91" s="8"/>
      <c r="AS91" s="8"/>
      <c r="AT91" s="8"/>
    </row>
    <row r="92" ht="15.75" customHeight="1">
      <c r="A92" s="22" t="s">
        <v>131</v>
      </c>
      <c r="B92" s="8">
        <f t="shared" si="1"/>
        <v>0</v>
      </c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  <c r="AE92" s="8"/>
      <c r="AF92" s="8"/>
      <c r="AG92" s="8"/>
      <c r="AH92" s="8"/>
      <c r="AI92" s="8"/>
      <c r="AJ92" s="8"/>
      <c r="AK92" s="8"/>
      <c r="AL92" s="8"/>
      <c r="AM92" s="8"/>
      <c r="AN92" s="8"/>
      <c r="AO92" s="8"/>
      <c r="AP92" s="8"/>
      <c r="AQ92" s="8"/>
      <c r="AR92" s="8"/>
      <c r="AS92" s="8"/>
      <c r="AT92" s="8"/>
    </row>
    <row r="93" ht="15.75" customHeight="1">
      <c r="A93" s="22" t="s">
        <v>132</v>
      </c>
      <c r="B93" s="8">
        <f t="shared" si="1"/>
        <v>0</v>
      </c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  <c r="AE93" s="8"/>
      <c r="AF93" s="8"/>
      <c r="AG93" s="8"/>
      <c r="AH93" s="8"/>
      <c r="AI93" s="8"/>
      <c r="AJ93" s="8"/>
      <c r="AK93" s="8"/>
      <c r="AL93" s="8"/>
      <c r="AM93" s="8"/>
      <c r="AN93" s="8"/>
      <c r="AO93" s="8"/>
      <c r="AP93" s="8"/>
      <c r="AQ93" s="8"/>
      <c r="AR93" s="8"/>
      <c r="AS93" s="8"/>
      <c r="AT93" s="8"/>
    </row>
    <row r="94" ht="15.75" customHeight="1">
      <c r="A94" s="22" t="s">
        <v>133</v>
      </c>
      <c r="B94" s="8">
        <f t="shared" si="1"/>
        <v>0</v>
      </c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  <c r="AE94" s="8"/>
      <c r="AF94" s="8"/>
      <c r="AG94" s="8"/>
      <c r="AH94" s="8"/>
      <c r="AI94" s="8"/>
      <c r="AJ94" s="8"/>
      <c r="AK94" s="8"/>
      <c r="AL94" s="8"/>
      <c r="AM94" s="8"/>
      <c r="AN94" s="8"/>
      <c r="AO94" s="8"/>
      <c r="AP94" s="8"/>
      <c r="AQ94" s="8"/>
      <c r="AR94" s="8"/>
      <c r="AS94" s="8"/>
      <c r="AT94" s="8"/>
    </row>
    <row r="95" ht="15.75" customHeight="1">
      <c r="A95" s="22" t="s">
        <v>134</v>
      </c>
      <c r="B95" s="8">
        <f t="shared" si="1"/>
        <v>0</v>
      </c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  <c r="AE95" s="8"/>
      <c r="AF95" s="8"/>
      <c r="AG95" s="8"/>
      <c r="AH95" s="8"/>
      <c r="AI95" s="8"/>
      <c r="AJ95" s="8"/>
      <c r="AK95" s="8"/>
      <c r="AL95" s="8"/>
      <c r="AM95" s="8"/>
      <c r="AN95" s="8"/>
      <c r="AO95" s="8"/>
      <c r="AP95" s="8"/>
      <c r="AQ95" s="8"/>
      <c r="AR95" s="8"/>
      <c r="AS95" s="8"/>
      <c r="AT95" s="8"/>
    </row>
    <row r="96" ht="15.75" customHeight="1">
      <c r="A96" s="22" t="s">
        <v>135</v>
      </c>
      <c r="B96" s="8">
        <f t="shared" si="1"/>
        <v>0</v>
      </c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  <c r="AE96" s="8"/>
      <c r="AF96" s="8"/>
      <c r="AG96" s="8"/>
      <c r="AH96" s="8"/>
      <c r="AI96" s="8"/>
      <c r="AJ96" s="8"/>
      <c r="AK96" s="8"/>
      <c r="AL96" s="8"/>
      <c r="AM96" s="8"/>
      <c r="AN96" s="8"/>
      <c r="AO96" s="8"/>
      <c r="AP96" s="8"/>
      <c r="AQ96" s="8"/>
      <c r="AR96" s="8"/>
      <c r="AS96" s="8"/>
      <c r="AT96" s="8"/>
    </row>
    <row r="97" ht="15.75" customHeight="1">
      <c r="A97" s="22" t="s">
        <v>136</v>
      </c>
      <c r="B97" s="8">
        <f t="shared" si="1"/>
        <v>0</v>
      </c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  <c r="AE97" s="8"/>
      <c r="AF97" s="8"/>
      <c r="AG97" s="8"/>
      <c r="AH97" s="8"/>
      <c r="AI97" s="8"/>
      <c r="AJ97" s="8"/>
      <c r="AK97" s="8"/>
      <c r="AL97" s="8"/>
      <c r="AM97" s="8"/>
      <c r="AN97" s="8"/>
      <c r="AO97" s="8"/>
      <c r="AP97" s="8"/>
      <c r="AQ97" s="8"/>
      <c r="AR97" s="8"/>
      <c r="AS97" s="8"/>
      <c r="AT97" s="8"/>
    </row>
    <row r="98" ht="15.75" customHeight="1">
      <c r="A98" s="22" t="s">
        <v>137</v>
      </c>
      <c r="B98" s="8">
        <f t="shared" si="1"/>
        <v>1.5</v>
      </c>
      <c r="C98" s="8"/>
      <c r="D98" s="8"/>
      <c r="E98" s="8"/>
      <c r="F98" s="8"/>
      <c r="G98" s="8"/>
      <c r="H98" s="8"/>
      <c r="I98" s="8"/>
      <c r="J98" s="20">
        <v>1.5</v>
      </c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  <c r="AE98" s="8"/>
      <c r="AF98" s="8"/>
      <c r="AG98" s="8"/>
      <c r="AH98" s="8"/>
      <c r="AI98" s="8"/>
      <c r="AJ98" s="8"/>
      <c r="AK98" s="8"/>
      <c r="AL98" s="8"/>
      <c r="AM98" s="8"/>
      <c r="AN98" s="8"/>
      <c r="AO98" s="8"/>
      <c r="AP98" s="8"/>
      <c r="AQ98" s="8"/>
      <c r="AR98" s="8"/>
      <c r="AS98" s="8"/>
      <c r="AT98" s="8"/>
    </row>
    <row r="99" ht="15.75" customHeight="1">
      <c r="A99" s="22" t="s">
        <v>138</v>
      </c>
      <c r="B99" s="8">
        <f t="shared" si="1"/>
        <v>0</v>
      </c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  <c r="AE99" s="8"/>
      <c r="AF99" s="8"/>
      <c r="AG99" s="8"/>
      <c r="AH99" s="8"/>
      <c r="AI99" s="8"/>
      <c r="AJ99" s="8"/>
      <c r="AK99" s="8"/>
      <c r="AL99" s="8"/>
      <c r="AM99" s="8"/>
      <c r="AN99" s="8"/>
      <c r="AO99" s="8"/>
      <c r="AP99" s="8"/>
      <c r="AQ99" s="8"/>
      <c r="AR99" s="8"/>
      <c r="AS99" s="8"/>
      <c r="AT99" s="8"/>
    </row>
    <row r="100" ht="15.75" customHeight="1">
      <c r="A100" s="22" t="s">
        <v>139</v>
      </c>
      <c r="B100" s="8">
        <f t="shared" si="1"/>
        <v>0</v>
      </c>
      <c r="C100" s="20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20"/>
      <c r="AE100" s="20"/>
      <c r="AF100" s="8"/>
      <c r="AG100" s="20"/>
      <c r="AH100" s="8"/>
      <c r="AI100" s="21"/>
      <c r="AJ100" s="20"/>
      <c r="AK100" s="8"/>
      <c r="AL100" s="20"/>
      <c r="AM100" s="20"/>
      <c r="AN100" s="20"/>
      <c r="AO100" s="8"/>
      <c r="AP100" s="8"/>
      <c r="AQ100" s="8"/>
      <c r="AR100" s="8"/>
      <c r="AS100" s="8"/>
      <c r="AT100" s="8"/>
    </row>
    <row r="101" ht="15.75" customHeight="1">
      <c r="A101" s="22" t="s">
        <v>140</v>
      </c>
      <c r="B101" s="8">
        <f t="shared" si="1"/>
        <v>0</v>
      </c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  <c r="AE101" s="8"/>
      <c r="AF101" s="8"/>
      <c r="AG101" s="8"/>
      <c r="AH101" s="8"/>
      <c r="AI101" s="8"/>
      <c r="AJ101" s="8"/>
      <c r="AK101" s="8"/>
      <c r="AL101" s="8"/>
      <c r="AM101" s="8"/>
      <c r="AN101" s="8"/>
      <c r="AO101" s="8"/>
      <c r="AP101" s="8"/>
      <c r="AQ101" s="8"/>
      <c r="AR101" s="8"/>
      <c r="AS101" s="8"/>
      <c r="AT101" s="8"/>
    </row>
    <row r="102" ht="15.75" customHeight="1">
      <c r="A102" s="22" t="s">
        <v>141</v>
      </c>
      <c r="B102" s="8">
        <f t="shared" si="1"/>
        <v>0</v>
      </c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  <c r="AE102" s="8"/>
      <c r="AF102" s="8"/>
      <c r="AG102" s="8"/>
      <c r="AH102" s="8"/>
      <c r="AI102" s="8"/>
      <c r="AJ102" s="8"/>
      <c r="AK102" s="8"/>
      <c r="AL102" s="8"/>
      <c r="AM102" s="8"/>
      <c r="AN102" s="8"/>
      <c r="AO102" s="8"/>
      <c r="AP102" s="8"/>
      <c r="AQ102" s="8"/>
      <c r="AR102" s="8"/>
      <c r="AS102" s="8"/>
      <c r="AT102" s="8"/>
    </row>
    <row r="103" ht="15.75" customHeight="1">
      <c r="A103" s="22" t="s">
        <v>142</v>
      </c>
      <c r="B103" s="8">
        <f t="shared" si="1"/>
        <v>3.5</v>
      </c>
      <c r="C103" s="8"/>
      <c r="D103" s="20"/>
      <c r="E103" s="8"/>
      <c r="F103" s="8"/>
      <c r="G103" s="8"/>
      <c r="H103" s="8"/>
      <c r="I103" s="8"/>
      <c r="J103" s="8"/>
      <c r="K103" s="8"/>
      <c r="L103" s="8"/>
      <c r="M103" s="8"/>
      <c r="N103" s="20">
        <v>2.0</v>
      </c>
      <c r="O103" s="8"/>
      <c r="P103" s="8"/>
      <c r="Q103" s="20">
        <v>1.5</v>
      </c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  <c r="AE103" s="8"/>
      <c r="AF103" s="20"/>
      <c r="AG103" s="8"/>
      <c r="AH103" s="8"/>
      <c r="AI103" s="8"/>
      <c r="AJ103" s="20"/>
      <c r="AK103" s="20"/>
      <c r="AL103" s="8"/>
      <c r="AM103" s="8"/>
      <c r="AN103" s="20"/>
      <c r="AO103" s="8"/>
      <c r="AP103" s="8"/>
      <c r="AQ103" s="8"/>
      <c r="AR103" s="8"/>
      <c r="AS103" s="8"/>
      <c r="AT103" s="8"/>
    </row>
    <row r="104" ht="15.75" customHeight="1">
      <c r="A104" s="22" t="s">
        <v>143</v>
      </c>
      <c r="B104" s="8">
        <f t="shared" si="1"/>
        <v>1.5</v>
      </c>
      <c r="C104" s="8"/>
      <c r="D104" s="8"/>
      <c r="E104" s="8"/>
      <c r="F104" s="8"/>
      <c r="G104" s="8"/>
      <c r="H104" s="8"/>
      <c r="I104" s="20">
        <v>1.5</v>
      </c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  <c r="AE104" s="8"/>
      <c r="AF104" s="8"/>
      <c r="AG104" s="8"/>
      <c r="AH104" s="8"/>
      <c r="AI104" s="21"/>
      <c r="AJ104" s="8"/>
      <c r="AK104" s="8"/>
      <c r="AL104" s="8"/>
      <c r="AM104" s="8"/>
      <c r="AN104" s="8"/>
      <c r="AO104" s="20"/>
      <c r="AP104" s="8"/>
      <c r="AQ104" s="8"/>
      <c r="AR104" s="8"/>
      <c r="AS104" s="8"/>
      <c r="AT104" s="8"/>
    </row>
    <row r="105" ht="15.75" customHeight="1">
      <c r="A105" s="22" t="s">
        <v>144</v>
      </c>
      <c r="B105" s="8">
        <f t="shared" si="1"/>
        <v>0</v>
      </c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  <c r="AE105" s="8"/>
      <c r="AF105" s="8"/>
      <c r="AG105" s="8"/>
      <c r="AH105" s="8"/>
      <c r="AI105" s="8"/>
      <c r="AJ105" s="8"/>
      <c r="AK105" s="8"/>
      <c r="AL105" s="8"/>
      <c r="AM105" s="8"/>
      <c r="AN105" s="8"/>
      <c r="AO105" s="8"/>
      <c r="AP105" s="8"/>
      <c r="AQ105" s="8"/>
      <c r="AR105" s="8"/>
      <c r="AS105" s="8"/>
      <c r="AT105" s="8"/>
    </row>
    <row r="106" ht="15.75" customHeight="1">
      <c r="A106" s="22" t="s">
        <v>145</v>
      </c>
      <c r="B106" s="8">
        <f t="shared" si="1"/>
        <v>0</v>
      </c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  <c r="AE106" s="8"/>
      <c r="AF106" s="8"/>
      <c r="AG106" s="8"/>
      <c r="AH106" s="8"/>
      <c r="AI106" s="8"/>
      <c r="AJ106" s="8"/>
      <c r="AK106" s="8"/>
      <c r="AL106" s="8"/>
      <c r="AM106" s="8"/>
      <c r="AN106" s="8"/>
      <c r="AO106" s="8"/>
      <c r="AP106" s="8"/>
      <c r="AQ106" s="8"/>
      <c r="AR106" s="8"/>
      <c r="AS106" s="8"/>
      <c r="AT106" s="8"/>
    </row>
    <row r="107" ht="15.75" customHeight="1">
      <c r="A107" s="22" t="s">
        <v>146</v>
      </c>
      <c r="B107" s="8">
        <f t="shared" si="1"/>
        <v>0</v>
      </c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  <c r="AE107" s="8"/>
      <c r="AF107" s="8"/>
      <c r="AG107" s="8"/>
      <c r="AH107" s="8"/>
      <c r="AI107" s="8"/>
      <c r="AJ107" s="20"/>
      <c r="AK107" s="8"/>
      <c r="AL107" s="8"/>
      <c r="AM107" s="8"/>
      <c r="AN107" s="8"/>
      <c r="AO107" s="8"/>
      <c r="AP107" s="8"/>
      <c r="AQ107" s="8"/>
      <c r="AR107" s="8"/>
      <c r="AS107" s="8"/>
      <c r="AT107" s="8"/>
    </row>
    <row r="108" ht="15.75" customHeight="1">
      <c r="A108" s="22" t="s">
        <v>147</v>
      </c>
      <c r="B108" s="8">
        <f t="shared" si="1"/>
        <v>28.5</v>
      </c>
      <c r="C108" s="20">
        <v>2.0</v>
      </c>
      <c r="D108" s="20">
        <v>2.0</v>
      </c>
      <c r="E108" s="21">
        <v>2.0</v>
      </c>
      <c r="F108" s="21">
        <v>2.0</v>
      </c>
      <c r="G108" s="20">
        <v>2.0</v>
      </c>
      <c r="H108" s="20">
        <v>2.0</v>
      </c>
      <c r="I108" s="20">
        <v>1.5</v>
      </c>
      <c r="J108" s="20">
        <v>1.5</v>
      </c>
      <c r="K108" s="21">
        <v>2.0</v>
      </c>
      <c r="L108" s="20">
        <v>2.0</v>
      </c>
      <c r="M108" s="20">
        <v>1.75</v>
      </c>
      <c r="N108" s="20">
        <v>2.0</v>
      </c>
      <c r="O108" s="20">
        <v>2.0</v>
      </c>
      <c r="P108" s="20">
        <v>2.0</v>
      </c>
      <c r="Q108" s="20">
        <v>1.75</v>
      </c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20"/>
      <c r="AE108" s="8"/>
      <c r="AF108" s="8"/>
      <c r="AG108" s="8"/>
      <c r="AH108" s="8"/>
      <c r="AI108" s="8"/>
      <c r="AJ108" s="20"/>
      <c r="AK108" s="20"/>
      <c r="AL108" s="8"/>
      <c r="AM108" s="20"/>
      <c r="AN108" s="20"/>
      <c r="AO108" s="20"/>
      <c r="AP108" s="8"/>
      <c r="AQ108" s="8"/>
      <c r="AR108" s="8"/>
      <c r="AS108" s="8"/>
      <c r="AT108" s="8"/>
    </row>
    <row r="109" ht="15.75" customHeight="1">
      <c r="A109" s="22" t="s">
        <v>148</v>
      </c>
      <c r="B109" s="8">
        <f t="shared" si="1"/>
        <v>0</v>
      </c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  <c r="AE109" s="8"/>
      <c r="AF109" s="8"/>
      <c r="AG109" s="8"/>
      <c r="AH109" s="8"/>
      <c r="AI109" s="8"/>
      <c r="AJ109" s="8"/>
      <c r="AK109" s="8"/>
      <c r="AL109" s="8"/>
      <c r="AM109" s="8"/>
      <c r="AN109" s="8"/>
      <c r="AO109" s="8"/>
      <c r="AP109" s="8"/>
      <c r="AQ109" s="8"/>
      <c r="AR109" s="8"/>
      <c r="AS109" s="8"/>
      <c r="AT109" s="8"/>
    </row>
    <row r="110" ht="15.75" customHeight="1">
      <c r="A110" s="22" t="s">
        <v>149</v>
      </c>
      <c r="B110" s="8">
        <f t="shared" si="1"/>
        <v>0</v>
      </c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  <c r="AE110" s="8"/>
      <c r="AF110" s="8"/>
      <c r="AG110" s="8"/>
      <c r="AH110" s="8"/>
      <c r="AI110" s="8"/>
      <c r="AJ110" s="8"/>
      <c r="AK110" s="8"/>
      <c r="AL110" s="8"/>
      <c r="AM110" s="8"/>
      <c r="AN110" s="8"/>
      <c r="AO110" s="8"/>
      <c r="AP110" s="8"/>
      <c r="AQ110" s="8"/>
      <c r="AR110" s="8"/>
      <c r="AS110" s="8"/>
      <c r="AT110" s="8"/>
    </row>
    <row r="111" ht="15.75" customHeight="1">
      <c r="A111" s="22" t="s">
        <v>150</v>
      </c>
      <c r="B111" s="8">
        <f t="shared" si="1"/>
        <v>0</v>
      </c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  <c r="AE111" s="8"/>
      <c r="AF111" s="8"/>
      <c r="AG111" s="8"/>
      <c r="AH111" s="8"/>
      <c r="AI111" s="8"/>
      <c r="AJ111" s="8"/>
      <c r="AK111" s="20"/>
      <c r="AL111" s="8"/>
      <c r="AM111" s="8"/>
      <c r="AN111" s="8"/>
      <c r="AO111" s="8"/>
      <c r="AP111" s="8"/>
      <c r="AQ111" s="8"/>
      <c r="AR111" s="8"/>
      <c r="AS111" s="8"/>
      <c r="AT111" s="8"/>
    </row>
    <row r="112" ht="15.75" customHeight="1">
      <c r="A112" s="22" t="s">
        <v>151</v>
      </c>
      <c r="B112" s="8">
        <f t="shared" si="1"/>
        <v>0</v>
      </c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  <c r="AE112" s="8"/>
      <c r="AF112" s="8"/>
      <c r="AG112" s="8"/>
      <c r="AH112" s="8"/>
      <c r="AI112" s="8"/>
      <c r="AJ112" s="8"/>
      <c r="AK112" s="8"/>
      <c r="AL112" s="8"/>
      <c r="AM112" s="8"/>
      <c r="AN112" s="8"/>
      <c r="AO112" s="8"/>
      <c r="AP112" s="8"/>
      <c r="AQ112" s="8"/>
      <c r="AR112" s="8"/>
      <c r="AS112" s="8"/>
      <c r="AT112" s="8"/>
    </row>
    <row r="113" ht="15.75" customHeight="1">
      <c r="A113" s="22" t="s">
        <v>152</v>
      </c>
      <c r="B113" s="8">
        <f t="shared" si="1"/>
        <v>0</v>
      </c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  <c r="AE113" s="8"/>
      <c r="AF113" s="8"/>
      <c r="AG113" s="8"/>
      <c r="AH113" s="8"/>
      <c r="AI113" s="8"/>
      <c r="AJ113" s="8"/>
      <c r="AK113" s="8"/>
      <c r="AL113" s="8"/>
      <c r="AM113" s="8"/>
      <c r="AN113" s="8"/>
      <c r="AO113" s="8"/>
      <c r="AP113" s="8"/>
      <c r="AQ113" s="8"/>
      <c r="AR113" s="8"/>
      <c r="AS113" s="8"/>
      <c r="AT113" s="8"/>
    </row>
    <row r="114" ht="15.75" customHeight="1">
      <c r="A114" s="22" t="s">
        <v>153</v>
      </c>
      <c r="B114" s="8">
        <f t="shared" si="1"/>
        <v>0</v>
      </c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  <c r="AE114" s="8"/>
      <c r="AF114" s="8"/>
      <c r="AG114" s="8"/>
      <c r="AH114" s="8"/>
      <c r="AI114" s="8"/>
      <c r="AJ114" s="8"/>
      <c r="AK114" s="8"/>
      <c r="AL114" s="8"/>
      <c r="AM114" s="8"/>
      <c r="AN114" s="8"/>
      <c r="AO114" s="8"/>
      <c r="AP114" s="8"/>
      <c r="AQ114" s="8"/>
      <c r="AR114" s="8"/>
      <c r="AS114" s="8"/>
      <c r="AT114" s="8"/>
    </row>
    <row r="115" ht="15.75" customHeight="1">
      <c r="A115" s="23" t="s">
        <v>154</v>
      </c>
      <c r="B115" s="8">
        <f t="shared" si="1"/>
        <v>0</v>
      </c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20"/>
      <c r="AE115" s="8"/>
      <c r="AF115" s="8"/>
      <c r="AG115" s="8"/>
      <c r="AH115" s="8"/>
      <c r="AI115" s="8"/>
      <c r="AJ115" s="8"/>
      <c r="AK115" s="8"/>
      <c r="AL115" s="8"/>
      <c r="AM115" s="8"/>
      <c r="AN115" s="8"/>
      <c r="AO115" s="8"/>
      <c r="AP115" s="8"/>
      <c r="AQ115" s="8"/>
      <c r="AR115" s="8"/>
      <c r="AS115" s="8"/>
      <c r="AT115" s="8"/>
    </row>
    <row r="116" ht="15.75" customHeight="1">
      <c r="A116" s="23" t="s">
        <v>155</v>
      </c>
      <c r="B116" s="8">
        <f t="shared" si="1"/>
        <v>0</v>
      </c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20"/>
      <c r="AE116" s="8"/>
      <c r="AF116" s="8"/>
      <c r="AG116" s="20"/>
      <c r="AH116" s="8"/>
      <c r="AI116" s="8"/>
      <c r="AJ116" s="20"/>
      <c r="AK116" s="8"/>
      <c r="AL116" s="8"/>
      <c r="AM116" s="8"/>
      <c r="AN116" s="8"/>
      <c r="AO116" s="8"/>
      <c r="AP116" s="8"/>
      <c r="AQ116" s="8"/>
      <c r="AR116" s="8"/>
      <c r="AS116" s="8"/>
      <c r="AT116" s="8"/>
    </row>
    <row r="117" ht="15.75" customHeight="1">
      <c r="A117" s="23" t="s">
        <v>156</v>
      </c>
      <c r="B117" s="8">
        <f t="shared" si="1"/>
        <v>0</v>
      </c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20"/>
      <c r="AE117" s="20"/>
      <c r="AF117" s="20"/>
      <c r="AG117" s="20"/>
      <c r="AH117" s="20"/>
      <c r="AI117" s="20"/>
      <c r="AJ117" s="20"/>
      <c r="AK117" s="20"/>
      <c r="AL117" s="8"/>
      <c r="AM117" s="8"/>
      <c r="AN117" s="8"/>
      <c r="AO117" s="8"/>
      <c r="AP117" s="8"/>
      <c r="AQ117" s="8"/>
      <c r="AR117" s="8"/>
      <c r="AS117" s="8"/>
      <c r="AT117" s="8"/>
    </row>
    <row r="118" ht="15.75" customHeight="1">
      <c r="A118" s="23" t="s">
        <v>157</v>
      </c>
      <c r="B118" s="8">
        <f t="shared" si="1"/>
        <v>0</v>
      </c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  <c r="AE118" s="20"/>
      <c r="AF118" s="8"/>
      <c r="AG118" s="8"/>
      <c r="AH118" s="8"/>
      <c r="AI118" s="8"/>
      <c r="AJ118" s="8"/>
      <c r="AK118" s="20"/>
      <c r="AL118" s="8"/>
      <c r="AM118" s="8"/>
      <c r="AN118" s="8"/>
      <c r="AO118" s="8"/>
      <c r="AP118" s="8"/>
      <c r="AQ118" s="8"/>
      <c r="AR118" s="8"/>
      <c r="AS118" s="8"/>
      <c r="AT118" s="8"/>
    </row>
    <row r="119" ht="15.75" customHeight="1">
      <c r="A119" s="23" t="s">
        <v>158</v>
      </c>
      <c r="B119" s="8">
        <f t="shared" si="1"/>
        <v>0</v>
      </c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  <c r="AE119" s="20"/>
      <c r="AF119" s="8"/>
      <c r="AG119" s="8"/>
      <c r="AH119" s="8"/>
      <c r="AI119" s="8"/>
      <c r="AJ119" s="8"/>
      <c r="AK119" s="8"/>
      <c r="AL119" s="8"/>
      <c r="AM119" s="8"/>
      <c r="AN119" s="8"/>
      <c r="AO119" s="8"/>
      <c r="AP119" s="8"/>
      <c r="AQ119" s="8"/>
      <c r="AR119" s="8"/>
      <c r="AS119" s="8"/>
      <c r="AT119" s="8"/>
    </row>
    <row r="120" ht="15.75" customHeight="1">
      <c r="A120" s="23" t="s">
        <v>159</v>
      </c>
      <c r="B120" s="8">
        <f t="shared" si="1"/>
        <v>0</v>
      </c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  <c r="AE120" s="20"/>
      <c r="AF120" s="8"/>
      <c r="AG120" s="8"/>
      <c r="AH120" s="8"/>
      <c r="AI120" s="8"/>
      <c r="AJ120" s="8"/>
      <c r="AK120" s="8"/>
      <c r="AL120" s="8"/>
      <c r="AM120" s="8"/>
      <c r="AN120" s="8"/>
      <c r="AO120" s="8"/>
      <c r="AP120" s="8"/>
      <c r="AQ120" s="8"/>
      <c r="AR120" s="8"/>
      <c r="AS120" s="8"/>
      <c r="AT120" s="8"/>
    </row>
    <row r="121" ht="15.75" customHeight="1">
      <c r="A121" s="23" t="s">
        <v>160</v>
      </c>
      <c r="B121" s="8">
        <f t="shared" si="1"/>
        <v>0</v>
      </c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  <c r="AE121" s="20"/>
      <c r="AF121" s="8"/>
      <c r="AG121" s="8"/>
      <c r="AH121" s="8"/>
      <c r="AI121" s="8"/>
      <c r="AJ121" s="8"/>
      <c r="AK121" s="8"/>
      <c r="AL121" s="8"/>
      <c r="AM121" s="8"/>
      <c r="AN121" s="8"/>
      <c r="AO121" s="8"/>
      <c r="AP121" s="8"/>
      <c r="AQ121" s="8"/>
      <c r="AR121" s="8"/>
      <c r="AS121" s="8"/>
      <c r="AT121" s="8"/>
    </row>
    <row r="122" ht="15.75" customHeight="1">
      <c r="A122" s="23" t="s">
        <v>161</v>
      </c>
      <c r="B122" s="8">
        <f t="shared" si="1"/>
        <v>0</v>
      </c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  <c r="AE122" s="20"/>
      <c r="AF122" s="8"/>
      <c r="AG122" s="8"/>
      <c r="AH122" s="8"/>
      <c r="AI122" s="8"/>
      <c r="AJ122" s="8"/>
      <c r="AK122" s="8"/>
      <c r="AL122" s="8"/>
      <c r="AM122" s="8"/>
      <c r="AN122" s="8"/>
      <c r="AO122" s="8"/>
      <c r="AP122" s="8"/>
      <c r="AQ122" s="8"/>
      <c r="AR122" s="8"/>
      <c r="AS122" s="8"/>
      <c r="AT122" s="8"/>
    </row>
    <row r="123" ht="15.75" customHeight="1">
      <c r="A123" s="23" t="s">
        <v>162</v>
      </c>
      <c r="B123" s="8">
        <f t="shared" si="1"/>
        <v>0</v>
      </c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  <c r="AE123" s="20"/>
      <c r="AF123" s="8"/>
      <c r="AG123" s="8"/>
      <c r="AH123" s="8"/>
      <c r="AI123" s="8"/>
      <c r="AJ123" s="8"/>
      <c r="AK123" s="8"/>
      <c r="AL123" s="8"/>
      <c r="AM123" s="8"/>
      <c r="AN123" s="8"/>
      <c r="AO123" s="8"/>
      <c r="AP123" s="8"/>
      <c r="AQ123" s="8"/>
      <c r="AR123" s="8"/>
      <c r="AS123" s="8"/>
      <c r="AT123" s="8"/>
    </row>
    <row r="124" ht="15.75" customHeight="1">
      <c r="A124" s="23" t="s">
        <v>163</v>
      </c>
      <c r="B124" s="8">
        <f t="shared" si="1"/>
        <v>0</v>
      </c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  <c r="AE124" s="20"/>
      <c r="AF124" s="8"/>
      <c r="AG124" s="8"/>
      <c r="AH124" s="8"/>
      <c r="AI124" s="8"/>
      <c r="AJ124" s="8"/>
      <c r="AK124" s="8"/>
      <c r="AL124" s="8"/>
      <c r="AM124" s="8"/>
      <c r="AN124" s="8"/>
      <c r="AO124" s="8"/>
      <c r="AP124" s="8"/>
      <c r="AQ124" s="8"/>
      <c r="AR124" s="8"/>
      <c r="AS124" s="8"/>
      <c r="AT124" s="8"/>
    </row>
    <row r="125" ht="15.75" customHeight="1">
      <c r="A125" s="23" t="s">
        <v>164</v>
      </c>
      <c r="B125" s="8">
        <f t="shared" si="1"/>
        <v>0</v>
      </c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20"/>
      <c r="AF125" s="8"/>
      <c r="AG125" s="20"/>
      <c r="AH125" s="20"/>
      <c r="AI125" s="21"/>
      <c r="AJ125" s="8"/>
      <c r="AK125" s="8"/>
      <c r="AL125" s="8"/>
      <c r="AM125" s="20"/>
      <c r="AN125" s="8"/>
      <c r="AO125" s="8"/>
      <c r="AP125" s="8"/>
      <c r="AQ125" s="8"/>
      <c r="AR125" s="8"/>
      <c r="AS125" s="8"/>
      <c r="AT125" s="8"/>
    </row>
    <row r="126" ht="15.75" customHeight="1">
      <c r="A126" s="23" t="s">
        <v>165</v>
      </c>
      <c r="B126" s="8">
        <f t="shared" si="1"/>
        <v>0</v>
      </c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  <c r="AE126" s="20"/>
      <c r="AF126" s="8"/>
      <c r="AG126" s="8"/>
      <c r="AH126" s="8"/>
      <c r="AI126" s="8"/>
      <c r="AJ126" s="8"/>
      <c r="AK126" s="8"/>
      <c r="AL126" s="8"/>
      <c r="AM126" s="8"/>
      <c r="AN126" s="8"/>
      <c r="AO126" s="8"/>
      <c r="AP126" s="8"/>
      <c r="AQ126" s="8"/>
      <c r="AR126" s="8"/>
      <c r="AS126" s="8"/>
      <c r="AT126" s="8"/>
    </row>
    <row r="127" ht="15.75" customHeight="1">
      <c r="A127" s="23" t="s">
        <v>166</v>
      </c>
      <c r="B127" s="8">
        <f t="shared" si="1"/>
        <v>0</v>
      </c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  <c r="AE127" s="20"/>
      <c r="AF127" s="8"/>
      <c r="AG127" s="8"/>
      <c r="AH127" s="8"/>
      <c r="AI127" s="8"/>
      <c r="AJ127" s="8"/>
      <c r="AK127" s="8"/>
      <c r="AL127" s="8"/>
      <c r="AM127" s="8"/>
      <c r="AN127" s="8"/>
      <c r="AO127" s="8"/>
      <c r="AP127" s="8"/>
      <c r="AQ127" s="8"/>
      <c r="AR127" s="8"/>
      <c r="AS127" s="8"/>
      <c r="AT127" s="8"/>
    </row>
    <row r="128" ht="15.75" customHeight="1">
      <c r="A128" s="23" t="s">
        <v>167</v>
      </c>
      <c r="B128" s="8">
        <f t="shared" si="1"/>
        <v>0</v>
      </c>
      <c r="C128" s="20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  <c r="AE128" s="20"/>
      <c r="AF128" s="8"/>
      <c r="AG128" s="8"/>
      <c r="AH128" s="8"/>
      <c r="AI128" s="8"/>
      <c r="AJ128" s="20"/>
      <c r="AK128" s="8"/>
      <c r="AL128" s="21"/>
      <c r="AM128" s="8"/>
      <c r="AN128" s="20"/>
      <c r="AO128" s="8"/>
      <c r="AP128" s="8"/>
      <c r="AQ128" s="8"/>
      <c r="AR128" s="8"/>
      <c r="AS128" s="8"/>
      <c r="AT128" s="8"/>
    </row>
    <row r="129" ht="15.75" customHeight="1">
      <c r="A129" s="23" t="s">
        <v>168</v>
      </c>
      <c r="B129" s="8">
        <f t="shared" si="1"/>
        <v>0</v>
      </c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  <c r="AE129" s="20"/>
      <c r="AF129" s="8"/>
      <c r="AG129" s="8"/>
      <c r="AH129" s="8"/>
      <c r="AI129" s="8"/>
      <c r="AJ129" s="8"/>
      <c r="AK129" s="8"/>
      <c r="AL129" s="8"/>
      <c r="AM129" s="8"/>
      <c r="AN129" s="8"/>
      <c r="AO129" s="8"/>
      <c r="AP129" s="8"/>
      <c r="AQ129" s="8"/>
      <c r="AR129" s="8"/>
      <c r="AS129" s="8"/>
      <c r="AT129" s="8"/>
    </row>
    <row r="130" ht="15.75" customHeight="1">
      <c r="A130" s="23" t="s">
        <v>169</v>
      </c>
      <c r="B130" s="8">
        <f t="shared" si="1"/>
        <v>0</v>
      </c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  <c r="AE130" s="8"/>
      <c r="AF130" s="20"/>
      <c r="AG130" s="20"/>
      <c r="AH130" s="8"/>
      <c r="AI130" s="8"/>
      <c r="AJ130" s="8"/>
      <c r="AK130" s="8"/>
      <c r="AL130" s="8"/>
      <c r="AM130" s="8"/>
      <c r="AN130" s="8"/>
      <c r="AO130" s="8"/>
      <c r="AP130" s="8"/>
      <c r="AQ130" s="8"/>
      <c r="AR130" s="8"/>
      <c r="AS130" s="8"/>
      <c r="AT130" s="8"/>
    </row>
    <row r="131" ht="15.75" customHeight="1">
      <c r="A131" s="23" t="s">
        <v>170</v>
      </c>
      <c r="B131" s="8">
        <f t="shared" si="1"/>
        <v>0</v>
      </c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  <c r="AE131" s="8"/>
      <c r="AF131" s="20"/>
      <c r="AG131" s="20"/>
      <c r="AH131" s="8"/>
      <c r="AI131" s="8"/>
      <c r="AJ131" s="20"/>
      <c r="AK131" s="20"/>
      <c r="AL131" s="8"/>
      <c r="AM131" s="8"/>
      <c r="AN131" s="8"/>
      <c r="AO131" s="8"/>
      <c r="AP131" s="8"/>
      <c r="AQ131" s="8"/>
      <c r="AR131" s="8"/>
      <c r="AS131" s="8"/>
      <c r="AT131" s="8"/>
    </row>
    <row r="132" ht="15.75" customHeight="1">
      <c r="A132" s="23" t="s">
        <v>171</v>
      </c>
      <c r="B132" s="8">
        <f t="shared" si="1"/>
        <v>0</v>
      </c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  <c r="AE132" s="8"/>
      <c r="AF132" s="20"/>
      <c r="AG132" s="8"/>
      <c r="AH132" s="8"/>
      <c r="AI132" s="8"/>
      <c r="AJ132" s="8"/>
      <c r="AK132" s="8"/>
      <c r="AL132" s="8"/>
      <c r="AM132" s="8"/>
      <c r="AN132" s="8"/>
      <c r="AO132" s="8"/>
      <c r="AP132" s="8"/>
      <c r="AQ132" s="8"/>
      <c r="AR132" s="8"/>
      <c r="AS132" s="8"/>
      <c r="AT132" s="8"/>
    </row>
    <row r="133" ht="15.75" customHeight="1">
      <c r="A133" s="23" t="s">
        <v>172</v>
      </c>
      <c r="B133" s="8">
        <f t="shared" si="1"/>
        <v>0</v>
      </c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  <c r="AE133" s="8"/>
      <c r="AF133" s="20"/>
      <c r="AG133" s="8"/>
      <c r="AH133" s="8"/>
      <c r="AI133" s="8"/>
      <c r="AJ133" s="8"/>
      <c r="AK133" s="8"/>
      <c r="AL133" s="8"/>
      <c r="AM133" s="8"/>
      <c r="AN133" s="8"/>
      <c r="AO133" s="8"/>
      <c r="AP133" s="8"/>
      <c r="AQ133" s="8"/>
      <c r="AR133" s="8"/>
      <c r="AS133" s="8"/>
      <c r="AT133" s="8"/>
    </row>
    <row r="134" ht="15.75" customHeight="1">
      <c r="A134" s="23" t="s">
        <v>173</v>
      </c>
      <c r="B134" s="8">
        <f t="shared" si="1"/>
        <v>0</v>
      </c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  <c r="AE134" s="8"/>
      <c r="AF134" s="20"/>
      <c r="AG134" s="8"/>
      <c r="AH134" s="8"/>
      <c r="AI134" s="8"/>
      <c r="AJ134" s="8"/>
      <c r="AK134" s="8"/>
      <c r="AL134" s="8"/>
      <c r="AM134" s="8"/>
      <c r="AN134" s="8"/>
      <c r="AO134" s="8"/>
      <c r="AP134" s="8"/>
      <c r="AQ134" s="8"/>
      <c r="AR134" s="8"/>
      <c r="AS134" s="8"/>
      <c r="AT134" s="8"/>
    </row>
    <row r="135" ht="15.75" customHeight="1">
      <c r="A135" s="23" t="s">
        <v>174</v>
      </c>
      <c r="B135" s="8">
        <f t="shared" si="1"/>
        <v>0</v>
      </c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  <c r="AE135" s="8"/>
      <c r="AF135" s="20"/>
      <c r="AG135" s="8"/>
      <c r="AH135" s="8"/>
      <c r="AI135" s="8"/>
      <c r="AJ135" s="8"/>
      <c r="AK135" s="8"/>
      <c r="AL135" s="8"/>
      <c r="AM135" s="8"/>
      <c r="AN135" s="8"/>
      <c r="AO135" s="8"/>
      <c r="AP135" s="8"/>
      <c r="AQ135" s="8"/>
      <c r="AR135" s="8"/>
      <c r="AS135" s="8"/>
      <c r="AT135" s="8"/>
    </row>
    <row r="136" ht="15.75" customHeight="1">
      <c r="A136" s="23" t="s">
        <v>175</v>
      </c>
      <c r="B136" s="8">
        <f t="shared" si="1"/>
        <v>0</v>
      </c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  <c r="AE136" s="8"/>
      <c r="AF136" s="20"/>
      <c r="AG136" s="8"/>
      <c r="AH136" s="8"/>
      <c r="AI136" s="8"/>
      <c r="AJ136" s="8"/>
      <c r="AK136" s="8"/>
      <c r="AL136" s="8"/>
      <c r="AM136" s="8"/>
      <c r="AN136" s="8"/>
      <c r="AO136" s="8"/>
      <c r="AP136" s="8"/>
      <c r="AQ136" s="8"/>
      <c r="AR136" s="8"/>
      <c r="AS136" s="8"/>
      <c r="AT136" s="8"/>
    </row>
    <row r="137" ht="15.75" customHeight="1">
      <c r="A137" s="23" t="s">
        <v>176</v>
      </c>
      <c r="B137" s="8">
        <f t="shared" si="1"/>
        <v>0</v>
      </c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  <c r="AD137" s="8"/>
      <c r="AE137" s="8"/>
      <c r="AF137" s="20"/>
      <c r="AG137" s="8"/>
      <c r="AH137" s="8"/>
      <c r="AI137" s="8"/>
      <c r="AJ137" s="8"/>
      <c r="AK137" s="8"/>
      <c r="AL137" s="8"/>
      <c r="AM137" s="8"/>
      <c r="AN137" s="8"/>
      <c r="AO137" s="8"/>
      <c r="AP137" s="8"/>
      <c r="AQ137" s="8"/>
      <c r="AR137" s="8"/>
      <c r="AS137" s="8"/>
      <c r="AT137" s="8"/>
    </row>
    <row r="138" ht="15.75" customHeight="1">
      <c r="A138" s="23" t="s">
        <v>177</v>
      </c>
      <c r="B138" s="8">
        <f t="shared" si="1"/>
        <v>0</v>
      </c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  <c r="AD138" s="8"/>
      <c r="AE138" s="8"/>
      <c r="AF138" s="20"/>
      <c r="AG138" s="8"/>
      <c r="AH138" s="8"/>
      <c r="AI138" s="8"/>
      <c r="AJ138" s="8"/>
      <c r="AK138" s="8"/>
      <c r="AL138" s="8"/>
      <c r="AM138" s="8"/>
      <c r="AN138" s="8"/>
      <c r="AO138" s="8"/>
      <c r="AP138" s="8"/>
      <c r="AQ138" s="8"/>
      <c r="AR138" s="8"/>
      <c r="AS138" s="8"/>
      <c r="AT138" s="8"/>
    </row>
    <row r="139" ht="15.75" customHeight="1">
      <c r="A139" s="23" t="s">
        <v>235</v>
      </c>
      <c r="B139" s="8">
        <f t="shared" si="1"/>
        <v>1.75</v>
      </c>
      <c r="C139" s="8"/>
      <c r="D139" s="20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20">
        <v>1.75</v>
      </c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  <c r="AD139" s="8"/>
      <c r="AE139" s="8"/>
      <c r="AF139" s="20"/>
      <c r="AG139" s="20"/>
      <c r="AH139" s="20"/>
      <c r="AI139" s="20"/>
      <c r="AJ139" s="20"/>
      <c r="AK139" s="20"/>
      <c r="AL139" s="8"/>
      <c r="AM139" s="8"/>
      <c r="AN139" s="8"/>
      <c r="AO139" s="8"/>
      <c r="AP139" s="8"/>
      <c r="AQ139" s="8"/>
      <c r="AR139" s="8"/>
      <c r="AS139" s="8"/>
      <c r="AT139" s="8"/>
    </row>
    <row r="140" ht="15.75" customHeight="1">
      <c r="A140" s="23" t="s">
        <v>179</v>
      </c>
      <c r="B140" s="8">
        <f t="shared" si="1"/>
        <v>0</v>
      </c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  <c r="AD140" s="8"/>
      <c r="AE140" s="8"/>
      <c r="AF140" s="20"/>
      <c r="AG140" s="8"/>
      <c r="AH140" s="8"/>
      <c r="AI140" s="8"/>
      <c r="AJ140" s="20"/>
      <c r="AK140" s="8"/>
      <c r="AL140" s="8"/>
      <c r="AM140" s="8"/>
      <c r="AN140" s="8"/>
      <c r="AO140" s="8"/>
      <c r="AP140" s="8"/>
      <c r="AQ140" s="8"/>
      <c r="AR140" s="8"/>
      <c r="AS140" s="8"/>
      <c r="AT140" s="8"/>
    </row>
    <row r="141" ht="15.75" customHeight="1">
      <c r="A141" s="23" t="s">
        <v>180</v>
      </c>
      <c r="B141" s="8">
        <f t="shared" si="1"/>
        <v>0</v>
      </c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  <c r="AD141" s="8"/>
      <c r="AE141" s="8"/>
      <c r="AF141" s="20"/>
      <c r="AG141" s="8"/>
      <c r="AH141" s="8"/>
      <c r="AI141" s="21"/>
      <c r="AJ141" s="8"/>
      <c r="AK141" s="8"/>
      <c r="AL141" s="8"/>
      <c r="AM141" s="8"/>
      <c r="AN141" s="8"/>
      <c r="AO141" s="8"/>
      <c r="AP141" s="8"/>
      <c r="AQ141" s="8"/>
      <c r="AR141" s="8"/>
      <c r="AS141" s="8"/>
      <c r="AT141" s="8"/>
    </row>
    <row r="142" ht="15.75" customHeight="1">
      <c r="A142" s="23" t="s">
        <v>181</v>
      </c>
      <c r="B142" s="8">
        <f t="shared" si="1"/>
        <v>15.25</v>
      </c>
      <c r="C142" s="20">
        <v>2.0</v>
      </c>
      <c r="D142" s="8"/>
      <c r="E142" s="8"/>
      <c r="F142" s="8"/>
      <c r="G142" s="8"/>
      <c r="H142" s="20">
        <v>2.0</v>
      </c>
      <c r="I142" s="20">
        <v>1.5</v>
      </c>
      <c r="J142" s="8"/>
      <c r="K142" s="21">
        <v>2.0</v>
      </c>
      <c r="L142" s="20">
        <v>2.0</v>
      </c>
      <c r="M142" s="8"/>
      <c r="N142" s="20">
        <v>2.0</v>
      </c>
      <c r="O142" s="20">
        <v>2.0</v>
      </c>
      <c r="P142" s="20">
        <v>1.75</v>
      </c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8"/>
      <c r="AD142" s="8"/>
      <c r="AE142" s="8"/>
      <c r="AF142" s="8"/>
      <c r="AG142" s="20"/>
      <c r="AH142" s="20"/>
      <c r="AI142" s="20"/>
      <c r="AJ142" s="20"/>
      <c r="AK142" s="8"/>
      <c r="AL142" s="21"/>
      <c r="AM142" s="20"/>
      <c r="AN142" s="20"/>
      <c r="AO142" s="8"/>
      <c r="AP142" s="8"/>
      <c r="AQ142" s="8"/>
      <c r="AR142" s="8"/>
      <c r="AS142" s="8"/>
      <c r="AT142" s="8"/>
    </row>
    <row r="143" ht="15.75" customHeight="1">
      <c r="A143" s="23" t="s">
        <v>182</v>
      </c>
      <c r="B143" s="8">
        <f t="shared" si="1"/>
        <v>0</v>
      </c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8"/>
      <c r="AD143" s="8"/>
      <c r="AE143" s="8"/>
      <c r="AF143" s="8"/>
      <c r="AG143" s="20"/>
      <c r="AH143" s="8"/>
      <c r="AI143" s="8"/>
      <c r="AJ143" s="8"/>
      <c r="AK143" s="8"/>
      <c r="AL143" s="8"/>
      <c r="AM143" s="8"/>
      <c r="AN143" s="20"/>
      <c r="AO143" s="8"/>
      <c r="AP143" s="8"/>
      <c r="AQ143" s="8"/>
      <c r="AR143" s="8"/>
      <c r="AS143" s="8"/>
      <c r="AT143" s="8"/>
    </row>
    <row r="144" ht="15.75" customHeight="1">
      <c r="A144" s="23" t="s">
        <v>183</v>
      </c>
      <c r="B144" s="8">
        <f t="shared" si="1"/>
        <v>0</v>
      </c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  <c r="AE144" s="8"/>
      <c r="AF144" s="8"/>
      <c r="AG144" s="20"/>
      <c r="AH144" s="8"/>
      <c r="AI144" s="8"/>
      <c r="AJ144" s="8"/>
      <c r="AK144" s="8"/>
      <c r="AL144" s="8"/>
      <c r="AM144" s="8"/>
      <c r="AN144" s="8"/>
      <c r="AO144" s="8"/>
      <c r="AP144" s="8"/>
      <c r="AQ144" s="8"/>
      <c r="AR144" s="8"/>
      <c r="AS144" s="8"/>
      <c r="AT144" s="8"/>
    </row>
    <row r="145" ht="15.75" customHeight="1">
      <c r="A145" s="23" t="s">
        <v>184</v>
      </c>
      <c r="B145" s="8">
        <f t="shared" si="1"/>
        <v>0</v>
      </c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  <c r="AE145" s="8"/>
      <c r="AF145" s="8"/>
      <c r="AG145" s="20"/>
      <c r="AH145" s="8"/>
      <c r="AI145" s="8"/>
      <c r="AJ145" s="8"/>
      <c r="AK145" s="20"/>
      <c r="AL145" s="8"/>
      <c r="AM145" s="8"/>
      <c r="AN145" s="8"/>
      <c r="AO145" s="8"/>
      <c r="AP145" s="8"/>
      <c r="AQ145" s="8"/>
      <c r="AR145" s="8"/>
      <c r="AS145" s="8"/>
      <c r="AT145" s="8"/>
    </row>
    <row r="146" ht="15.75" customHeight="1">
      <c r="A146" s="23" t="s">
        <v>185</v>
      </c>
      <c r="B146" s="8">
        <f t="shared" si="1"/>
        <v>0</v>
      </c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  <c r="AD146" s="8"/>
      <c r="AE146" s="8"/>
      <c r="AF146" s="8"/>
      <c r="AG146" s="20"/>
      <c r="AH146" s="8"/>
      <c r="AI146" s="8"/>
      <c r="AJ146" s="8"/>
      <c r="AK146" s="8"/>
      <c r="AL146" s="8"/>
      <c r="AM146" s="8"/>
      <c r="AN146" s="8"/>
      <c r="AO146" s="8"/>
      <c r="AP146" s="8"/>
      <c r="AQ146" s="8"/>
      <c r="AR146" s="8"/>
      <c r="AS146" s="8"/>
      <c r="AT146" s="8"/>
    </row>
    <row r="147" ht="15.75" customHeight="1">
      <c r="A147" s="23" t="s">
        <v>186</v>
      </c>
      <c r="B147" s="8">
        <f t="shared" si="1"/>
        <v>7.5</v>
      </c>
      <c r="C147" s="20">
        <v>2.0</v>
      </c>
      <c r="D147" s="8"/>
      <c r="E147" s="8"/>
      <c r="F147" s="8"/>
      <c r="G147" s="8"/>
      <c r="H147" s="20">
        <v>2.0</v>
      </c>
      <c r="I147" s="20">
        <v>1.5</v>
      </c>
      <c r="J147" s="8"/>
      <c r="K147" s="21">
        <v>2.0</v>
      </c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  <c r="AE147" s="8"/>
      <c r="AF147" s="8"/>
      <c r="AG147" s="20"/>
      <c r="AH147" s="8"/>
      <c r="AI147" s="8"/>
      <c r="AJ147" s="8"/>
      <c r="AK147" s="20"/>
      <c r="AL147" s="21"/>
      <c r="AM147" s="20"/>
      <c r="AN147" s="20"/>
      <c r="AO147" s="8"/>
      <c r="AP147" s="8"/>
      <c r="AQ147" s="8"/>
      <c r="AR147" s="8"/>
      <c r="AS147" s="8"/>
      <c r="AT147" s="8"/>
    </row>
    <row r="148" ht="15.75" customHeight="1">
      <c r="A148" s="23" t="s">
        <v>187</v>
      </c>
      <c r="B148" s="8">
        <f t="shared" si="1"/>
        <v>2</v>
      </c>
      <c r="C148" s="20">
        <v>2.0</v>
      </c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  <c r="AC148" s="8"/>
      <c r="AD148" s="8"/>
      <c r="AE148" s="8"/>
      <c r="AF148" s="8"/>
      <c r="AG148" s="20"/>
      <c r="AH148" s="8"/>
      <c r="AI148" s="8"/>
      <c r="AJ148" s="8"/>
      <c r="AK148" s="20"/>
      <c r="AL148" s="8"/>
      <c r="AM148" s="8"/>
      <c r="AN148" s="8"/>
      <c r="AO148" s="8"/>
      <c r="AP148" s="8"/>
      <c r="AQ148" s="8"/>
      <c r="AR148" s="8"/>
      <c r="AS148" s="8"/>
      <c r="AT148" s="8"/>
    </row>
    <row r="149" ht="15.75" customHeight="1">
      <c r="A149" s="23" t="s">
        <v>188</v>
      </c>
      <c r="B149" s="8">
        <f t="shared" si="1"/>
        <v>0</v>
      </c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  <c r="AE149" s="8"/>
      <c r="AF149" s="8"/>
      <c r="AG149" s="20"/>
      <c r="AH149" s="8"/>
      <c r="AI149" s="8"/>
      <c r="AJ149" s="8"/>
      <c r="AK149" s="8"/>
      <c r="AL149" s="8"/>
      <c r="AM149" s="8"/>
      <c r="AN149" s="8"/>
      <c r="AO149" s="8"/>
      <c r="AP149" s="8"/>
      <c r="AQ149" s="8"/>
      <c r="AR149" s="8"/>
      <c r="AS149" s="8"/>
      <c r="AT149" s="8"/>
    </row>
    <row r="150" ht="15.75" customHeight="1">
      <c r="A150" s="23" t="s">
        <v>189</v>
      </c>
      <c r="B150" s="8">
        <f t="shared" si="1"/>
        <v>0</v>
      </c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  <c r="AD150" s="8"/>
      <c r="AE150" s="8"/>
      <c r="AF150" s="8"/>
      <c r="AG150" s="20"/>
      <c r="AH150" s="8"/>
      <c r="AI150" s="8"/>
      <c r="AJ150" s="8"/>
      <c r="AK150" s="8"/>
      <c r="AL150" s="8"/>
      <c r="AM150" s="8"/>
      <c r="AN150" s="8"/>
      <c r="AO150" s="8"/>
      <c r="AP150" s="8"/>
      <c r="AQ150" s="8"/>
      <c r="AR150" s="8"/>
      <c r="AS150" s="8"/>
      <c r="AT150" s="8"/>
    </row>
    <row r="151" ht="15.75" customHeight="1">
      <c r="A151" s="23" t="s">
        <v>190</v>
      </c>
      <c r="B151" s="8">
        <f t="shared" si="1"/>
        <v>3.5</v>
      </c>
      <c r="C151" s="20"/>
      <c r="D151" s="20">
        <v>2.0</v>
      </c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20">
        <v>1.5</v>
      </c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  <c r="AC151" s="8"/>
      <c r="AD151" s="8"/>
      <c r="AE151" s="8"/>
      <c r="AF151" s="8"/>
      <c r="AG151" s="20"/>
      <c r="AH151" s="8"/>
      <c r="AI151" s="8"/>
      <c r="AJ151" s="8"/>
      <c r="AK151" s="20"/>
      <c r="AL151" s="20"/>
      <c r="AM151" s="20"/>
      <c r="AN151" s="20"/>
      <c r="AO151" s="20"/>
      <c r="AP151" s="8"/>
      <c r="AQ151" s="8"/>
      <c r="AR151" s="8"/>
      <c r="AS151" s="8"/>
      <c r="AT151" s="8"/>
    </row>
    <row r="152" ht="15.75" customHeight="1">
      <c r="A152" s="23" t="s">
        <v>191</v>
      </c>
      <c r="B152" s="8">
        <f t="shared" si="1"/>
        <v>0</v>
      </c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  <c r="AC152" s="8"/>
      <c r="AD152" s="8"/>
      <c r="AE152" s="8"/>
      <c r="AF152" s="8"/>
      <c r="AG152" s="8"/>
      <c r="AH152" s="20"/>
      <c r="AI152" s="8"/>
      <c r="AJ152" s="8"/>
      <c r="AK152" s="8"/>
      <c r="AL152" s="8"/>
      <c r="AM152" s="8"/>
      <c r="AN152" s="8"/>
      <c r="AO152" s="8"/>
      <c r="AP152" s="8"/>
      <c r="AQ152" s="8"/>
      <c r="AR152" s="8"/>
      <c r="AS152" s="8"/>
      <c r="AT152" s="8"/>
    </row>
    <row r="153" ht="15.75" customHeight="1">
      <c r="A153" s="23" t="s">
        <v>192</v>
      </c>
      <c r="B153" s="8">
        <f t="shared" si="1"/>
        <v>0</v>
      </c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  <c r="AC153" s="8"/>
      <c r="AD153" s="8"/>
      <c r="AE153" s="8"/>
      <c r="AF153" s="8"/>
      <c r="AG153" s="8"/>
      <c r="AH153" s="20"/>
      <c r="AI153" s="21"/>
      <c r="AJ153" s="8"/>
      <c r="AK153" s="8"/>
      <c r="AL153" s="8"/>
      <c r="AM153" s="8"/>
      <c r="AN153" s="8"/>
      <c r="AO153" s="8"/>
      <c r="AP153" s="8"/>
      <c r="AQ153" s="8"/>
      <c r="AR153" s="8"/>
      <c r="AS153" s="8"/>
      <c r="AT153" s="8"/>
    </row>
    <row r="154" ht="15.75" customHeight="1">
      <c r="A154" s="23" t="s">
        <v>193</v>
      </c>
      <c r="B154" s="8">
        <f t="shared" si="1"/>
        <v>0</v>
      </c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  <c r="AC154" s="8"/>
      <c r="AD154" s="8"/>
      <c r="AE154" s="8"/>
      <c r="AF154" s="8"/>
      <c r="AG154" s="8"/>
      <c r="AH154" s="20"/>
      <c r="AI154" s="8"/>
      <c r="AJ154" s="8"/>
      <c r="AK154" s="8"/>
      <c r="AL154" s="8"/>
      <c r="AM154" s="8"/>
      <c r="AN154" s="8"/>
      <c r="AO154" s="8"/>
      <c r="AP154" s="8"/>
      <c r="AQ154" s="8"/>
      <c r="AR154" s="8"/>
      <c r="AS154" s="8"/>
      <c r="AT154" s="8"/>
    </row>
    <row r="155" ht="15.75" customHeight="1">
      <c r="A155" s="23" t="s">
        <v>194</v>
      </c>
      <c r="B155" s="8">
        <f t="shared" si="1"/>
        <v>0</v>
      </c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  <c r="AC155" s="8"/>
      <c r="AD155" s="8"/>
      <c r="AE155" s="8"/>
      <c r="AF155" s="8"/>
      <c r="AG155" s="8"/>
      <c r="AH155" s="20"/>
      <c r="AI155" s="8"/>
      <c r="AJ155" s="8"/>
      <c r="AK155" s="8"/>
      <c r="AL155" s="8"/>
      <c r="AM155" s="8"/>
      <c r="AN155" s="8"/>
      <c r="AO155" s="8"/>
      <c r="AP155" s="8"/>
      <c r="AQ155" s="8"/>
      <c r="AR155" s="8"/>
      <c r="AS155" s="8"/>
      <c r="AT155" s="8"/>
    </row>
    <row r="156" ht="15.75" customHeight="1">
      <c r="A156" s="23" t="s">
        <v>195</v>
      </c>
      <c r="B156" s="8">
        <f t="shared" si="1"/>
        <v>0</v>
      </c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  <c r="AC156" s="8"/>
      <c r="AD156" s="8"/>
      <c r="AE156" s="8"/>
      <c r="AF156" s="8"/>
      <c r="AG156" s="8"/>
      <c r="AH156" s="20"/>
      <c r="AI156" s="8"/>
      <c r="AJ156" s="8"/>
      <c r="AK156" s="8"/>
      <c r="AL156" s="8"/>
      <c r="AM156" s="8"/>
      <c r="AN156" s="8"/>
      <c r="AO156" s="8"/>
      <c r="AP156" s="8"/>
      <c r="AQ156" s="8"/>
      <c r="AR156" s="8"/>
      <c r="AS156" s="8"/>
      <c r="AT156" s="8"/>
    </row>
    <row r="157" ht="15.75" customHeight="1">
      <c r="A157" s="23" t="s">
        <v>196</v>
      </c>
      <c r="B157" s="8">
        <f t="shared" si="1"/>
        <v>0</v>
      </c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  <c r="AE157" s="8"/>
      <c r="AF157" s="8"/>
      <c r="AG157" s="8"/>
      <c r="AH157" s="20"/>
      <c r="AI157" s="8"/>
      <c r="AJ157" s="8"/>
      <c r="AK157" s="8"/>
      <c r="AL157" s="8"/>
      <c r="AM157" s="8"/>
      <c r="AN157" s="8"/>
      <c r="AO157" s="8"/>
      <c r="AP157" s="8"/>
      <c r="AQ157" s="8"/>
      <c r="AR157" s="8"/>
      <c r="AS157" s="8"/>
      <c r="AT157" s="8"/>
    </row>
    <row r="158" ht="15.75" customHeight="1">
      <c r="A158" s="23" t="s">
        <v>197</v>
      </c>
      <c r="B158" s="8">
        <f t="shared" si="1"/>
        <v>0</v>
      </c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  <c r="AD158" s="8"/>
      <c r="AE158" s="8"/>
      <c r="AF158" s="8"/>
      <c r="AG158" s="8"/>
      <c r="AH158" s="20"/>
      <c r="AI158" s="8"/>
      <c r="AJ158" s="8"/>
      <c r="AK158" s="8"/>
      <c r="AL158" s="8"/>
      <c r="AM158" s="8"/>
      <c r="AN158" s="8"/>
      <c r="AO158" s="8"/>
      <c r="AP158" s="8"/>
      <c r="AQ158" s="8"/>
      <c r="AR158" s="8"/>
      <c r="AS158" s="8"/>
      <c r="AT158" s="8"/>
    </row>
    <row r="159" ht="15.75" customHeight="1">
      <c r="A159" s="23" t="s">
        <v>198</v>
      </c>
      <c r="B159" s="8">
        <f t="shared" si="1"/>
        <v>0</v>
      </c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  <c r="AC159" s="8"/>
      <c r="AD159" s="8"/>
      <c r="AE159" s="8"/>
      <c r="AF159" s="8"/>
      <c r="AG159" s="8"/>
      <c r="AH159" s="20"/>
      <c r="AI159" s="20"/>
      <c r="AJ159" s="20"/>
      <c r="AK159" s="8"/>
      <c r="AL159" s="8"/>
      <c r="AM159" s="8"/>
      <c r="AN159" s="8"/>
      <c r="AO159" s="8"/>
      <c r="AP159" s="8"/>
      <c r="AQ159" s="8"/>
      <c r="AR159" s="8"/>
      <c r="AS159" s="8"/>
      <c r="AT159" s="8"/>
    </row>
    <row r="160" ht="15.75" customHeight="1">
      <c r="A160" s="23" t="s">
        <v>199</v>
      </c>
      <c r="B160" s="8">
        <f t="shared" si="1"/>
        <v>0</v>
      </c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  <c r="AC160" s="8"/>
      <c r="AD160" s="8"/>
      <c r="AE160" s="8"/>
      <c r="AF160" s="8"/>
      <c r="AG160" s="8"/>
      <c r="AH160" s="20"/>
      <c r="AI160" s="20"/>
      <c r="AJ160" s="20"/>
      <c r="AK160" s="8"/>
      <c r="AL160" s="8"/>
      <c r="AM160" s="8"/>
      <c r="AN160" s="8"/>
      <c r="AO160" s="8"/>
      <c r="AP160" s="8"/>
      <c r="AQ160" s="8"/>
      <c r="AR160" s="8"/>
      <c r="AS160" s="8"/>
      <c r="AT160" s="8"/>
    </row>
    <row r="161" ht="15.75" customHeight="1">
      <c r="A161" s="23" t="s">
        <v>200</v>
      </c>
      <c r="B161" s="8">
        <f t="shared" si="1"/>
        <v>0</v>
      </c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  <c r="AC161" s="8"/>
      <c r="AD161" s="8"/>
      <c r="AE161" s="8"/>
      <c r="AF161" s="8"/>
      <c r="AG161" s="8"/>
      <c r="AH161" s="20"/>
      <c r="AI161" s="20"/>
      <c r="AJ161" s="20"/>
      <c r="AK161" s="8"/>
      <c r="AL161" s="8"/>
      <c r="AM161" s="8"/>
      <c r="AN161" s="8"/>
      <c r="AO161" s="8"/>
      <c r="AP161" s="8"/>
      <c r="AQ161" s="8"/>
      <c r="AR161" s="8"/>
      <c r="AS161" s="8"/>
      <c r="AT161" s="8"/>
    </row>
    <row r="162" ht="15.75" customHeight="1">
      <c r="A162" s="23" t="s">
        <v>201</v>
      </c>
      <c r="B162" s="8">
        <f t="shared" si="1"/>
        <v>0</v>
      </c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8"/>
      <c r="AC162" s="8"/>
      <c r="AD162" s="8"/>
      <c r="AE162" s="8"/>
      <c r="AF162" s="8"/>
      <c r="AG162" s="8"/>
      <c r="AH162" s="20"/>
      <c r="AI162" s="20"/>
      <c r="AJ162" s="20"/>
      <c r="AK162" s="8"/>
      <c r="AL162" s="8"/>
      <c r="AM162" s="8"/>
      <c r="AN162" s="8"/>
      <c r="AO162" s="8"/>
      <c r="AP162" s="8"/>
      <c r="AQ162" s="8"/>
      <c r="AR162" s="8"/>
      <c r="AS162" s="8"/>
      <c r="AT162" s="8"/>
    </row>
    <row r="163" ht="15.75" customHeight="1">
      <c r="A163" s="24" t="s">
        <v>202</v>
      </c>
      <c r="B163" s="8">
        <f t="shared" si="1"/>
        <v>0</v>
      </c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  <c r="AB163" s="8"/>
      <c r="AC163" s="8"/>
      <c r="AD163" s="8"/>
      <c r="AE163" s="8"/>
      <c r="AF163" s="8"/>
      <c r="AG163" s="8"/>
      <c r="AH163" s="8"/>
      <c r="AI163" s="21"/>
      <c r="AJ163" s="8"/>
      <c r="AK163" s="8"/>
      <c r="AL163" s="8"/>
      <c r="AM163" s="8"/>
      <c r="AN163" s="8"/>
      <c r="AO163" s="8"/>
      <c r="AP163" s="8"/>
      <c r="AQ163" s="8"/>
      <c r="AR163" s="8"/>
      <c r="AS163" s="8"/>
      <c r="AT163" s="8"/>
    </row>
    <row r="164" ht="15.75" customHeight="1">
      <c r="A164" s="24" t="s">
        <v>203</v>
      </c>
      <c r="B164" s="8">
        <f t="shared" si="1"/>
        <v>0</v>
      </c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  <c r="AB164" s="8"/>
      <c r="AC164" s="8"/>
      <c r="AD164" s="8"/>
      <c r="AE164" s="8"/>
      <c r="AF164" s="8"/>
      <c r="AG164" s="8"/>
      <c r="AH164" s="8"/>
      <c r="AI164" s="21"/>
      <c r="AJ164" s="8"/>
      <c r="AK164" s="8"/>
      <c r="AL164" s="8"/>
      <c r="AM164" s="8"/>
      <c r="AN164" s="8"/>
      <c r="AO164" s="8"/>
      <c r="AP164" s="8"/>
      <c r="AQ164" s="8"/>
      <c r="AR164" s="8"/>
      <c r="AS164" s="8"/>
      <c r="AT164" s="8"/>
    </row>
    <row r="165" ht="15.75" customHeight="1">
      <c r="A165" s="24" t="s">
        <v>204</v>
      </c>
      <c r="B165" s="8">
        <f t="shared" si="1"/>
        <v>0</v>
      </c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  <c r="AB165" s="8"/>
      <c r="AC165" s="8"/>
      <c r="AD165" s="8"/>
      <c r="AE165" s="8"/>
      <c r="AF165" s="8"/>
      <c r="AG165" s="8"/>
      <c r="AH165" s="8"/>
      <c r="AI165" s="21"/>
      <c r="AJ165" s="8"/>
      <c r="AK165" s="20"/>
      <c r="AL165" s="8"/>
      <c r="AM165" s="8"/>
      <c r="AN165" s="8"/>
      <c r="AO165" s="20"/>
      <c r="AP165" s="8"/>
      <c r="AQ165" s="8"/>
      <c r="AR165" s="8"/>
      <c r="AS165" s="8"/>
      <c r="AT165" s="8"/>
    </row>
    <row r="166" ht="15.75" customHeight="1">
      <c r="A166" s="24" t="s">
        <v>205</v>
      </c>
      <c r="B166" s="8">
        <f t="shared" si="1"/>
        <v>0</v>
      </c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  <c r="AB166" s="8"/>
      <c r="AC166" s="8"/>
      <c r="AD166" s="8"/>
      <c r="AE166" s="8"/>
      <c r="AF166" s="8"/>
      <c r="AG166" s="8"/>
      <c r="AH166" s="8"/>
      <c r="AI166" s="21"/>
      <c r="AJ166" s="8"/>
      <c r="AK166" s="8"/>
      <c r="AL166" s="8"/>
      <c r="AM166" s="8"/>
      <c r="AN166" s="8"/>
      <c r="AO166" s="8"/>
      <c r="AP166" s="8"/>
      <c r="AQ166" s="8"/>
      <c r="AR166" s="8"/>
      <c r="AS166" s="8"/>
      <c r="AT166" s="8"/>
    </row>
    <row r="167" ht="15.75" customHeight="1">
      <c r="A167" s="24" t="s">
        <v>206</v>
      </c>
      <c r="B167" s="8">
        <f t="shared" si="1"/>
        <v>0</v>
      </c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  <c r="AC167" s="8"/>
      <c r="AD167" s="8"/>
      <c r="AE167" s="8"/>
      <c r="AF167" s="8"/>
      <c r="AG167" s="8"/>
      <c r="AH167" s="8"/>
      <c r="AI167" s="21"/>
      <c r="AJ167" s="8"/>
      <c r="AK167" s="8"/>
      <c r="AL167" s="8"/>
      <c r="AM167" s="8"/>
      <c r="AN167" s="8"/>
      <c r="AO167" s="8"/>
      <c r="AP167" s="8"/>
      <c r="AQ167" s="8"/>
      <c r="AR167" s="8"/>
      <c r="AS167" s="8"/>
      <c r="AT167" s="8"/>
    </row>
    <row r="168" ht="15.75" customHeight="1">
      <c r="A168" s="23" t="s">
        <v>5</v>
      </c>
      <c r="B168" s="8">
        <f t="shared" si="1"/>
        <v>0</v>
      </c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  <c r="AB168" s="8"/>
      <c r="AC168" s="8"/>
      <c r="AD168" s="8"/>
      <c r="AE168" s="8"/>
      <c r="AF168" s="8"/>
      <c r="AG168" s="8"/>
      <c r="AH168" s="8"/>
      <c r="AI168" s="8"/>
      <c r="AJ168" s="20"/>
      <c r="AK168" s="8"/>
      <c r="AL168" s="8"/>
      <c r="AM168" s="8"/>
      <c r="AN168" s="8"/>
      <c r="AO168" s="8"/>
      <c r="AP168" s="8"/>
      <c r="AQ168" s="8"/>
      <c r="AR168" s="8"/>
      <c r="AS168" s="8"/>
      <c r="AT168" s="8"/>
    </row>
    <row r="169" ht="15.75" customHeight="1">
      <c r="A169" s="23" t="s">
        <v>207</v>
      </c>
      <c r="B169" s="8">
        <f t="shared" si="1"/>
        <v>12.75</v>
      </c>
      <c r="C169" s="8"/>
      <c r="D169" s="20"/>
      <c r="E169" s="21">
        <v>2.0</v>
      </c>
      <c r="F169" s="21">
        <v>2.0</v>
      </c>
      <c r="G169" s="8"/>
      <c r="H169" s="8"/>
      <c r="I169" s="20">
        <v>1.25</v>
      </c>
      <c r="J169" s="8"/>
      <c r="K169" s="8"/>
      <c r="L169" s="20">
        <v>2.0</v>
      </c>
      <c r="M169" s="20">
        <v>1.75</v>
      </c>
      <c r="N169" s="20">
        <v>2.0</v>
      </c>
      <c r="O169" s="8"/>
      <c r="P169" s="20">
        <v>1.75</v>
      </c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8"/>
      <c r="AC169" s="8"/>
      <c r="AD169" s="8"/>
      <c r="AE169" s="8"/>
      <c r="AF169" s="8"/>
      <c r="AG169" s="8"/>
      <c r="AH169" s="8"/>
      <c r="AI169" s="8"/>
      <c r="AJ169" s="20"/>
      <c r="AK169" s="20"/>
      <c r="AL169" s="8"/>
      <c r="AM169" s="20"/>
      <c r="AN169" s="20"/>
      <c r="AO169" s="20"/>
      <c r="AP169" s="8"/>
      <c r="AQ169" s="8"/>
      <c r="AR169" s="8"/>
      <c r="AS169" s="8"/>
      <c r="AT169" s="8"/>
    </row>
    <row r="170" ht="15.75" customHeight="1">
      <c r="A170" s="23" t="s">
        <v>208</v>
      </c>
      <c r="B170" s="8">
        <f t="shared" si="1"/>
        <v>0</v>
      </c>
      <c r="C170" s="20"/>
      <c r="D170" s="20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8"/>
      <c r="AC170" s="8"/>
      <c r="AD170" s="8"/>
      <c r="AE170" s="8"/>
      <c r="AF170" s="8"/>
      <c r="AG170" s="8"/>
      <c r="AH170" s="8"/>
      <c r="AI170" s="8"/>
      <c r="AJ170" s="8"/>
      <c r="AK170" s="20"/>
      <c r="AL170" s="8"/>
      <c r="AM170" s="20"/>
      <c r="AN170" s="8"/>
      <c r="AO170" s="20"/>
      <c r="AP170" s="8"/>
      <c r="AQ170" s="8"/>
      <c r="AR170" s="8"/>
      <c r="AS170" s="8"/>
      <c r="AT170" s="8"/>
    </row>
    <row r="171" ht="15.75" customHeight="1">
      <c r="A171" s="23" t="s">
        <v>209</v>
      </c>
      <c r="B171" s="8">
        <f t="shared" si="1"/>
        <v>0</v>
      </c>
      <c r="C171" s="20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  <c r="AC171" s="8"/>
      <c r="AD171" s="8"/>
      <c r="AE171" s="8"/>
      <c r="AF171" s="8"/>
      <c r="AG171" s="8"/>
      <c r="AH171" s="8"/>
      <c r="AI171" s="8"/>
      <c r="AJ171" s="8"/>
      <c r="AK171" s="8"/>
      <c r="AL171" s="8"/>
      <c r="AM171" s="8"/>
      <c r="AN171" s="20"/>
      <c r="AO171" s="8"/>
      <c r="AP171" s="8"/>
      <c r="AQ171" s="8"/>
      <c r="AR171" s="8"/>
      <c r="AS171" s="8"/>
      <c r="AT171" s="8"/>
    </row>
    <row r="172" ht="15.75" customHeight="1">
      <c r="A172" s="23" t="s">
        <v>210</v>
      </c>
      <c r="B172" s="8">
        <f t="shared" si="1"/>
        <v>0</v>
      </c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  <c r="AC172" s="8"/>
      <c r="AD172" s="8"/>
      <c r="AE172" s="8"/>
      <c r="AF172" s="8"/>
      <c r="AG172" s="8"/>
      <c r="AH172" s="8"/>
      <c r="AI172" s="8"/>
      <c r="AJ172" s="8"/>
      <c r="AK172" s="20"/>
      <c r="AL172" s="8"/>
      <c r="AM172" s="8"/>
      <c r="AN172" s="8"/>
      <c r="AO172" s="8"/>
      <c r="AP172" s="8"/>
      <c r="AQ172" s="8"/>
      <c r="AR172" s="8"/>
      <c r="AS172" s="8"/>
      <c r="AT172" s="8"/>
    </row>
    <row r="173" ht="15.75" customHeight="1">
      <c r="A173" s="23" t="s">
        <v>211</v>
      </c>
      <c r="B173" s="8">
        <f t="shared" si="1"/>
        <v>0</v>
      </c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  <c r="AC173" s="8"/>
      <c r="AD173" s="8"/>
      <c r="AE173" s="8"/>
      <c r="AF173" s="8"/>
      <c r="AG173" s="8"/>
      <c r="AH173" s="8"/>
      <c r="AI173" s="8"/>
      <c r="AJ173" s="8"/>
      <c r="AK173" s="20"/>
      <c r="AL173" s="8"/>
      <c r="AM173" s="8"/>
      <c r="AN173" s="8"/>
      <c r="AO173" s="20"/>
      <c r="AP173" s="8"/>
      <c r="AQ173" s="8"/>
      <c r="AR173" s="8"/>
      <c r="AS173" s="8"/>
      <c r="AT173" s="8"/>
    </row>
    <row r="174" ht="15.75" customHeight="1">
      <c r="A174" s="23" t="s">
        <v>212</v>
      </c>
      <c r="B174" s="8">
        <f t="shared" si="1"/>
        <v>0</v>
      </c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  <c r="AC174" s="8"/>
      <c r="AD174" s="8"/>
      <c r="AE174" s="8"/>
      <c r="AF174" s="8"/>
      <c r="AG174" s="8"/>
      <c r="AH174" s="8"/>
      <c r="AI174" s="8"/>
      <c r="AJ174" s="8"/>
      <c r="AK174" s="20"/>
      <c r="AL174" s="8"/>
      <c r="AM174" s="8"/>
      <c r="AN174" s="8"/>
      <c r="AO174" s="8"/>
      <c r="AP174" s="8"/>
      <c r="AQ174" s="8"/>
      <c r="AR174" s="8"/>
      <c r="AS174" s="8"/>
      <c r="AT174" s="8"/>
    </row>
    <row r="175" ht="15.75" customHeight="1">
      <c r="A175" s="24" t="s">
        <v>213</v>
      </c>
      <c r="B175" s="8">
        <f t="shared" si="1"/>
        <v>0</v>
      </c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  <c r="AC175" s="8"/>
      <c r="AD175" s="8"/>
      <c r="AE175" s="8"/>
      <c r="AF175" s="8"/>
      <c r="AG175" s="8"/>
      <c r="AH175" s="8"/>
      <c r="AI175" s="8"/>
      <c r="AJ175" s="8"/>
      <c r="AK175" s="8"/>
      <c r="AL175" s="21"/>
      <c r="AM175" s="8"/>
      <c r="AN175" s="8"/>
      <c r="AO175" s="8"/>
      <c r="AP175" s="8"/>
      <c r="AQ175" s="8"/>
      <c r="AR175" s="8"/>
      <c r="AS175" s="8"/>
      <c r="AT175" s="8"/>
    </row>
    <row r="176" ht="15.75" customHeight="1">
      <c r="A176" s="24" t="s">
        <v>214</v>
      </c>
      <c r="B176" s="8">
        <f t="shared" si="1"/>
        <v>2</v>
      </c>
      <c r="C176" s="8"/>
      <c r="D176" s="20">
        <v>2.0</v>
      </c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  <c r="AC176" s="8"/>
      <c r="AD176" s="8"/>
      <c r="AE176" s="8"/>
      <c r="AF176" s="8"/>
      <c r="AG176" s="8"/>
      <c r="AH176" s="8"/>
      <c r="AI176" s="8"/>
      <c r="AJ176" s="8"/>
      <c r="AK176" s="8"/>
      <c r="AL176" s="21"/>
      <c r="AM176" s="8"/>
      <c r="AN176" s="20"/>
      <c r="AO176" s="8"/>
      <c r="AP176" s="8"/>
      <c r="AQ176" s="8"/>
      <c r="AR176" s="8"/>
      <c r="AS176" s="8"/>
      <c r="AT176" s="8"/>
    </row>
    <row r="177" ht="15.75" customHeight="1">
      <c r="A177" s="24" t="s">
        <v>215</v>
      </c>
      <c r="B177" s="8">
        <f t="shared" si="1"/>
        <v>0</v>
      </c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  <c r="AC177" s="8"/>
      <c r="AD177" s="8"/>
      <c r="AE177" s="8"/>
      <c r="AF177" s="8"/>
      <c r="AG177" s="8"/>
      <c r="AH177" s="8"/>
      <c r="AI177" s="8"/>
      <c r="AJ177" s="8"/>
      <c r="AK177" s="8"/>
      <c r="AL177" s="21"/>
      <c r="AM177" s="8"/>
      <c r="AN177" s="8"/>
      <c r="AO177" s="8"/>
      <c r="AP177" s="8"/>
      <c r="AQ177" s="8"/>
      <c r="AR177" s="8"/>
      <c r="AS177" s="8"/>
      <c r="AT177" s="8"/>
    </row>
    <row r="178" ht="15.75" customHeight="1">
      <c r="A178" s="24" t="s">
        <v>216</v>
      </c>
      <c r="B178" s="8">
        <f t="shared" si="1"/>
        <v>15.5</v>
      </c>
      <c r="C178" s="20">
        <v>2.0</v>
      </c>
      <c r="D178" s="20">
        <v>2.0</v>
      </c>
      <c r="E178" s="21">
        <v>2.0</v>
      </c>
      <c r="F178" s="21">
        <v>2.0</v>
      </c>
      <c r="G178" s="8"/>
      <c r="H178" s="8"/>
      <c r="I178" s="8"/>
      <c r="J178" s="20">
        <v>1.5</v>
      </c>
      <c r="K178" s="21">
        <v>2.0</v>
      </c>
      <c r="L178" s="8"/>
      <c r="M178" s="8"/>
      <c r="N178" s="20">
        <v>2.0</v>
      </c>
      <c r="O178" s="20">
        <v>2.0</v>
      </c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  <c r="AC178" s="8"/>
      <c r="AD178" s="8"/>
      <c r="AE178" s="8"/>
      <c r="AF178" s="8"/>
      <c r="AG178" s="8"/>
      <c r="AH178" s="8"/>
      <c r="AI178" s="8"/>
      <c r="AJ178" s="8"/>
      <c r="AK178" s="8"/>
      <c r="AL178" s="21"/>
      <c r="AM178" s="20"/>
      <c r="AN178" s="20"/>
      <c r="AO178" s="20"/>
      <c r="AP178" s="8"/>
      <c r="AQ178" s="8"/>
      <c r="AR178" s="8"/>
      <c r="AS178" s="8"/>
      <c r="AT178" s="8"/>
    </row>
    <row r="179" ht="15.75" customHeight="1">
      <c r="A179" s="24" t="s">
        <v>217</v>
      </c>
      <c r="B179" s="8">
        <f t="shared" si="1"/>
        <v>0</v>
      </c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  <c r="AC179" s="8"/>
      <c r="AD179" s="8"/>
      <c r="AE179" s="8"/>
      <c r="AF179" s="8"/>
      <c r="AG179" s="8"/>
      <c r="AH179" s="8"/>
      <c r="AI179" s="8"/>
      <c r="AJ179" s="8"/>
      <c r="AK179" s="8"/>
      <c r="AL179" s="21"/>
      <c r="AM179" s="8"/>
      <c r="AN179" s="8"/>
      <c r="AO179" s="8"/>
      <c r="AP179" s="8"/>
      <c r="AQ179" s="8"/>
      <c r="AR179" s="8"/>
      <c r="AS179" s="8"/>
      <c r="AT179" s="8"/>
    </row>
    <row r="180" ht="15.75" customHeight="1">
      <c r="A180" s="24" t="s">
        <v>218</v>
      </c>
      <c r="B180" s="8">
        <f t="shared" si="1"/>
        <v>2</v>
      </c>
      <c r="C180" s="8"/>
      <c r="D180" s="20">
        <v>2.0</v>
      </c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  <c r="AC180" s="8"/>
      <c r="AD180" s="8"/>
      <c r="AE180" s="8"/>
      <c r="AF180" s="8"/>
      <c r="AG180" s="8"/>
      <c r="AH180" s="8"/>
      <c r="AI180" s="8"/>
      <c r="AJ180" s="8"/>
      <c r="AK180" s="8"/>
      <c r="AL180" s="20"/>
      <c r="AM180" s="8"/>
      <c r="AN180" s="8"/>
      <c r="AO180" s="8"/>
      <c r="AP180" s="8"/>
      <c r="AQ180" s="8"/>
      <c r="AR180" s="8"/>
      <c r="AS180" s="8"/>
      <c r="AT180" s="8"/>
    </row>
    <row r="181" ht="15.75" customHeight="1">
      <c r="A181" s="23" t="s">
        <v>219</v>
      </c>
      <c r="B181" s="8">
        <f t="shared" si="1"/>
        <v>23.25</v>
      </c>
      <c r="C181" s="20">
        <v>2.0</v>
      </c>
      <c r="D181" s="20">
        <v>2.0</v>
      </c>
      <c r="E181" s="21">
        <v>2.0</v>
      </c>
      <c r="F181" s="21">
        <v>2.0</v>
      </c>
      <c r="G181" s="20">
        <v>2.0</v>
      </c>
      <c r="H181" s="20">
        <v>2.0</v>
      </c>
      <c r="I181" s="8"/>
      <c r="J181" s="8"/>
      <c r="K181" s="21">
        <v>2.0</v>
      </c>
      <c r="L181" s="20">
        <v>2.0</v>
      </c>
      <c r="M181" s="20">
        <v>1.75</v>
      </c>
      <c r="N181" s="20">
        <v>2.0</v>
      </c>
      <c r="O181" s="20">
        <v>2.0</v>
      </c>
      <c r="P181" s="8"/>
      <c r="Q181" s="20">
        <v>1.5</v>
      </c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  <c r="AC181" s="8"/>
      <c r="AD181" s="8"/>
      <c r="AE181" s="8"/>
      <c r="AF181" s="8"/>
      <c r="AG181" s="8"/>
      <c r="AH181" s="8"/>
      <c r="AI181" s="8"/>
      <c r="AJ181" s="8"/>
      <c r="AK181" s="8"/>
      <c r="AL181" s="20"/>
      <c r="AM181" s="20"/>
      <c r="AN181" s="20"/>
      <c r="AO181" s="20"/>
      <c r="AP181" s="8"/>
      <c r="AQ181" s="8"/>
      <c r="AR181" s="8"/>
      <c r="AS181" s="8"/>
      <c r="AT181" s="8"/>
    </row>
    <row r="182" ht="15.75" customHeight="1">
      <c r="A182" s="23" t="s">
        <v>220</v>
      </c>
      <c r="B182" s="8">
        <f t="shared" si="1"/>
        <v>0</v>
      </c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  <c r="AC182" s="8"/>
      <c r="AD182" s="8"/>
      <c r="AE182" s="8"/>
      <c r="AF182" s="8"/>
      <c r="AG182" s="8"/>
      <c r="AH182" s="8"/>
      <c r="AI182" s="8"/>
      <c r="AJ182" s="8"/>
      <c r="AK182" s="8"/>
      <c r="AL182" s="20"/>
      <c r="AM182" s="8"/>
      <c r="AN182" s="8"/>
      <c r="AO182" s="8"/>
      <c r="AP182" s="8"/>
      <c r="AQ182" s="8"/>
      <c r="AR182" s="8"/>
      <c r="AS182" s="8"/>
      <c r="AT182" s="8"/>
    </row>
    <row r="183" ht="15.75" customHeight="1">
      <c r="A183" s="23" t="s">
        <v>221</v>
      </c>
      <c r="B183" s="8">
        <f t="shared" si="1"/>
        <v>0</v>
      </c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  <c r="AC183" s="8"/>
      <c r="AD183" s="8"/>
      <c r="AE183" s="8"/>
      <c r="AF183" s="8"/>
      <c r="AG183" s="8"/>
      <c r="AH183" s="8"/>
      <c r="AI183" s="8"/>
      <c r="AJ183" s="8"/>
      <c r="AK183" s="8"/>
      <c r="AL183" s="8"/>
      <c r="AM183" s="20"/>
      <c r="AN183" s="20"/>
      <c r="AO183" s="8"/>
      <c r="AP183" s="8"/>
      <c r="AQ183" s="8"/>
      <c r="AR183" s="8"/>
      <c r="AS183" s="8"/>
      <c r="AT183" s="8"/>
    </row>
    <row r="184" ht="15.75" customHeight="1">
      <c r="A184" s="23" t="s">
        <v>222</v>
      </c>
      <c r="B184" s="8">
        <f t="shared" si="1"/>
        <v>0</v>
      </c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  <c r="AC184" s="8"/>
      <c r="AD184" s="8"/>
      <c r="AE184" s="8"/>
      <c r="AF184" s="8"/>
      <c r="AG184" s="8"/>
      <c r="AH184" s="8"/>
      <c r="AI184" s="8"/>
      <c r="AJ184" s="8"/>
      <c r="AK184" s="8"/>
      <c r="AL184" s="8"/>
      <c r="AM184" s="20"/>
      <c r="AN184" s="8"/>
      <c r="AO184" s="20"/>
      <c r="AP184" s="8"/>
      <c r="AQ184" s="8"/>
      <c r="AR184" s="8"/>
      <c r="AS184" s="8"/>
      <c r="AT184" s="8"/>
    </row>
    <row r="185" ht="15.75" customHeight="1">
      <c r="A185" s="23" t="s">
        <v>223</v>
      </c>
      <c r="B185" s="8">
        <f t="shared" si="1"/>
        <v>0</v>
      </c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  <c r="AC185" s="8"/>
      <c r="AD185" s="8"/>
      <c r="AE185" s="8"/>
      <c r="AF185" s="8"/>
      <c r="AG185" s="8"/>
      <c r="AH185" s="8"/>
      <c r="AI185" s="8"/>
      <c r="AJ185" s="8"/>
      <c r="AK185" s="8"/>
      <c r="AL185" s="8"/>
      <c r="AM185" s="20"/>
      <c r="AN185" s="8"/>
      <c r="AO185" s="8"/>
      <c r="AP185" s="8"/>
      <c r="AQ185" s="8"/>
      <c r="AR185" s="8"/>
      <c r="AS185" s="8"/>
      <c r="AT185" s="8"/>
    </row>
    <row r="186" ht="15.75" customHeight="1">
      <c r="A186" s="23" t="s">
        <v>224</v>
      </c>
      <c r="B186" s="8">
        <f t="shared" si="1"/>
        <v>2</v>
      </c>
      <c r="C186" s="8"/>
      <c r="D186" s="8"/>
      <c r="E186" s="8"/>
      <c r="F186" s="8"/>
      <c r="G186" s="8"/>
      <c r="H186" s="20">
        <v>2.0</v>
      </c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  <c r="AC186" s="8"/>
      <c r="AD186" s="8"/>
      <c r="AE186" s="8"/>
      <c r="AF186" s="8"/>
      <c r="AG186" s="8"/>
      <c r="AH186" s="8"/>
      <c r="AI186" s="8"/>
      <c r="AJ186" s="8"/>
      <c r="AK186" s="8"/>
      <c r="AL186" s="8"/>
      <c r="AM186" s="8"/>
      <c r="AN186" s="20"/>
      <c r="AO186" s="8"/>
      <c r="AP186" s="8"/>
      <c r="AQ186" s="8"/>
      <c r="AR186" s="8"/>
      <c r="AS186" s="8"/>
      <c r="AT186" s="8"/>
    </row>
    <row r="187" ht="15.75" customHeight="1">
      <c r="A187" s="23" t="s">
        <v>225</v>
      </c>
      <c r="B187" s="8">
        <f t="shared" si="1"/>
        <v>0</v>
      </c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8"/>
      <c r="AD187" s="8"/>
      <c r="AE187" s="8"/>
      <c r="AF187" s="8"/>
      <c r="AG187" s="8"/>
      <c r="AH187" s="8"/>
      <c r="AI187" s="8"/>
      <c r="AJ187" s="8"/>
      <c r="AK187" s="8"/>
      <c r="AL187" s="8"/>
      <c r="AM187" s="8"/>
      <c r="AN187" s="20"/>
      <c r="AO187" s="8"/>
      <c r="AP187" s="8"/>
      <c r="AQ187" s="8"/>
      <c r="AR187" s="8"/>
      <c r="AS187" s="8"/>
      <c r="AT187" s="8"/>
    </row>
    <row r="188" ht="15.75" customHeight="1">
      <c r="A188" s="23" t="s">
        <v>226</v>
      </c>
      <c r="B188" s="8">
        <f t="shared" si="1"/>
        <v>0</v>
      </c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  <c r="AD188" s="8"/>
      <c r="AE188" s="8"/>
      <c r="AF188" s="8"/>
      <c r="AG188" s="8"/>
      <c r="AH188" s="8"/>
      <c r="AI188" s="8"/>
      <c r="AJ188" s="8"/>
      <c r="AK188" s="8"/>
      <c r="AL188" s="8"/>
      <c r="AM188" s="8"/>
      <c r="AN188" s="20"/>
      <c r="AO188" s="8"/>
      <c r="AP188" s="8"/>
      <c r="AQ188" s="8"/>
      <c r="AR188" s="8"/>
      <c r="AS188" s="8"/>
      <c r="AT188" s="8"/>
    </row>
    <row r="189" ht="15.75" customHeight="1">
      <c r="A189" s="23" t="s">
        <v>227</v>
      </c>
      <c r="B189" s="8">
        <f t="shared" si="1"/>
        <v>0</v>
      </c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  <c r="AC189" s="8"/>
      <c r="AD189" s="8"/>
      <c r="AE189" s="8"/>
      <c r="AF189" s="8"/>
      <c r="AG189" s="8"/>
      <c r="AH189" s="8"/>
      <c r="AI189" s="8"/>
      <c r="AJ189" s="8"/>
      <c r="AK189" s="8"/>
      <c r="AL189" s="8"/>
      <c r="AM189" s="8"/>
      <c r="AN189" s="20"/>
      <c r="AO189" s="8"/>
      <c r="AP189" s="8"/>
      <c r="AQ189" s="8"/>
      <c r="AR189" s="8"/>
      <c r="AS189" s="8"/>
      <c r="AT189" s="8"/>
    </row>
    <row r="190" ht="15.75" customHeight="1">
      <c r="A190" s="23" t="s">
        <v>228</v>
      </c>
      <c r="B190" s="8">
        <f t="shared" si="1"/>
        <v>0</v>
      </c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  <c r="AC190" s="8"/>
      <c r="AD190" s="8"/>
      <c r="AE190" s="8"/>
      <c r="AF190" s="8"/>
      <c r="AG190" s="8"/>
      <c r="AH190" s="8"/>
      <c r="AI190" s="8"/>
      <c r="AJ190" s="8"/>
      <c r="AK190" s="8"/>
      <c r="AL190" s="8"/>
      <c r="AM190" s="8"/>
      <c r="AN190" s="20"/>
      <c r="AO190" s="8"/>
      <c r="AP190" s="8"/>
      <c r="AQ190" s="8"/>
      <c r="AR190" s="8"/>
      <c r="AS190" s="8"/>
      <c r="AT190" s="8"/>
    </row>
    <row r="191" ht="15.75" customHeight="1">
      <c r="A191" s="23" t="s">
        <v>229</v>
      </c>
      <c r="B191" s="8">
        <f t="shared" si="1"/>
        <v>0</v>
      </c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  <c r="AC191" s="8"/>
      <c r="AD191" s="8"/>
      <c r="AE191" s="8"/>
      <c r="AF191" s="8"/>
      <c r="AG191" s="8"/>
      <c r="AH191" s="8"/>
      <c r="AI191" s="8"/>
      <c r="AJ191" s="8"/>
      <c r="AK191" s="8"/>
      <c r="AL191" s="8"/>
      <c r="AM191" s="8"/>
      <c r="AN191" s="20"/>
      <c r="AO191" s="8"/>
      <c r="AP191" s="8"/>
      <c r="AQ191" s="8"/>
      <c r="AR191" s="8"/>
      <c r="AS191" s="8"/>
      <c r="AT191" s="8"/>
    </row>
    <row r="192" ht="15.75" customHeight="1">
      <c r="A192" s="23" t="s">
        <v>60</v>
      </c>
      <c r="B192" s="8">
        <f t="shared" si="1"/>
        <v>0</v>
      </c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8"/>
      <c r="AD192" s="8"/>
      <c r="AE192" s="8"/>
      <c r="AF192" s="8"/>
      <c r="AG192" s="8"/>
      <c r="AH192" s="8"/>
      <c r="AI192" s="8"/>
      <c r="AJ192" s="8"/>
      <c r="AK192" s="8"/>
      <c r="AL192" s="8"/>
      <c r="AM192" s="8"/>
      <c r="AN192" s="8"/>
      <c r="AO192" s="20"/>
      <c r="AP192" s="8"/>
      <c r="AQ192" s="8"/>
      <c r="AR192" s="8"/>
      <c r="AS192" s="8"/>
      <c r="AT192" s="8"/>
    </row>
    <row r="193" ht="15.75" customHeight="1">
      <c r="A193" s="23" t="s">
        <v>230</v>
      </c>
      <c r="B193" s="8">
        <f t="shared" si="1"/>
        <v>0</v>
      </c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  <c r="AD193" s="8"/>
      <c r="AE193" s="8"/>
      <c r="AF193" s="8"/>
      <c r="AG193" s="8"/>
      <c r="AH193" s="8"/>
      <c r="AI193" s="8"/>
      <c r="AJ193" s="8"/>
      <c r="AK193" s="8"/>
      <c r="AL193" s="8"/>
      <c r="AM193" s="8"/>
      <c r="AN193" s="8"/>
      <c r="AO193" s="20"/>
      <c r="AP193" s="8"/>
      <c r="AQ193" s="8"/>
      <c r="AR193" s="8"/>
      <c r="AS193" s="8"/>
      <c r="AT193" s="8"/>
    </row>
    <row r="194" ht="15.75" customHeight="1">
      <c r="A194" s="23" t="s">
        <v>231</v>
      </c>
      <c r="B194" s="8">
        <f t="shared" si="1"/>
        <v>5.5</v>
      </c>
      <c r="C194" s="20"/>
      <c r="D194" s="20">
        <v>2.0</v>
      </c>
      <c r="E194" s="21">
        <v>1.5</v>
      </c>
      <c r="F194" s="8"/>
      <c r="G194" s="20">
        <v>2.0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  <c r="AD194" s="8"/>
      <c r="AE194" s="8"/>
      <c r="AF194" s="8"/>
      <c r="AG194" s="8"/>
      <c r="AH194" s="8"/>
      <c r="AI194" s="8"/>
      <c r="AJ194" s="8"/>
      <c r="AK194" s="8"/>
      <c r="AL194" s="8"/>
      <c r="AM194" s="8"/>
      <c r="AN194" s="8"/>
      <c r="AO194" s="20"/>
      <c r="AP194" s="8"/>
      <c r="AQ194" s="8"/>
      <c r="AR194" s="8"/>
      <c r="AS194" s="8"/>
      <c r="AT194" s="8"/>
    </row>
    <row r="195" ht="15.75" customHeight="1">
      <c r="A195" s="23" t="s">
        <v>232</v>
      </c>
      <c r="B195" s="8">
        <f t="shared" si="1"/>
        <v>0</v>
      </c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  <c r="AC195" s="8"/>
      <c r="AD195" s="8"/>
      <c r="AE195" s="8"/>
      <c r="AF195" s="8"/>
      <c r="AG195" s="8"/>
      <c r="AH195" s="8"/>
      <c r="AI195" s="8"/>
      <c r="AJ195" s="8"/>
      <c r="AK195" s="8"/>
      <c r="AL195" s="8"/>
      <c r="AM195" s="8"/>
      <c r="AN195" s="8"/>
      <c r="AO195" s="20"/>
      <c r="AP195" s="8"/>
      <c r="AQ195" s="8"/>
      <c r="AR195" s="8"/>
      <c r="AS195" s="8"/>
      <c r="AT195" s="8"/>
    </row>
    <row r="196" ht="15.75" customHeight="1">
      <c r="A196" s="23" t="s">
        <v>233</v>
      </c>
      <c r="B196" s="8">
        <f t="shared" si="1"/>
        <v>0</v>
      </c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  <c r="AC196" s="8"/>
      <c r="AD196" s="8"/>
      <c r="AE196" s="8"/>
      <c r="AF196" s="8"/>
      <c r="AG196" s="8"/>
      <c r="AH196" s="8"/>
      <c r="AI196" s="8"/>
      <c r="AJ196" s="8"/>
      <c r="AK196" s="8"/>
      <c r="AL196" s="8"/>
      <c r="AM196" s="8"/>
      <c r="AN196" s="8"/>
      <c r="AO196" s="20"/>
      <c r="AP196" s="8"/>
      <c r="AQ196" s="8"/>
      <c r="AR196" s="8"/>
      <c r="AS196" s="8"/>
      <c r="AT196" s="8"/>
    </row>
    <row r="197" ht="15.75" customHeight="1">
      <c r="A197" s="23" t="s">
        <v>234</v>
      </c>
      <c r="B197" s="8">
        <f t="shared" si="1"/>
        <v>0</v>
      </c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  <c r="AD197" s="8"/>
      <c r="AE197" s="8"/>
      <c r="AF197" s="8"/>
      <c r="AG197" s="8"/>
      <c r="AH197" s="8"/>
      <c r="AI197" s="8"/>
      <c r="AJ197" s="8"/>
      <c r="AK197" s="8"/>
      <c r="AL197" s="8"/>
      <c r="AM197" s="8"/>
      <c r="AN197" s="8"/>
      <c r="AO197" s="20"/>
      <c r="AP197" s="8"/>
      <c r="AQ197" s="8"/>
      <c r="AR197" s="8"/>
      <c r="AS197" s="8"/>
      <c r="AT197" s="8"/>
    </row>
    <row r="198" ht="15.75" customHeight="1">
      <c r="A198" s="23" t="s">
        <v>363</v>
      </c>
      <c r="B198" s="8">
        <f t="shared" si="1"/>
        <v>9.5</v>
      </c>
      <c r="C198" s="20">
        <v>2.0</v>
      </c>
      <c r="D198" s="20">
        <v>2.0</v>
      </c>
      <c r="E198" s="21">
        <v>2.0</v>
      </c>
      <c r="F198" s="8"/>
      <c r="G198" s="8"/>
      <c r="H198" s="8"/>
      <c r="I198" s="20">
        <v>1.5</v>
      </c>
      <c r="J198" s="8"/>
      <c r="K198" s="8"/>
      <c r="L198" s="8"/>
      <c r="M198" s="8"/>
      <c r="N198" s="8"/>
      <c r="O198" s="20">
        <v>2.0</v>
      </c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  <c r="AC198" s="8"/>
      <c r="AD198" s="8"/>
      <c r="AE198" s="8"/>
      <c r="AF198" s="8"/>
      <c r="AG198" s="8"/>
      <c r="AH198" s="8"/>
      <c r="AI198" s="8"/>
      <c r="AJ198" s="8"/>
      <c r="AK198" s="8"/>
      <c r="AL198" s="8"/>
      <c r="AM198" s="8"/>
      <c r="AN198" s="8"/>
      <c r="AO198" s="8"/>
      <c r="AP198" s="8"/>
      <c r="AQ198" s="8"/>
      <c r="AR198" s="8"/>
      <c r="AS198" s="8"/>
      <c r="AT198" s="8"/>
    </row>
    <row r="199" ht="15.75" customHeight="1">
      <c r="A199" s="23" t="s">
        <v>364</v>
      </c>
      <c r="B199" s="8">
        <f t="shared" si="1"/>
        <v>2</v>
      </c>
      <c r="C199" s="20">
        <v>2.0</v>
      </c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  <c r="AC199" s="8"/>
      <c r="AD199" s="8"/>
      <c r="AE199" s="8"/>
      <c r="AF199" s="8"/>
      <c r="AG199" s="8"/>
      <c r="AH199" s="8"/>
      <c r="AI199" s="8"/>
      <c r="AJ199" s="8"/>
      <c r="AK199" s="8"/>
      <c r="AL199" s="8"/>
      <c r="AM199" s="8"/>
      <c r="AN199" s="8"/>
      <c r="AO199" s="8"/>
      <c r="AP199" s="8"/>
      <c r="AQ199" s="8"/>
      <c r="AR199" s="8"/>
      <c r="AS199" s="8"/>
      <c r="AT199" s="8"/>
    </row>
    <row r="200" ht="15.75" customHeight="1">
      <c r="A200" s="23" t="s">
        <v>365</v>
      </c>
      <c r="B200" s="8">
        <f t="shared" si="1"/>
        <v>4</v>
      </c>
      <c r="C200" s="20">
        <v>2.0</v>
      </c>
      <c r="D200" s="8"/>
      <c r="E200" s="8"/>
      <c r="F200" s="8"/>
      <c r="G200" s="20">
        <v>2.0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  <c r="AD200" s="8"/>
      <c r="AE200" s="8"/>
      <c r="AF200" s="8"/>
      <c r="AG200" s="8"/>
      <c r="AH200" s="8"/>
      <c r="AI200" s="8"/>
      <c r="AJ200" s="8"/>
      <c r="AK200" s="8"/>
      <c r="AL200" s="8"/>
      <c r="AM200" s="8"/>
      <c r="AN200" s="8"/>
      <c r="AO200" s="8"/>
      <c r="AP200" s="8"/>
      <c r="AQ200" s="8"/>
      <c r="AR200" s="8"/>
      <c r="AS200" s="8"/>
      <c r="AT200" s="8"/>
    </row>
    <row r="201" ht="15.75" customHeight="1">
      <c r="A201" s="23" t="s">
        <v>366</v>
      </c>
      <c r="B201" s="8">
        <f t="shared" si="1"/>
        <v>2</v>
      </c>
      <c r="C201" s="20">
        <v>2.0</v>
      </c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8"/>
      <c r="AC201" s="8"/>
      <c r="AD201" s="8"/>
      <c r="AE201" s="8"/>
      <c r="AF201" s="8"/>
      <c r="AG201" s="8"/>
      <c r="AH201" s="8"/>
      <c r="AI201" s="8"/>
      <c r="AJ201" s="8"/>
      <c r="AK201" s="8"/>
      <c r="AL201" s="8"/>
      <c r="AM201" s="8"/>
      <c r="AN201" s="8"/>
      <c r="AO201" s="8"/>
      <c r="AP201" s="8"/>
      <c r="AQ201" s="8"/>
      <c r="AR201" s="8"/>
      <c r="AS201" s="8"/>
      <c r="AT201" s="8"/>
    </row>
    <row r="202" ht="15.75" customHeight="1">
      <c r="A202" s="23" t="s">
        <v>367</v>
      </c>
      <c r="B202" s="8">
        <f t="shared" si="1"/>
        <v>0</v>
      </c>
      <c r="C202" s="20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  <c r="AB202" s="8"/>
      <c r="AC202" s="8"/>
      <c r="AD202" s="8"/>
      <c r="AE202" s="8"/>
      <c r="AF202" s="8"/>
      <c r="AG202" s="8"/>
      <c r="AH202" s="8"/>
      <c r="AI202" s="8"/>
      <c r="AJ202" s="8"/>
      <c r="AK202" s="8"/>
      <c r="AL202" s="8"/>
      <c r="AM202" s="8"/>
      <c r="AN202" s="8"/>
      <c r="AO202" s="8"/>
      <c r="AP202" s="8"/>
      <c r="AQ202" s="8"/>
      <c r="AR202" s="8"/>
      <c r="AS202" s="8"/>
      <c r="AT202" s="8"/>
    </row>
    <row r="203" ht="15.75" customHeight="1">
      <c r="A203" s="23" t="s">
        <v>368</v>
      </c>
      <c r="B203" s="8">
        <f t="shared" si="1"/>
        <v>0</v>
      </c>
      <c r="C203" s="20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  <c r="AC203" s="8"/>
      <c r="AD203" s="8"/>
      <c r="AE203" s="8"/>
      <c r="AF203" s="8"/>
      <c r="AG203" s="8"/>
      <c r="AH203" s="8"/>
      <c r="AI203" s="8"/>
      <c r="AJ203" s="8"/>
      <c r="AK203" s="8"/>
      <c r="AL203" s="8"/>
      <c r="AM203" s="8"/>
      <c r="AN203" s="8"/>
      <c r="AO203" s="8"/>
      <c r="AP203" s="8"/>
      <c r="AQ203" s="8"/>
      <c r="AR203" s="8"/>
      <c r="AS203" s="8"/>
      <c r="AT203" s="8"/>
    </row>
    <row r="204" ht="15.75" customHeight="1">
      <c r="A204" s="23" t="s">
        <v>347</v>
      </c>
      <c r="B204" s="8">
        <f t="shared" si="1"/>
        <v>0</v>
      </c>
      <c r="C204" s="20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  <c r="AC204" s="8"/>
      <c r="AD204" s="8"/>
      <c r="AE204" s="8"/>
      <c r="AF204" s="8"/>
      <c r="AG204" s="8"/>
      <c r="AH204" s="8"/>
      <c r="AI204" s="8"/>
      <c r="AJ204" s="8"/>
      <c r="AK204" s="8"/>
      <c r="AL204" s="8"/>
      <c r="AM204" s="8"/>
      <c r="AN204" s="8"/>
      <c r="AO204" s="8"/>
      <c r="AP204" s="8"/>
      <c r="AQ204" s="8"/>
      <c r="AR204" s="8"/>
      <c r="AS204" s="8"/>
      <c r="AT204" s="8"/>
    </row>
    <row r="205" ht="15.75" customHeight="1">
      <c r="A205" s="23" t="s">
        <v>369</v>
      </c>
      <c r="B205" s="8">
        <f t="shared" si="1"/>
        <v>2</v>
      </c>
      <c r="C205" s="8"/>
      <c r="D205" s="20">
        <v>2.0</v>
      </c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  <c r="AC205" s="8"/>
      <c r="AD205" s="8"/>
      <c r="AE205" s="8"/>
      <c r="AF205" s="8"/>
      <c r="AG205" s="8"/>
      <c r="AH205" s="8"/>
      <c r="AI205" s="8"/>
      <c r="AJ205" s="8"/>
      <c r="AK205" s="8"/>
      <c r="AL205" s="8"/>
      <c r="AM205" s="8"/>
      <c r="AN205" s="8"/>
      <c r="AO205" s="8"/>
      <c r="AP205" s="8"/>
      <c r="AQ205" s="8"/>
      <c r="AR205" s="8"/>
      <c r="AS205" s="8"/>
      <c r="AT205" s="8"/>
    </row>
    <row r="206" ht="15.75" customHeight="1">
      <c r="A206" s="23" t="s">
        <v>370</v>
      </c>
      <c r="B206" s="8">
        <f t="shared" si="1"/>
        <v>2</v>
      </c>
      <c r="C206" s="8"/>
      <c r="D206" s="20">
        <v>2.0</v>
      </c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  <c r="AC206" s="8"/>
      <c r="AD206" s="8"/>
      <c r="AE206" s="8"/>
      <c r="AF206" s="8"/>
      <c r="AG206" s="8"/>
      <c r="AH206" s="8"/>
      <c r="AI206" s="8"/>
      <c r="AJ206" s="8"/>
      <c r="AK206" s="8"/>
      <c r="AL206" s="8"/>
      <c r="AM206" s="8"/>
      <c r="AN206" s="8"/>
      <c r="AO206" s="8"/>
      <c r="AP206" s="8"/>
      <c r="AQ206" s="8"/>
      <c r="AR206" s="8"/>
      <c r="AS206" s="8"/>
      <c r="AT206" s="8"/>
    </row>
    <row r="207" ht="15.75" customHeight="1">
      <c r="A207" s="23" t="s">
        <v>371</v>
      </c>
      <c r="B207" s="8">
        <f t="shared" si="1"/>
        <v>0</v>
      </c>
      <c r="C207" s="8"/>
      <c r="D207" s="20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  <c r="AC207" s="8"/>
      <c r="AD207" s="8"/>
      <c r="AE207" s="8"/>
      <c r="AF207" s="8"/>
      <c r="AG207" s="8"/>
      <c r="AH207" s="8"/>
      <c r="AI207" s="8"/>
      <c r="AJ207" s="8"/>
      <c r="AK207" s="8"/>
      <c r="AL207" s="8"/>
      <c r="AM207" s="8"/>
      <c r="AN207" s="8"/>
      <c r="AO207" s="8"/>
      <c r="AP207" s="8"/>
      <c r="AQ207" s="8"/>
      <c r="AR207" s="8"/>
      <c r="AS207" s="8"/>
      <c r="AT207" s="8"/>
    </row>
    <row r="208" ht="15.75" customHeight="1">
      <c r="A208" s="23" t="s">
        <v>372</v>
      </c>
      <c r="B208" s="8">
        <f t="shared" si="1"/>
        <v>2.75</v>
      </c>
      <c r="C208" s="8"/>
      <c r="D208" s="20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20">
        <v>1.5</v>
      </c>
      <c r="Q208" s="20">
        <v>1.25</v>
      </c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  <c r="AC208" s="8"/>
      <c r="AD208" s="8"/>
      <c r="AE208" s="8"/>
      <c r="AF208" s="8"/>
      <c r="AG208" s="8"/>
      <c r="AH208" s="8"/>
      <c r="AI208" s="8"/>
      <c r="AJ208" s="8"/>
      <c r="AK208" s="8"/>
      <c r="AL208" s="8"/>
      <c r="AM208" s="8"/>
      <c r="AN208" s="8"/>
      <c r="AO208" s="8"/>
      <c r="AP208" s="8"/>
      <c r="AQ208" s="8"/>
      <c r="AR208" s="8"/>
      <c r="AS208" s="8"/>
      <c r="AT208" s="8"/>
    </row>
    <row r="209" ht="15.75" customHeight="1">
      <c r="A209" s="24" t="s">
        <v>250</v>
      </c>
      <c r="B209" s="8">
        <f t="shared" si="1"/>
        <v>6</v>
      </c>
      <c r="C209" s="8"/>
      <c r="D209" s="8"/>
      <c r="E209" s="21">
        <v>2.0</v>
      </c>
      <c r="F209" s="21">
        <v>2.0</v>
      </c>
      <c r="G209" s="20">
        <v>2.0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  <c r="AC209" s="8"/>
      <c r="AD209" s="8"/>
      <c r="AE209" s="8"/>
      <c r="AF209" s="8"/>
      <c r="AG209" s="8"/>
      <c r="AH209" s="8"/>
      <c r="AI209" s="8"/>
      <c r="AJ209" s="8"/>
      <c r="AK209" s="8"/>
      <c r="AL209" s="8"/>
      <c r="AM209" s="8"/>
      <c r="AN209" s="8"/>
      <c r="AO209" s="8"/>
      <c r="AP209" s="8"/>
      <c r="AQ209" s="8"/>
      <c r="AR209" s="8"/>
      <c r="AS209" s="8"/>
      <c r="AT209" s="8"/>
    </row>
    <row r="210" ht="15.75" customHeight="1">
      <c r="A210" s="24" t="s">
        <v>373</v>
      </c>
      <c r="B210" s="8">
        <f t="shared" si="1"/>
        <v>2</v>
      </c>
      <c r="C210" s="8"/>
      <c r="D210" s="8"/>
      <c r="E210" s="21">
        <v>2.0</v>
      </c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  <c r="AC210" s="8"/>
      <c r="AD210" s="8"/>
      <c r="AE210" s="8"/>
      <c r="AF210" s="8"/>
      <c r="AG210" s="8"/>
      <c r="AH210" s="8"/>
      <c r="AI210" s="8"/>
      <c r="AJ210" s="8"/>
      <c r="AK210" s="8"/>
      <c r="AL210" s="8"/>
      <c r="AM210" s="8"/>
      <c r="AN210" s="8"/>
      <c r="AO210" s="8"/>
      <c r="AP210" s="8"/>
      <c r="AQ210" s="8"/>
      <c r="AR210" s="8"/>
      <c r="AS210" s="8"/>
      <c r="AT210" s="8"/>
    </row>
    <row r="211" ht="15.75" customHeight="1">
      <c r="A211" s="24" t="s">
        <v>374</v>
      </c>
      <c r="B211" s="8">
        <f t="shared" si="1"/>
        <v>4</v>
      </c>
      <c r="C211" s="8"/>
      <c r="D211" s="8"/>
      <c r="E211" s="21">
        <v>2.0</v>
      </c>
      <c r="F211" s="8"/>
      <c r="G211" s="8"/>
      <c r="H211" s="20">
        <v>2.0</v>
      </c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  <c r="AC211" s="8"/>
      <c r="AD211" s="8"/>
      <c r="AE211" s="8"/>
      <c r="AF211" s="8"/>
      <c r="AG211" s="8"/>
      <c r="AH211" s="8"/>
      <c r="AI211" s="8"/>
      <c r="AJ211" s="8"/>
      <c r="AK211" s="8"/>
      <c r="AL211" s="8"/>
      <c r="AM211" s="8"/>
      <c r="AN211" s="8"/>
      <c r="AO211" s="8"/>
      <c r="AP211" s="8"/>
      <c r="AQ211" s="8"/>
      <c r="AR211" s="8"/>
      <c r="AS211" s="8"/>
      <c r="AT211" s="8"/>
    </row>
    <row r="212" ht="15.75" customHeight="1">
      <c r="A212" s="24" t="s">
        <v>375</v>
      </c>
      <c r="B212" s="8">
        <f t="shared" si="1"/>
        <v>0</v>
      </c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  <c r="AB212" s="8"/>
      <c r="AC212" s="8"/>
      <c r="AD212" s="8"/>
      <c r="AE212" s="8"/>
      <c r="AF212" s="8"/>
      <c r="AG212" s="8"/>
      <c r="AH212" s="8"/>
      <c r="AI212" s="8"/>
      <c r="AJ212" s="8"/>
      <c r="AK212" s="8"/>
      <c r="AL212" s="8"/>
      <c r="AM212" s="8"/>
      <c r="AN212" s="8"/>
      <c r="AO212" s="8"/>
      <c r="AP212" s="8"/>
      <c r="AQ212" s="8"/>
      <c r="AR212" s="8"/>
      <c r="AS212" s="8"/>
      <c r="AT212" s="8"/>
    </row>
    <row r="213" ht="15.75" customHeight="1">
      <c r="A213" s="24" t="s">
        <v>376</v>
      </c>
      <c r="B213" s="8">
        <f t="shared" si="1"/>
        <v>0</v>
      </c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  <c r="AB213" s="8"/>
      <c r="AC213" s="8"/>
      <c r="AD213" s="8"/>
      <c r="AE213" s="8"/>
      <c r="AF213" s="8"/>
      <c r="AG213" s="8"/>
      <c r="AH213" s="8"/>
      <c r="AI213" s="8"/>
      <c r="AJ213" s="8"/>
      <c r="AK213" s="8"/>
      <c r="AL213" s="8"/>
      <c r="AM213" s="8"/>
      <c r="AN213" s="8"/>
      <c r="AO213" s="8"/>
      <c r="AP213" s="8"/>
      <c r="AQ213" s="8"/>
      <c r="AR213" s="8"/>
      <c r="AS213" s="8"/>
      <c r="AT213" s="8"/>
    </row>
    <row r="214" ht="15.75" customHeight="1">
      <c r="A214" s="24" t="s">
        <v>377</v>
      </c>
      <c r="B214" s="8">
        <f t="shared" si="1"/>
        <v>2</v>
      </c>
      <c r="C214" s="8"/>
      <c r="D214" s="8"/>
      <c r="E214" s="8"/>
      <c r="F214" s="21">
        <v>2.0</v>
      </c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  <c r="AB214" s="8"/>
      <c r="AC214" s="8"/>
      <c r="AD214" s="8"/>
      <c r="AE214" s="8"/>
      <c r="AF214" s="8"/>
      <c r="AG214" s="8"/>
      <c r="AH214" s="8"/>
      <c r="AI214" s="8"/>
      <c r="AJ214" s="8"/>
      <c r="AK214" s="8"/>
      <c r="AL214" s="8"/>
      <c r="AM214" s="8"/>
      <c r="AN214" s="8"/>
      <c r="AO214" s="8"/>
      <c r="AP214" s="8"/>
      <c r="AQ214" s="8"/>
      <c r="AR214" s="8"/>
      <c r="AS214" s="8"/>
      <c r="AT214" s="8"/>
    </row>
    <row r="215" ht="15.75" customHeight="1">
      <c r="A215" s="24" t="s">
        <v>378</v>
      </c>
      <c r="B215" s="8">
        <f t="shared" si="1"/>
        <v>0</v>
      </c>
      <c r="C215" s="8"/>
      <c r="D215" s="8"/>
      <c r="E215" s="8"/>
      <c r="F215" s="21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  <c r="AC215" s="8"/>
      <c r="AD215" s="8"/>
      <c r="AE215" s="8"/>
      <c r="AF215" s="8"/>
      <c r="AG215" s="8"/>
      <c r="AH215" s="8"/>
      <c r="AI215" s="8"/>
      <c r="AJ215" s="8"/>
      <c r="AK215" s="8"/>
      <c r="AL215" s="8"/>
      <c r="AM215" s="8"/>
      <c r="AN215" s="8"/>
      <c r="AO215" s="8"/>
      <c r="AP215" s="8"/>
      <c r="AQ215" s="8"/>
      <c r="AR215" s="8"/>
      <c r="AS215" s="8"/>
      <c r="AT215" s="8"/>
    </row>
    <row r="216" ht="15.75" customHeight="1">
      <c r="A216" s="24" t="s">
        <v>257</v>
      </c>
      <c r="B216" s="8">
        <f t="shared" si="1"/>
        <v>0</v>
      </c>
      <c r="C216" s="8"/>
      <c r="D216" s="8"/>
      <c r="E216" s="8"/>
      <c r="F216" s="21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  <c r="AC216" s="8"/>
      <c r="AD216" s="8"/>
      <c r="AE216" s="8"/>
      <c r="AF216" s="8"/>
      <c r="AG216" s="8"/>
      <c r="AH216" s="8"/>
      <c r="AI216" s="8"/>
      <c r="AJ216" s="8"/>
      <c r="AK216" s="8"/>
      <c r="AL216" s="8"/>
      <c r="AM216" s="8"/>
      <c r="AN216" s="8"/>
      <c r="AO216" s="8"/>
      <c r="AP216" s="8"/>
      <c r="AQ216" s="8"/>
      <c r="AR216" s="8"/>
      <c r="AS216" s="8"/>
      <c r="AT216" s="8"/>
    </row>
    <row r="217" ht="15.75" customHeight="1">
      <c r="A217" s="24" t="s">
        <v>379</v>
      </c>
      <c r="B217" s="8">
        <f t="shared" si="1"/>
        <v>0</v>
      </c>
      <c r="C217" s="8"/>
      <c r="D217" s="8"/>
      <c r="E217" s="8"/>
      <c r="F217" s="21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  <c r="AC217" s="8"/>
      <c r="AD217" s="8"/>
      <c r="AE217" s="8"/>
      <c r="AF217" s="8"/>
      <c r="AG217" s="8"/>
      <c r="AH217" s="8"/>
      <c r="AI217" s="8"/>
      <c r="AJ217" s="8"/>
      <c r="AK217" s="8"/>
      <c r="AL217" s="8"/>
      <c r="AM217" s="8"/>
      <c r="AN217" s="8"/>
      <c r="AO217" s="8"/>
      <c r="AP217" s="8"/>
      <c r="AQ217" s="8"/>
      <c r="AR217" s="8"/>
      <c r="AS217" s="8"/>
      <c r="AT217" s="8"/>
    </row>
    <row r="218" ht="15.75" customHeight="1">
      <c r="A218" s="24" t="s">
        <v>380</v>
      </c>
      <c r="B218" s="8">
        <f t="shared" si="1"/>
        <v>0</v>
      </c>
      <c r="C218" s="8"/>
      <c r="D218" s="8"/>
      <c r="E218" s="8"/>
      <c r="F218" s="21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  <c r="AE218" s="8"/>
      <c r="AF218" s="8"/>
      <c r="AG218" s="8"/>
      <c r="AH218" s="8"/>
      <c r="AI218" s="8"/>
      <c r="AJ218" s="8"/>
      <c r="AK218" s="8"/>
      <c r="AL218" s="8"/>
      <c r="AM218" s="8"/>
      <c r="AN218" s="8"/>
      <c r="AO218" s="8"/>
      <c r="AP218" s="8"/>
      <c r="AQ218" s="8"/>
      <c r="AR218" s="8"/>
      <c r="AS218" s="8"/>
      <c r="AT218" s="8"/>
    </row>
    <row r="219" ht="15.75" customHeight="1">
      <c r="A219" s="23" t="s">
        <v>381</v>
      </c>
      <c r="B219" s="8">
        <f t="shared" si="1"/>
        <v>2</v>
      </c>
      <c r="C219" s="8"/>
      <c r="D219" s="8"/>
      <c r="E219" s="8"/>
      <c r="F219" s="8"/>
      <c r="G219" s="20">
        <v>2.0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  <c r="AE219" s="8"/>
      <c r="AF219" s="8"/>
      <c r="AG219" s="8"/>
      <c r="AH219" s="8"/>
      <c r="AI219" s="8"/>
      <c r="AJ219" s="8"/>
      <c r="AK219" s="8"/>
      <c r="AL219" s="8"/>
      <c r="AM219" s="8"/>
      <c r="AN219" s="8"/>
      <c r="AO219" s="8"/>
      <c r="AP219" s="8"/>
      <c r="AQ219" s="8"/>
      <c r="AR219" s="8"/>
      <c r="AS219" s="8"/>
      <c r="AT219" s="8"/>
    </row>
    <row r="220" ht="15.75" customHeight="1">
      <c r="A220" s="23" t="s">
        <v>382</v>
      </c>
      <c r="B220" s="8">
        <f t="shared" si="1"/>
        <v>2</v>
      </c>
      <c r="C220" s="8"/>
      <c r="D220" s="8"/>
      <c r="E220" s="8"/>
      <c r="F220" s="8"/>
      <c r="G220" s="20">
        <v>2.0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  <c r="AE220" s="8"/>
      <c r="AF220" s="8"/>
      <c r="AG220" s="8"/>
      <c r="AH220" s="8"/>
      <c r="AI220" s="8"/>
      <c r="AJ220" s="8"/>
      <c r="AK220" s="8"/>
      <c r="AL220" s="8"/>
      <c r="AM220" s="8"/>
      <c r="AN220" s="8"/>
      <c r="AO220" s="8"/>
      <c r="AP220" s="8"/>
      <c r="AQ220" s="8"/>
      <c r="AR220" s="8"/>
      <c r="AS220" s="8"/>
      <c r="AT220" s="8"/>
    </row>
    <row r="221" ht="15.75" customHeight="1">
      <c r="A221" s="23" t="s">
        <v>383</v>
      </c>
      <c r="B221" s="8">
        <f t="shared" si="1"/>
        <v>2</v>
      </c>
      <c r="C221" s="8"/>
      <c r="D221" s="8"/>
      <c r="E221" s="8"/>
      <c r="F221" s="8"/>
      <c r="G221" s="20">
        <v>2.0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  <c r="AE221" s="8"/>
      <c r="AF221" s="8"/>
      <c r="AG221" s="8"/>
      <c r="AH221" s="8"/>
      <c r="AI221" s="8"/>
      <c r="AJ221" s="8"/>
      <c r="AK221" s="8"/>
      <c r="AL221" s="8"/>
      <c r="AM221" s="8"/>
      <c r="AN221" s="8"/>
      <c r="AO221" s="8"/>
      <c r="AP221" s="8"/>
      <c r="AQ221" s="8"/>
      <c r="AR221" s="8"/>
      <c r="AS221" s="8"/>
      <c r="AT221" s="8"/>
    </row>
    <row r="222" ht="15.75" customHeight="1">
      <c r="A222" s="23" t="s">
        <v>245</v>
      </c>
      <c r="B222" s="8">
        <f t="shared" si="1"/>
        <v>2</v>
      </c>
      <c r="C222" s="8"/>
      <c r="D222" s="8"/>
      <c r="E222" s="8"/>
      <c r="F222" s="8"/>
      <c r="G222" s="20">
        <v>2.0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  <c r="AE222" s="8"/>
      <c r="AF222" s="8"/>
      <c r="AG222" s="8"/>
      <c r="AH222" s="8"/>
      <c r="AI222" s="8"/>
      <c r="AJ222" s="8"/>
      <c r="AK222" s="8"/>
      <c r="AL222" s="8"/>
      <c r="AM222" s="8"/>
      <c r="AN222" s="8"/>
      <c r="AO222" s="8"/>
      <c r="AP222" s="8"/>
      <c r="AQ222" s="8"/>
      <c r="AR222" s="8"/>
      <c r="AS222" s="8"/>
      <c r="AT222" s="8"/>
    </row>
    <row r="223" ht="15.75" customHeight="1">
      <c r="A223" s="23" t="s">
        <v>384</v>
      </c>
      <c r="B223" s="8">
        <f t="shared" si="1"/>
        <v>3</v>
      </c>
      <c r="C223" s="8"/>
      <c r="D223" s="8"/>
      <c r="E223" s="8"/>
      <c r="F223" s="8"/>
      <c r="G223" s="20">
        <v>3.0</v>
      </c>
      <c r="H223" s="20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  <c r="AE223" s="8"/>
      <c r="AF223" s="8"/>
      <c r="AG223" s="8"/>
      <c r="AH223" s="8"/>
      <c r="AI223" s="8"/>
      <c r="AJ223" s="8"/>
      <c r="AK223" s="8"/>
      <c r="AL223" s="8"/>
      <c r="AM223" s="8"/>
      <c r="AN223" s="8"/>
      <c r="AO223" s="8"/>
      <c r="AP223" s="8"/>
      <c r="AQ223" s="8"/>
      <c r="AR223" s="8"/>
      <c r="AS223" s="8"/>
      <c r="AT223" s="8"/>
    </row>
    <row r="224" ht="15.75" customHeight="1">
      <c r="A224" s="23" t="s">
        <v>385</v>
      </c>
      <c r="B224" s="8">
        <f t="shared" si="1"/>
        <v>3</v>
      </c>
      <c r="C224" s="8"/>
      <c r="D224" s="8"/>
      <c r="E224" s="8"/>
      <c r="F224" s="8"/>
      <c r="G224" s="20">
        <v>3.0</v>
      </c>
      <c r="H224" s="20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  <c r="AE224" s="8"/>
      <c r="AF224" s="8"/>
      <c r="AG224" s="8"/>
      <c r="AH224" s="8"/>
      <c r="AI224" s="8"/>
      <c r="AJ224" s="8"/>
      <c r="AK224" s="8"/>
      <c r="AL224" s="8"/>
      <c r="AM224" s="8"/>
      <c r="AN224" s="8"/>
      <c r="AO224" s="8"/>
      <c r="AP224" s="8"/>
      <c r="AQ224" s="8"/>
      <c r="AR224" s="8"/>
      <c r="AS224" s="8"/>
      <c r="AT224" s="8"/>
    </row>
    <row r="225" ht="15.75" customHeight="1">
      <c r="A225" s="23" t="s">
        <v>386</v>
      </c>
      <c r="B225" s="8">
        <f t="shared" si="1"/>
        <v>4.75</v>
      </c>
      <c r="C225" s="8"/>
      <c r="D225" s="8"/>
      <c r="E225" s="8"/>
      <c r="F225" s="8"/>
      <c r="G225" s="8"/>
      <c r="H225" s="20">
        <v>2.0</v>
      </c>
      <c r="I225" s="20">
        <v>1.25</v>
      </c>
      <c r="J225" s="8"/>
      <c r="K225" s="8"/>
      <c r="L225" s="8"/>
      <c r="M225" s="8"/>
      <c r="N225" s="8"/>
      <c r="O225" s="8"/>
      <c r="P225" s="20">
        <v>1.5</v>
      </c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  <c r="AE225" s="8"/>
      <c r="AF225" s="8"/>
      <c r="AG225" s="8"/>
      <c r="AH225" s="8"/>
      <c r="AI225" s="8"/>
      <c r="AJ225" s="8"/>
      <c r="AK225" s="8"/>
      <c r="AL225" s="8"/>
      <c r="AM225" s="8"/>
      <c r="AN225" s="8"/>
      <c r="AO225" s="8"/>
      <c r="AP225" s="8"/>
      <c r="AQ225" s="8"/>
      <c r="AR225" s="8"/>
      <c r="AS225" s="8"/>
      <c r="AT225" s="8"/>
    </row>
    <row r="226" ht="15.75" customHeight="1">
      <c r="A226" s="23" t="s">
        <v>387</v>
      </c>
      <c r="B226" s="8">
        <f t="shared" si="1"/>
        <v>6.5</v>
      </c>
      <c r="C226" s="8"/>
      <c r="D226" s="8"/>
      <c r="E226" s="8"/>
      <c r="F226" s="8"/>
      <c r="G226" s="8"/>
      <c r="H226" s="20">
        <v>2.0</v>
      </c>
      <c r="I226" s="20">
        <v>1.25</v>
      </c>
      <c r="J226" s="8"/>
      <c r="K226" s="21">
        <v>1.75</v>
      </c>
      <c r="L226" s="8"/>
      <c r="M226" s="8"/>
      <c r="N226" s="8"/>
      <c r="O226" s="8"/>
      <c r="P226" s="20">
        <v>1.5</v>
      </c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  <c r="AE226" s="8"/>
      <c r="AF226" s="8"/>
      <c r="AG226" s="8"/>
      <c r="AH226" s="8"/>
      <c r="AI226" s="8"/>
      <c r="AJ226" s="8"/>
      <c r="AK226" s="8"/>
      <c r="AL226" s="8"/>
      <c r="AM226" s="8"/>
      <c r="AN226" s="8"/>
      <c r="AO226" s="8"/>
      <c r="AP226" s="8"/>
      <c r="AQ226" s="8"/>
      <c r="AR226" s="8"/>
      <c r="AS226" s="8"/>
      <c r="AT226" s="8"/>
    </row>
    <row r="227" ht="15.75" customHeight="1">
      <c r="A227" s="23" t="s">
        <v>388</v>
      </c>
      <c r="B227" s="8">
        <f t="shared" si="1"/>
        <v>2</v>
      </c>
      <c r="C227" s="8"/>
      <c r="D227" s="8"/>
      <c r="E227" s="8"/>
      <c r="F227" s="8"/>
      <c r="G227" s="8"/>
      <c r="H227" s="20">
        <v>2.0</v>
      </c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  <c r="AE227" s="8"/>
      <c r="AF227" s="8"/>
      <c r="AG227" s="8"/>
      <c r="AH227" s="8"/>
      <c r="AI227" s="8"/>
      <c r="AJ227" s="8"/>
      <c r="AK227" s="8"/>
      <c r="AL227" s="8"/>
      <c r="AM227" s="8"/>
      <c r="AN227" s="8"/>
      <c r="AO227" s="8"/>
      <c r="AP227" s="8"/>
      <c r="AQ227" s="8"/>
      <c r="AR227" s="8"/>
      <c r="AS227" s="8"/>
      <c r="AT227" s="8"/>
    </row>
    <row r="228" ht="15.75" customHeight="1">
      <c r="A228" s="23" t="s">
        <v>389</v>
      </c>
      <c r="B228" s="8">
        <f t="shared" si="1"/>
        <v>7.75</v>
      </c>
      <c r="C228" s="8"/>
      <c r="D228" s="8"/>
      <c r="E228" s="8"/>
      <c r="F228" s="8"/>
      <c r="G228" s="8"/>
      <c r="H228" s="20">
        <v>2.0</v>
      </c>
      <c r="I228" s="8"/>
      <c r="J228" s="8"/>
      <c r="K228" s="21">
        <v>2.0</v>
      </c>
      <c r="L228" s="20">
        <v>1.75</v>
      </c>
      <c r="M228" s="8"/>
      <c r="N228" s="8"/>
      <c r="O228" s="20">
        <v>2.0</v>
      </c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  <c r="AE228" s="8"/>
      <c r="AF228" s="8"/>
      <c r="AG228" s="8"/>
      <c r="AH228" s="8"/>
      <c r="AI228" s="8"/>
      <c r="AJ228" s="8"/>
      <c r="AK228" s="8"/>
      <c r="AL228" s="8"/>
      <c r="AM228" s="8"/>
      <c r="AN228" s="8"/>
      <c r="AO228" s="8"/>
      <c r="AP228" s="8"/>
      <c r="AQ228" s="8"/>
      <c r="AR228" s="8"/>
      <c r="AS228" s="8"/>
      <c r="AT228" s="8"/>
    </row>
    <row r="229" ht="15.75" customHeight="1">
      <c r="A229" s="23" t="s">
        <v>281</v>
      </c>
      <c r="B229" s="8">
        <f t="shared" si="1"/>
        <v>2</v>
      </c>
      <c r="C229" s="8"/>
      <c r="D229" s="8"/>
      <c r="E229" s="8"/>
      <c r="F229" s="8"/>
      <c r="G229" s="8"/>
      <c r="H229" s="20">
        <v>2.0</v>
      </c>
      <c r="I229" s="8"/>
      <c r="J229" s="8"/>
      <c r="K229" s="8"/>
      <c r="L229" s="8"/>
      <c r="M229" s="8"/>
      <c r="N229" s="8"/>
      <c r="O229" s="20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  <c r="AE229" s="8"/>
      <c r="AF229" s="8"/>
      <c r="AG229" s="8"/>
      <c r="AH229" s="8"/>
      <c r="AI229" s="8"/>
      <c r="AJ229" s="8"/>
      <c r="AK229" s="8"/>
      <c r="AL229" s="8"/>
      <c r="AM229" s="8"/>
      <c r="AN229" s="8"/>
      <c r="AO229" s="8"/>
      <c r="AP229" s="8"/>
      <c r="AQ229" s="8"/>
      <c r="AR229" s="8"/>
      <c r="AS229" s="8"/>
      <c r="AT229" s="8"/>
    </row>
    <row r="230" ht="15.75" customHeight="1">
      <c r="A230" s="23" t="s">
        <v>282</v>
      </c>
      <c r="B230" s="8">
        <f t="shared" si="1"/>
        <v>1.75</v>
      </c>
      <c r="C230" s="8"/>
      <c r="D230" s="8"/>
      <c r="E230" s="8"/>
      <c r="F230" s="8"/>
      <c r="G230" s="8"/>
      <c r="H230" s="20">
        <v>1.75</v>
      </c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  <c r="AE230" s="8"/>
      <c r="AF230" s="8"/>
      <c r="AG230" s="8"/>
      <c r="AH230" s="8"/>
      <c r="AI230" s="8"/>
      <c r="AJ230" s="8"/>
      <c r="AK230" s="8"/>
      <c r="AL230" s="8"/>
      <c r="AM230" s="8"/>
      <c r="AN230" s="8"/>
      <c r="AO230" s="8"/>
      <c r="AP230" s="8"/>
      <c r="AQ230" s="8"/>
      <c r="AR230" s="8"/>
      <c r="AS230" s="8"/>
      <c r="AT230" s="8"/>
    </row>
    <row r="231" ht="15.75" customHeight="1">
      <c r="A231" s="23" t="s">
        <v>390</v>
      </c>
      <c r="B231" s="8">
        <f t="shared" si="1"/>
        <v>1.75</v>
      </c>
      <c r="C231" s="8"/>
      <c r="D231" s="8"/>
      <c r="E231" s="8"/>
      <c r="F231" s="8"/>
      <c r="G231" s="8"/>
      <c r="H231" s="20">
        <v>1.75</v>
      </c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  <c r="AE231" s="8"/>
      <c r="AF231" s="8"/>
      <c r="AG231" s="8"/>
      <c r="AH231" s="8"/>
      <c r="AI231" s="8"/>
      <c r="AJ231" s="8"/>
      <c r="AK231" s="8"/>
      <c r="AL231" s="8"/>
      <c r="AM231" s="8"/>
      <c r="AN231" s="8"/>
      <c r="AO231" s="8"/>
      <c r="AP231" s="8"/>
      <c r="AQ231" s="8"/>
      <c r="AR231" s="8"/>
      <c r="AS231" s="8"/>
      <c r="AT231" s="8"/>
    </row>
    <row r="232" ht="15.75" customHeight="1">
      <c r="A232" s="23" t="s">
        <v>391</v>
      </c>
      <c r="B232" s="8">
        <f t="shared" si="1"/>
        <v>1.75</v>
      </c>
      <c r="C232" s="8"/>
      <c r="D232" s="8"/>
      <c r="E232" s="8"/>
      <c r="F232" s="8"/>
      <c r="G232" s="8"/>
      <c r="H232" s="20">
        <v>1.75</v>
      </c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  <c r="AE232" s="8"/>
      <c r="AF232" s="8"/>
      <c r="AG232" s="8"/>
      <c r="AH232" s="8"/>
      <c r="AI232" s="8"/>
      <c r="AJ232" s="8"/>
      <c r="AK232" s="8"/>
      <c r="AL232" s="8"/>
      <c r="AM232" s="8"/>
      <c r="AN232" s="8"/>
      <c r="AO232" s="8"/>
      <c r="AP232" s="8"/>
      <c r="AQ232" s="8"/>
      <c r="AR232" s="8"/>
      <c r="AS232" s="8"/>
      <c r="AT232" s="8"/>
    </row>
    <row r="233" ht="15.75" customHeight="1">
      <c r="A233" s="23" t="s">
        <v>392</v>
      </c>
      <c r="B233" s="8">
        <f t="shared" si="1"/>
        <v>2</v>
      </c>
      <c r="C233" s="8"/>
      <c r="D233" s="8"/>
      <c r="E233" s="8"/>
      <c r="F233" s="8"/>
      <c r="G233" s="8"/>
      <c r="H233" s="20">
        <v>2.0</v>
      </c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  <c r="AE233" s="8"/>
      <c r="AF233" s="8"/>
      <c r="AG233" s="8"/>
      <c r="AH233" s="8"/>
      <c r="AI233" s="8"/>
      <c r="AJ233" s="8"/>
      <c r="AK233" s="8"/>
      <c r="AL233" s="8"/>
      <c r="AM233" s="8"/>
      <c r="AN233" s="8"/>
      <c r="AO233" s="8"/>
      <c r="AP233" s="8"/>
      <c r="AQ233" s="8"/>
      <c r="AR233" s="8"/>
      <c r="AS233" s="8"/>
      <c r="AT233" s="8"/>
    </row>
    <row r="234" ht="15.75" customHeight="1">
      <c r="A234" s="23" t="s">
        <v>393</v>
      </c>
      <c r="B234" s="8">
        <f t="shared" si="1"/>
        <v>1.5</v>
      </c>
      <c r="C234" s="8"/>
      <c r="D234" s="8"/>
      <c r="E234" s="8"/>
      <c r="F234" s="8"/>
      <c r="G234" s="8"/>
      <c r="H234" s="8"/>
      <c r="I234" s="20">
        <v>1.5</v>
      </c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  <c r="AE234" s="8"/>
      <c r="AF234" s="8"/>
      <c r="AG234" s="8"/>
      <c r="AH234" s="8"/>
      <c r="AI234" s="8"/>
      <c r="AJ234" s="8"/>
      <c r="AK234" s="8"/>
      <c r="AL234" s="8"/>
      <c r="AM234" s="8"/>
      <c r="AN234" s="8"/>
      <c r="AO234" s="8"/>
      <c r="AP234" s="8"/>
      <c r="AQ234" s="8"/>
      <c r="AR234" s="8"/>
      <c r="AS234" s="8"/>
      <c r="AT234" s="8"/>
    </row>
    <row r="235" ht="15.75" customHeight="1">
      <c r="A235" s="23" t="s">
        <v>394</v>
      </c>
      <c r="B235" s="8">
        <f t="shared" si="1"/>
        <v>1.5</v>
      </c>
      <c r="C235" s="8"/>
      <c r="D235" s="8"/>
      <c r="E235" s="8"/>
      <c r="F235" s="8"/>
      <c r="G235" s="8"/>
      <c r="H235" s="8"/>
      <c r="I235" s="20">
        <v>1.5</v>
      </c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  <c r="AE235" s="8"/>
      <c r="AF235" s="8"/>
      <c r="AG235" s="8"/>
      <c r="AH235" s="8"/>
      <c r="AI235" s="8"/>
      <c r="AJ235" s="8"/>
      <c r="AK235" s="8"/>
      <c r="AL235" s="8"/>
      <c r="AM235" s="8"/>
      <c r="AN235" s="8"/>
      <c r="AO235" s="8"/>
      <c r="AP235" s="8"/>
      <c r="AQ235" s="8"/>
      <c r="AR235" s="8"/>
      <c r="AS235" s="8"/>
      <c r="AT235" s="8"/>
    </row>
    <row r="236" ht="15.75" customHeight="1">
      <c r="A236" s="23" t="s">
        <v>395</v>
      </c>
      <c r="B236" s="8">
        <f t="shared" si="1"/>
        <v>0</v>
      </c>
      <c r="C236" s="8"/>
      <c r="D236" s="8"/>
      <c r="E236" s="8"/>
      <c r="F236" s="8"/>
      <c r="G236" s="8"/>
      <c r="H236" s="8"/>
      <c r="I236" s="20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  <c r="AE236" s="8"/>
      <c r="AF236" s="8"/>
      <c r="AG236" s="8"/>
      <c r="AH236" s="8"/>
      <c r="AI236" s="8"/>
      <c r="AJ236" s="8"/>
      <c r="AK236" s="8"/>
      <c r="AL236" s="8"/>
      <c r="AM236" s="8"/>
      <c r="AN236" s="8"/>
      <c r="AO236" s="8"/>
      <c r="AP236" s="8"/>
      <c r="AQ236" s="8"/>
      <c r="AR236" s="8"/>
      <c r="AS236" s="8"/>
      <c r="AT236" s="8"/>
    </row>
    <row r="237" ht="15.75" customHeight="1">
      <c r="A237" s="23" t="s">
        <v>396</v>
      </c>
      <c r="B237" s="8">
        <f t="shared" si="1"/>
        <v>3</v>
      </c>
      <c r="C237" s="8"/>
      <c r="D237" s="8"/>
      <c r="E237" s="8"/>
      <c r="F237" s="8"/>
      <c r="G237" s="8"/>
      <c r="H237" s="8"/>
      <c r="I237" s="20"/>
      <c r="J237" s="8"/>
      <c r="K237" s="8"/>
      <c r="L237" s="8"/>
      <c r="M237" s="20">
        <v>1.5</v>
      </c>
      <c r="N237" s="8"/>
      <c r="O237" s="8"/>
      <c r="P237" s="8"/>
      <c r="Q237" s="20">
        <v>1.5</v>
      </c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  <c r="AE237" s="8"/>
      <c r="AF237" s="8"/>
      <c r="AG237" s="8"/>
      <c r="AH237" s="8"/>
      <c r="AI237" s="8"/>
      <c r="AJ237" s="8"/>
      <c r="AK237" s="8"/>
      <c r="AL237" s="8"/>
      <c r="AM237" s="8"/>
      <c r="AN237" s="8"/>
      <c r="AO237" s="8"/>
      <c r="AP237" s="8"/>
      <c r="AQ237" s="8"/>
      <c r="AR237" s="8"/>
      <c r="AS237" s="8"/>
      <c r="AT237" s="8"/>
    </row>
    <row r="238" ht="15.75" customHeight="1">
      <c r="A238" s="23" t="s">
        <v>397</v>
      </c>
      <c r="B238" s="8">
        <f t="shared" si="1"/>
        <v>2.75</v>
      </c>
      <c r="C238" s="8"/>
      <c r="D238" s="8"/>
      <c r="E238" s="8"/>
      <c r="F238" s="8"/>
      <c r="G238" s="8"/>
      <c r="H238" s="8"/>
      <c r="I238" s="20"/>
      <c r="J238" s="8"/>
      <c r="K238" s="8"/>
      <c r="L238" s="8"/>
      <c r="M238" s="20">
        <v>1.75</v>
      </c>
      <c r="N238" s="20">
        <v>1.0</v>
      </c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  <c r="AE238" s="8"/>
      <c r="AF238" s="8"/>
      <c r="AG238" s="8"/>
      <c r="AH238" s="8"/>
      <c r="AI238" s="8"/>
      <c r="AJ238" s="8"/>
      <c r="AK238" s="8"/>
      <c r="AL238" s="8"/>
      <c r="AM238" s="8"/>
      <c r="AN238" s="8"/>
      <c r="AO238" s="8"/>
      <c r="AP238" s="8"/>
      <c r="AQ238" s="8"/>
      <c r="AR238" s="8"/>
      <c r="AS238" s="8"/>
      <c r="AT238" s="8"/>
    </row>
    <row r="239" ht="15.75" customHeight="1">
      <c r="A239" s="23" t="s">
        <v>398</v>
      </c>
      <c r="B239" s="8">
        <f t="shared" si="1"/>
        <v>1.5</v>
      </c>
      <c r="C239" s="8"/>
      <c r="D239" s="8"/>
      <c r="E239" s="8"/>
      <c r="F239" s="8"/>
      <c r="G239" s="8"/>
      <c r="H239" s="8"/>
      <c r="I239" s="8"/>
      <c r="J239" s="20">
        <v>1.5</v>
      </c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  <c r="AE239" s="8"/>
      <c r="AF239" s="8"/>
      <c r="AG239" s="8"/>
      <c r="AH239" s="8"/>
      <c r="AI239" s="8"/>
      <c r="AJ239" s="8"/>
      <c r="AK239" s="8"/>
      <c r="AL239" s="8"/>
      <c r="AM239" s="8"/>
      <c r="AN239" s="8"/>
      <c r="AO239" s="8"/>
      <c r="AP239" s="8"/>
      <c r="AQ239" s="8"/>
      <c r="AR239" s="8"/>
      <c r="AS239" s="8"/>
      <c r="AT239" s="8"/>
    </row>
    <row r="240" ht="15.75" customHeight="1">
      <c r="A240" s="23" t="s">
        <v>399</v>
      </c>
      <c r="B240" s="8">
        <f t="shared" si="1"/>
        <v>1.5</v>
      </c>
      <c r="C240" s="8"/>
      <c r="D240" s="8"/>
      <c r="E240" s="8"/>
      <c r="F240" s="8"/>
      <c r="G240" s="8"/>
      <c r="H240" s="8"/>
      <c r="I240" s="8"/>
      <c r="J240" s="20">
        <v>1.5</v>
      </c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  <c r="AE240" s="8"/>
      <c r="AF240" s="8"/>
      <c r="AG240" s="8"/>
      <c r="AH240" s="8"/>
      <c r="AI240" s="8"/>
      <c r="AJ240" s="8"/>
      <c r="AK240" s="8"/>
      <c r="AL240" s="8"/>
      <c r="AM240" s="8"/>
      <c r="AN240" s="8"/>
      <c r="AO240" s="8"/>
      <c r="AP240" s="8"/>
      <c r="AQ240" s="8"/>
      <c r="AR240" s="8"/>
      <c r="AS240" s="8"/>
      <c r="AT240" s="8"/>
    </row>
    <row r="241" ht="15.75" customHeight="1">
      <c r="A241" s="23" t="s">
        <v>400</v>
      </c>
      <c r="B241" s="8">
        <f t="shared" si="1"/>
        <v>1.5</v>
      </c>
      <c r="C241" s="8"/>
      <c r="D241" s="8"/>
      <c r="E241" s="8"/>
      <c r="F241" s="8"/>
      <c r="G241" s="8"/>
      <c r="H241" s="8"/>
      <c r="I241" s="8"/>
      <c r="J241" s="20">
        <v>1.5</v>
      </c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  <c r="AE241" s="8"/>
      <c r="AF241" s="8"/>
      <c r="AG241" s="8"/>
      <c r="AH241" s="8"/>
      <c r="AI241" s="8"/>
      <c r="AJ241" s="8"/>
      <c r="AK241" s="8"/>
      <c r="AL241" s="8"/>
      <c r="AM241" s="8"/>
      <c r="AN241" s="8"/>
      <c r="AO241" s="8"/>
      <c r="AP241" s="8"/>
      <c r="AQ241" s="8"/>
      <c r="AR241" s="8"/>
      <c r="AS241" s="8"/>
      <c r="AT241" s="8"/>
    </row>
    <row r="242" ht="15.75" customHeight="1">
      <c r="A242" s="23" t="s">
        <v>401</v>
      </c>
      <c r="B242" s="8">
        <f t="shared" si="1"/>
        <v>1.5</v>
      </c>
      <c r="C242" s="8"/>
      <c r="D242" s="8"/>
      <c r="E242" s="8"/>
      <c r="F242" s="8"/>
      <c r="G242" s="8"/>
      <c r="H242" s="8"/>
      <c r="I242" s="8"/>
      <c r="J242" s="20">
        <v>1.5</v>
      </c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  <c r="AE242" s="8"/>
      <c r="AF242" s="8"/>
      <c r="AG242" s="8"/>
      <c r="AH242" s="8"/>
      <c r="AI242" s="8"/>
      <c r="AJ242" s="8"/>
      <c r="AK242" s="8"/>
      <c r="AL242" s="8"/>
      <c r="AM242" s="8"/>
      <c r="AN242" s="8"/>
      <c r="AO242" s="8"/>
      <c r="AP242" s="8"/>
      <c r="AQ242" s="8"/>
      <c r="AR242" s="8"/>
      <c r="AS242" s="8"/>
      <c r="AT242" s="8"/>
    </row>
    <row r="243" ht="15.75" customHeight="1">
      <c r="A243" s="23" t="s">
        <v>402</v>
      </c>
      <c r="B243" s="8">
        <f t="shared" si="1"/>
        <v>1.5</v>
      </c>
      <c r="C243" s="8"/>
      <c r="D243" s="8"/>
      <c r="E243" s="8"/>
      <c r="F243" s="8"/>
      <c r="G243" s="8"/>
      <c r="H243" s="8"/>
      <c r="I243" s="8"/>
      <c r="J243" s="20">
        <v>1.5</v>
      </c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  <c r="AE243" s="8"/>
      <c r="AF243" s="8"/>
      <c r="AG243" s="8"/>
      <c r="AH243" s="8"/>
      <c r="AI243" s="8"/>
      <c r="AJ243" s="8"/>
      <c r="AK243" s="8"/>
      <c r="AL243" s="8"/>
      <c r="AM243" s="8"/>
      <c r="AN243" s="8"/>
      <c r="AO243" s="8"/>
      <c r="AP243" s="8"/>
      <c r="AQ243" s="8"/>
      <c r="AR243" s="8"/>
      <c r="AS243" s="8"/>
      <c r="AT243" s="8"/>
    </row>
    <row r="244" ht="15.75" customHeight="1">
      <c r="A244" s="23" t="s">
        <v>403</v>
      </c>
      <c r="B244" s="8">
        <f t="shared" si="1"/>
        <v>1.5</v>
      </c>
      <c r="C244" s="8"/>
      <c r="D244" s="8"/>
      <c r="E244" s="8"/>
      <c r="F244" s="8"/>
      <c r="G244" s="8"/>
      <c r="H244" s="8"/>
      <c r="I244" s="8"/>
      <c r="J244" s="20">
        <v>1.5</v>
      </c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  <c r="AE244" s="8"/>
      <c r="AF244" s="8"/>
      <c r="AG244" s="8"/>
      <c r="AH244" s="8"/>
      <c r="AI244" s="8"/>
      <c r="AJ244" s="8"/>
      <c r="AK244" s="8"/>
      <c r="AL244" s="8"/>
      <c r="AM244" s="8"/>
      <c r="AN244" s="8"/>
      <c r="AO244" s="8"/>
      <c r="AP244" s="8"/>
      <c r="AQ244" s="8"/>
      <c r="AR244" s="8"/>
      <c r="AS244" s="8"/>
      <c r="AT244" s="8"/>
    </row>
    <row r="245" ht="15.75" customHeight="1">
      <c r="A245" s="23" t="s">
        <v>404</v>
      </c>
      <c r="B245" s="8">
        <f t="shared" si="1"/>
        <v>1.5</v>
      </c>
      <c r="C245" s="8"/>
      <c r="D245" s="8"/>
      <c r="E245" s="8"/>
      <c r="F245" s="8"/>
      <c r="G245" s="8"/>
      <c r="H245" s="8"/>
      <c r="I245" s="8"/>
      <c r="J245" s="20">
        <v>1.5</v>
      </c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  <c r="AE245" s="8"/>
      <c r="AF245" s="8"/>
      <c r="AG245" s="8"/>
      <c r="AH245" s="8"/>
      <c r="AI245" s="8"/>
      <c r="AJ245" s="8"/>
      <c r="AK245" s="8"/>
      <c r="AL245" s="8"/>
      <c r="AM245" s="8"/>
      <c r="AN245" s="8"/>
      <c r="AO245" s="8"/>
      <c r="AP245" s="8"/>
      <c r="AQ245" s="8"/>
      <c r="AR245" s="8"/>
      <c r="AS245" s="8"/>
      <c r="AT245" s="8"/>
    </row>
    <row r="246" ht="15.75" customHeight="1">
      <c r="A246" s="23" t="s">
        <v>405</v>
      </c>
      <c r="B246" s="8">
        <f t="shared" si="1"/>
        <v>1.5</v>
      </c>
      <c r="C246" s="8"/>
      <c r="D246" s="8"/>
      <c r="E246" s="8"/>
      <c r="F246" s="8"/>
      <c r="G246" s="8"/>
      <c r="H246" s="8"/>
      <c r="I246" s="8"/>
      <c r="J246" s="20">
        <v>1.5</v>
      </c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  <c r="AE246" s="8"/>
      <c r="AF246" s="8"/>
      <c r="AG246" s="8"/>
      <c r="AH246" s="8"/>
      <c r="AI246" s="8"/>
      <c r="AJ246" s="8"/>
      <c r="AK246" s="8"/>
      <c r="AL246" s="8"/>
      <c r="AM246" s="8"/>
      <c r="AN246" s="8"/>
      <c r="AO246" s="8"/>
      <c r="AP246" s="8"/>
      <c r="AQ246" s="8"/>
      <c r="AR246" s="8"/>
      <c r="AS246" s="8"/>
      <c r="AT246" s="8"/>
    </row>
    <row r="247" ht="15.75" customHeight="1">
      <c r="A247" s="23" t="s">
        <v>406</v>
      </c>
      <c r="B247" s="8">
        <f t="shared" si="1"/>
        <v>1.5</v>
      </c>
      <c r="C247" s="8"/>
      <c r="D247" s="8"/>
      <c r="E247" s="8"/>
      <c r="F247" s="8"/>
      <c r="G247" s="8"/>
      <c r="H247" s="8"/>
      <c r="I247" s="8"/>
      <c r="J247" s="20">
        <v>1.5</v>
      </c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  <c r="AE247" s="8"/>
      <c r="AF247" s="8"/>
      <c r="AG247" s="8"/>
      <c r="AH247" s="8"/>
      <c r="AI247" s="8"/>
      <c r="AJ247" s="8"/>
      <c r="AK247" s="8"/>
      <c r="AL247" s="8"/>
      <c r="AM247" s="8"/>
      <c r="AN247" s="8"/>
      <c r="AO247" s="8"/>
      <c r="AP247" s="8"/>
      <c r="AQ247" s="8"/>
      <c r="AR247" s="8"/>
      <c r="AS247" s="8"/>
      <c r="AT247" s="8"/>
    </row>
    <row r="248" ht="15.75" customHeight="1">
      <c r="A248" s="23" t="s">
        <v>407</v>
      </c>
      <c r="B248" s="8">
        <f t="shared" si="1"/>
        <v>1.5</v>
      </c>
      <c r="C248" s="8"/>
      <c r="D248" s="8"/>
      <c r="E248" s="8"/>
      <c r="F248" s="8"/>
      <c r="G248" s="8"/>
      <c r="H248" s="8"/>
      <c r="I248" s="8"/>
      <c r="J248" s="20">
        <v>1.5</v>
      </c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  <c r="AE248" s="8"/>
      <c r="AF248" s="8"/>
      <c r="AG248" s="8"/>
      <c r="AH248" s="8"/>
      <c r="AI248" s="8"/>
      <c r="AJ248" s="8"/>
      <c r="AK248" s="8"/>
      <c r="AL248" s="8"/>
      <c r="AM248" s="8"/>
      <c r="AN248" s="8"/>
      <c r="AO248" s="8"/>
      <c r="AP248" s="8"/>
      <c r="AQ248" s="8"/>
      <c r="AR248" s="8"/>
      <c r="AS248" s="8"/>
      <c r="AT248" s="8"/>
    </row>
    <row r="249" ht="15.75" customHeight="1">
      <c r="A249" s="23" t="s">
        <v>408</v>
      </c>
      <c r="B249" s="8">
        <f t="shared" si="1"/>
        <v>1.5</v>
      </c>
      <c r="C249" s="8"/>
      <c r="D249" s="8"/>
      <c r="E249" s="8"/>
      <c r="F249" s="8"/>
      <c r="G249" s="8"/>
      <c r="H249" s="8"/>
      <c r="I249" s="8"/>
      <c r="J249" s="20">
        <v>1.5</v>
      </c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  <c r="AE249" s="8"/>
      <c r="AF249" s="8"/>
      <c r="AG249" s="8"/>
      <c r="AH249" s="8"/>
      <c r="AI249" s="8"/>
      <c r="AJ249" s="8"/>
      <c r="AK249" s="8"/>
      <c r="AL249" s="8"/>
      <c r="AM249" s="8"/>
      <c r="AN249" s="8"/>
      <c r="AO249" s="8"/>
      <c r="AP249" s="8"/>
      <c r="AQ249" s="8"/>
      <c r="AR249" s="8"/>
      <c r="AS249" s="8"/>
      <c r="AT249" s="8"/>
    </row>
    <row r="250" ht="15.75" customHeight="1">
      <c r="A250" s="23" t="s">
        <v>409</v>
      </c>
      <c r="B250" s="8">
        <f t="shared" si="1"/>
        <v>1.5</v>
      </c>
      <c r="C250" s="8"/>
      <c r="D250" s="8"/>
      <c r="E250" s="8"/>
      <c r="F250" s="8"/>
      <c r="G250" s="8"/>
      <c r="H250" s="8"/>
      <c r="I250" s="8"/>
      <c r="J250" s="20">
        <v>1.5</v>
      </c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  <c r="AE250" s="8"/>
      <c r="AF250" s="8"/>
      <c r="AG250" s="8"/>
      <c r="AH250" s="8"/>
      <c r="AI250" s="8"/>
      <c r="AJ250" s="8"/>
      <c r="AK250" s="8"/>
      <c r="AL250" s="8"/>
      <c r="AM250" s="8"/>
      <c r="AN250" s="8"/>
      <c r="AO250" s="8"/>
      <c r="AP250" s="8"/>
      <c r="AQ250" s="8"/>
      <c r="AR250" s="8"/>
      <c r="AS250" s="8"/>
      <c r="AT250" s="8"/>
    </row>
    <row r="251" ht="15.75" customHeight="1">
      <c r="A251" s="23" t="s">
        <v>410</v>
      </c>
      <c r="B251" s="8">
        <f t="shared" si="1"/>
        <v>1.5</v>
      </c>
      <c r="C251" s="8"/>
      <c r="D251" s="8"/>
      <c r="E251" s="8"/>
      <c r="F251" s="8"/>
      <c r="G251" s="8"/>
      <c r="H251" s="8"/>
      <c r="I251" s="8"/>
      <c r="J251" s="20">
        <v>1.5</v>
      </c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  <c r="AE251" s="8"/>
      <c r="AF251" s="8"/>
      <c r="AG251" s="8"/>
      <c r="AH251" s="8"/>
      <c r="AI251" s="8"/>
      <c r="AJ251" s="8"/>
      <c r="AK251" s="8"/>
      <c r="AL251" s="8"/>
      <c r="AM251" s="8"/>
      <c r="AN251" s="8"/>
      <c r="AO251" s="8"/>
      <c r="AP251" s="8"/>
      <c r="AQ251" s="8"/>
      <c r="AR251" s="8"/>
      <c r="AS251" s="8"/>
      <c r="AT251" s="8"/>
    </row>
    <row r="252" ht="15.75" customHeight="1">
      <c r="A252" s="23" t="s">
        <v>411</v>
      </c>
      <c r="B252" s="8">
        <f t="shared" si="1"/>
        <v>1.5</v>
      </c>
      <c r="C252" s="8"/>
      <c r="D252" s="8"/>
      <c r="E252" s="8"/>
      <c r="F252" s="8"/>
      <c r="G252" s="8"/>
      <c r="H252" s="8"/>
      <c r="I252" s="8"/>
      <c r="J252" s="20">
        <v>1.5</v>
      </c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  <c r="AE252" s="8"/>
      <c r="AF252" s="8"/>
      <c r="AG252" s="8"/>
      <c r="AH252" s="8"/>
      <c r="AI252" s="8"/>
      <c r="AJ252" s="8"/>
      <c r="AK252" s="8"/>
      <c r="AL252" s="8"/>
      <c r="AM252" s="8"/>
      <c r="AN252" s="8"/>
      <c r="AO252" s="8"/>
      <c r="AP252" s="8"/>
      <c r="AQ252" s="8"/>
      <c r="AR252" s="8"/>
      <c r="AS252" s="8"/>
      <c r="AT252" s="8"/>
    </row>
    <row r="253" ht="15.75" customHeight="1">
      <c r="A253" s="23" t="s">
        <v>412</v>
      </c>
      <c r="B253" s="8">
        <f t="shared" si="1"/>
        <v>1.5</v>
      </c>
      <c r="C253" s="8"/>
      <c r="D253" s="8"/>
      <c r="E253" s="8"/>
      <c r="F253" s="8"/>
      <c r="G253" s="8"/>
      <c r="H253" s="8"/>
      <c r="I253" s="8"/>
      <c r="J253" s="20">
        <v>1.5</v>
      </c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  <c r="AE253" s="8"/>
      <c r="AF253" s="8"/>
      <c r="AG253" s="8"/>
      <c r="AH253" s="8"/>
      <c r="AI253" s="8"/>
      <c r="AJ253" s="8"/>
      <c r="AK253" s="8"/>
      <c r="AL253" s="8"/>
      <c r="AM253" s="8"/>
      <c r="AN253" s="8"/>
      <c r="AO253" s="8"/>
      <c r="AP253" s="8"/>
      <c r="AQ253" s="8"/>
      <c r="AR253" s="8"/>
      <c r="AS253" s="8"/>
      <c r="AT253" s="8"/>
    </row>
    <row r="254" ht="15.75" customHeight="1">
      <c r="A254" s="23" t="s">
        <v>413</v>
      </c>
      <c r="B254" s="8">
        <f t="shared" si="1"/>
        <v>1.5</v>
      </c>
      <c r="C254" s="8"/>
      <c r="D254" s="8"/>
      <c r="E254" s="8"/>
      <c r="F254" s="8"/>
      <c r="G254" s="8"/>
      <c r="H254" s="8"/>
      <c r="I254" s="8"/>
      <c r="J254" s="20">
        <v>1.5</v>
      </c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  <c r="AE254" s="8"/>
      <c r="AF254" s="8"/>
      <c r="AG254" s="8"/>
      <c r="AH254" s="8"/>
      <c r="AI254" s="8"/>
      <c r="AJ254" s="8"/>
      <c r="AK254" s="8"/>
      <c r="AL254" s="8"/>
      <c r="AM254" s="8"/>
      <c r="AN254" s="8"/>
      <c r="AO254" s="8"/>
      <c r="AP254" s="8"/>
      <c r="AQ254" s="8"/>
      <c r="AR254" s="8"/>
      <c r="AS254" s="8"/>
      <c r="AT254" s="8"/>
    </row>
    <row r="255" ht="15.75" customHeight="1">
      <c r="A255" s="23" t="s">
        <v>414</v>
      </c>
      <c r="B255" s="8">
        <f t="shared" si="1"/>
        <v>1.5</v>
      </c>
      <c r="C255" s="8"/>
      <c r="D255" s="8"/>
      <c r="E255" s="8"/>
      <c r="F255" s="8"/>
      <c r="G255" s="8"/>
      <c r="H255" s="8"/>
      <c r="I255" s="8"/>
      <c r="J255" s="20">
        <v>1.5</v>
      </c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  <c r="AE255" s="8"/>
      <c r="AF255" s="8"/>
      <c r="AG255" s="8"/>
      <c r="AH255" s="8"/>
      <c r="AI255" s="8"/>
      <c r="AJ255" s="8"/>
      <c r="AK255" s="8"/>
      <c r="AL255" s="8"/>
      <c r="AM255" s="8"/>
      <c r="AN255" s="8"/>
      <c r="AO255" s="8"/>
      <c r="AP255" s="8"/>
      <c r="AQ255" s="8"/>
      <c r="AR255" s="8"/>
      <c r="AS255" s="8"/>
      <c r="AT255" s="8"/>
    </row>
    <row r="256" ht="15.75" customHeight="1">
      <c r="A256" s="23" t="s">
        <v>415</v>
      </c>
      <c r="B256" s="8">
        <f t="shared" si="1"/>
        <v>0</v>
      </c>
      <c r="C256" s="8"/>
      <c r="D256" s="8"/>
      <c r="E256" s="8"/>
      <c r="F256" s="8"/>
      <c r="G256" s="8"/>
      <c r="H256" s="8"/>
      <c r="I256" s="8"/>
      <c r="J256" s="20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  <c r="AE256" s="8"/>
      <c r="AF256" s="8"/>
      <c r="AG256" s="8"/>
      <c r="AH256" s="8"/>
      <c r="AI256" s="8"/>
      <c r="AJ256" s="8"/>
      <c r="AK256" s="8"/>
      <c r="AL256" s="8"/>
      <c r="AM256" s="8"/>
      <c r="AN256" s="8"/>
      <c r="AO256" s="8"/>
      <c r="AP256" s="8"/>
      <c r="AQ256" s="8"/>
      <c r="AR256" s="8"/>
      <c r="AS256" s="8"/>
      <c r="AT256" s="8"/>
    </row>
    <row r="257" ht="15.75" customHeight="1">
      <c r="A257" s="23" t="s">
        <v>416</v>
      </c>
      <c r="B257" s="8">
        <f t="shared" si="1"/>
        <v>0</v>
      </c>
      <c r="C257" s="8"/>
      <c r="D257" s="8"/>
      <c r="E257" s="8"/>
      <c r="F257" s="8"/>
      <c r="G257" s="8"/>
      <c r="H257" s="8"/>
      <c r="I257" s="8"/>
      <c r="J257" s="20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  <c r="AE257" s="8"/>
      <c r="AF257" s="8"/>
      <c r="AG257" s="8"/>
      <c r="AH257" s="8"/>
      <c r="AI257" s="8"/>
      <c r="AJ257" s="8"/>
      <c r="AK257" s="8"/>
      <c r="AL257" s="8"/>
      <c r="AM257" s="8"/>
      <c r="AN257" s="8"/>
      <c r="AO257" s="8"/>
      <c r="AP257" s="8"/>
      <c r="AQ257" s="8"/>
      <c r="AR257" s="8"/>
      <c r="AS257" s="8"/>
      <c r="AT257" s="8"/>
    </row>
    <row r="258" ht="15.75" customHeight="1">
      <c r="A258" s="23" t="s">
        <v>417</v>
      </c>
      <c r="B258" s="8">
        <f t="shared" si="1"/>
        <v>1.5</v>
      </c>
      <c r="C258" s="8"/>
      <c r="D258" s="8"/>
      <c r="E258" s="8"/>
      <c r="F258" s="8"/>
      <c r="G258" s="8"/>
      <c r="H258" s="8"/>
      <c r="I258" s="8"/>
      <c r="J258" s="20">
        <v>1.5</v>
      </c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  <c r="AE258" s="8"/>
      <c r="AF258" s="8"/>
      <c r="AG258" s="8"/>
      <c r="AH258" s="8"/>
      <c r="AI258" s="8"/>
      <c r="AJ258" s="8"/>
      <c r="AK258" s="8"/>
      <c r="AL258" s="8"/>
      <c r="AM258" s="8"/>
      <c r="AN258" s="8"/>
      <c r="AO258" s="8"/>
      <c r="AP258" s="8"/>
      <c r="AQ258" s="8"/>
      <c r="AR258" s="8"/>
      <c r="AS258" s="8"/>
      <c r="AT258" s="8"/>
    </row>
    <row r="259" ht="15.75" customHeight="1">
      <c r="A259" s="24" t="s">
        <v>418</v>
      </c>
      <c r="B259" s="8">
        <f t="shared" si="1"/>
        <v>2</v>
      </c>
      <c r="C259" s="8"/>
      <c r="D259" s="8"/>
      <c r="E259" s="8"/>
      <c r="F259" s="8"/>
      <c r="G259" s="8"/>
      <c r="H259" s="8"/>
      <c r="I259" s="8"/>
      <c r="J259" s="8"/>
      <c r="K259" s="21">
        <v>2.0</v>
      </c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  <c r="AE259" s="8"/>
      <c r="AF259" s="8"/>
      <c r="AG259" s="8"/>
      <c r="AH259" s="8"/>
      <c r="AI259" s="8"/>
      <c r="AJ259" s="8"/>
      <c r="AK259" s="8"/>
      <c r="AL259" s="8"/>
      <c r="AM259" s="8"/>
      <c r="AN259" s="8"/>
      <c r="AO259" s="8"/>
      <c r="AP259" s="8"/>
      <c r="AQ259" s="8"/>
      <c r="AR259" s="8"/>
      <c r="AS259" s="8"/>
      <c r="AT259" s="8"/>
    </row>
    <row r="260" ht="15.75" customHeight="1">
      <c r="A260" s="24" t="s">
        <v>419</v>
      </c>
      <c r="B260" s="8">
        <f t="shared" si="1"/>
        <v>2</v>
      </c>
      <c r="C260" s="8"/>
      <c r="D260" s="8"/>
      <c r="E260" s="8"/>
      <c r="F260" s="8"/>
      <c r="G260" s="8"/>
      <c r="H260" s="8"/>
      <c r="I260" s="8"/>
      <c r="J260" s="8"/>
      <c r="K260" s="21">
        <v>2.0</v>
      </c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  <c r="AE260" s="8"/>
      <c r="AF260" s="8"/>
      <c r="AG260" s="8"/>
      <c r="AH260" s="8"/>
      <c r="AI260" s="8"/>
      <c r="AJ260" s="8"/>
      <c r="AK260" s="8"/>
      <c r="AL260" s="8"/>
      <c r="AM260" s="8"/>
      <c r="AN260" s="8"/>
      <c r="AO260" s="8"/>
      <c r="AP260" s="8"/>
      <c r="AQ260" s="8"/>
      <c r="AR260" s="8"/>
      <c r="AS260" s="8"/>
      <c r="AT260" s="8"/>
    </row>
    <row r="261" ht="15.75" customHeight="1">
      <c r="A261" s="24" t="s">
        <v>420</v>
      </c>
      <c r="B261" s="8">
        <f t="shared" si="1"/>
        <v>4</v>
      </c>
      <c r="C261" s="8"/>
      <c r="D261" s="8"/>
      <c r="E261" s="8"/>
      <c r="F261" s="8"/>
      <c r="G261" s="8"/>
      <c r="H261" s="8"/>
      <c r="I261" s="8"/>
      <c r="J261" s="8"/>
      <c r="K261" s="21">
        <v>2.0</v>
      </c>
      <c r="L261" s="8"/>
      <c r="M261" s="8"/>
      <c r="N261" s="20">
        <v>2.0</v>
      </c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  <c r="AE261" s="8"/>
      <c r="AF261" s="8"/>
      <c r="AG261" s="8"/>
      <c r="AH261" s="8"/>
      <c r="AI261" s="8"/>
      <c r="AJ261" s="8"/>
      <c r="AK261" s="8"/>
      <c r="AL261" s="8"/>
      <c r="AM261" s="8"/>
      <c r="AN261" s="8"/>
      <c r="AO261" s="8"/>
      <c r="AP261" s="8"/>
      <c r="AQ261" s="8"/>
      <c r="AR261" s="8"/>
      <c r="AS261" s="8"/>
      <c r="AT261" s="8"/>
    </row>
    <row r="262" ht="15.75" customHeight="1">
      <c r="A262" s="24" t="s">
        <v>421</v>
      </c>
      <c r="B262" s="8">
        <f t="shared" si="1"/>
        <v>3.5</v>
      </c>
      <c r="C262" s="8"/>
      <c r="D262" s="8"/>
      <c r="E262" s="8"/>
      <c r="F262" s="8"/>
      <c r="G262" s="8"/>
      <c r="H262" s="8"/>
      <c r="I262" s="8"/>
      <c r="J262" s="8"/>
      <c r="K262" s="21">
        <v>2.0</v>
      </c>
      <c r="L262" s="8"/>
      <c r="M262" s="8"/>
      <c r="N262" s="8"/>
      <c r="O262" s="8"/>
      <c r="P262" s="8"/>
      <c r="Q262" s="20">
        <v>1.5</v>
      </c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  <c r="AE262" s="8"/>
      <c r="AF262" s="8"/>
      <c r="AG262" s="8"/>
      <c r="AH262" s="8"/>
      <c r="AI262" s="8"/>
      <c r="AJ262" s="8"/>
      <c r="AK262" s="8"/>
      <c r="AL262" s="8"/>
      <c r="AM262" s="8"/>
      <c r="AN262" s="8"/>
      <c r="AO262" s="8"/>
      <c r="AP262" s="8"/>
      <c r="AQ262" s="8"/>
      <c r="AR262" s="8"/>
      <c r="AS262" s="8"/>
      <c r="AT262" s="8"/>
    </row>
    <row r="263" ht="15.75" customHeight="1">
      <c r="A263" s="24" t="s">
        <v>422</v>
      </c>
      <c r="B263" s="8">
        <f t="shared" si="1"/>
        <v>1.75</v>
      </c>
      <c r="C263" s="8"/>
      <c r="D263" s="8"/>
      <c r="E263" s="8"/>
      <c r="F263" s="8"/>
      <c r="G263" s="8"/>
      <c r="H263" s="8"/>
      <c r="I263" s="8"/>
      <c r="J263" s="8"/>
      <c r="K263" s="21">
        <v>1.75</v>
      </c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  <c r="AE263" s="8"/>
      <c r="AF263" s="8"/>
      <c r="AG263" s="8"/>
      <c r="AH263" s="8"/>
      <c r="AI263" s="8"/>
      <c r="AJ263" s="8"/>
      <c r="AK263" s="8"/>
      <c r="AL263" s="8"/>
      <c r="AM263" s="8"/>
      <c r="AN263" s="8"/>
      <c r="AO263" s="8"/>
      <c r="AP263" s="8"/>
      <c r="AQ263" s="8"/>
      <c r="AR263" s="8"/>
      <c r="AS263" s="8"/>
      <c r="AT263" s="8"/>
    </row>
    <row r="264" ht="15.75" customHeight="1">
      <c r="A264" s="24" t="s">
        <v>423</v>
      </c>
      <c r="B264" s="8">
        <f t="shared" si="1"/>
        <v>1.75</v>
      </c>
      <c r="C264" s="8"/>
      <c r="D264" s="8"/>
      <c r="E264" s="8"/>
      <c r="F264" s="8"/>
      <c r="G264" s="8"/>
      <c r="H264" s="8"/>
      <c r="I264" s="8"/>
      <c r="J264" s="8"/>
      <c r="K264" s="21">
        <v>1.75</v>
      </c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  <c r="AE264" s="8"/>
      <c r="AF264" s="8"/>
      <c r="AG264" s="8"/>
      <c r="AH264" s="8"/>
      <c r="AI264" s="8"/>
      <c r="AJ264" s="8"/>
      <c r="AK264" s="8"/>
      <c r="AL264" s="8"/>
      <c r="AM264" s="8"/>
      <c r="AN264" s="8"/>
      <c r="AO264" s="8"/>
      <c r="AP264" s="8"/>
      <c r="AQ264" s="8"/>
      <c r="AR264" s="8"/>
      <c r="AS264" s="8"/>
      <c r="AT264" s="8"/>
    </row>
    <row r="265" ht="15.75" customHeight="1">
      <c r="A265" s="24" t="s">
        <v>424</v>
      </c>
      <c r="B265" s="8">
        <f t="shared" si="1"/>
        <v>0</v>
      </c>
      <c r="C265" s="8"/>
      <c r="D265" s="8"/>
      <c r="E265" s="8"/>
      <c r="F265" s="8"/>
      <c r="G265" s="8"/>
      <c r="H265" s="8"/>
      <c r="I265" s="8"/>
      <c r="J265" s="8"/>
      <c r="K265" s="21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  <c r="AE265" s="8"/>
      <c r="AF265" s="8"/>
      <c r="AG265" s="8"/>
      <c r="AH265" s="8"/>
      <c r="AI265" s="8"/>
      <c r="AJ265" s="8"/>
      <c r="AK265" s="8"/>
      <c r="AL265" s="8"/>
      <c r="AM265" s="8"/>
      <c r="AN265" s="8"/>
      <c r="AO265" s="8"/>
      <c r="AP265" s="8"/>
      <c r="AQ265" s="8"/>
      <c r="AR265" s="8"/>
      <c r="AS265" s="8"/>
      <c r="AT265" s="8"/>
    </row>
    <row r="266" ht="15.75" customHeight="1">
      <c r="A266" s="24" t="s">
        <v>425</v>
      </c>
      <c r="B266" s="8">
        <f t="shared" si="1"/>
        <v>0</v>
      </c>
      <c r="C266" s="8"/>
      <c r="D266" s="8"/>
      <c r="E266" s="8"/>
      <c r="F266" s="8"/>
      <c r="G266" s="8"/>
      <c r="H266" s="8"/>
      <c r="I266" s="8"/>
      <c r="J266" s="8"/>
      <c r="K266" s="21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  <c r="AE266" s="8"/>
      <c r="AF266" s="8"/>
      <c r="AG266" s="8"/>
      <c r="AH266" s="8"/>
      <c r="AI266" s="8"/>
      <c r="AJ266" s="8"/>
      <c r="AK266" s="8"/>
      <c r="AL266" s="8"/>
      <c r="AM266" s="8"/>
      <c r="AN266" s="8"/>
      <c r="AO266" s="8"/>
      <c r="AP266" s="8"/>
      <c r="AQ266" s="8"/>
      <c r="AR266" s="8"/>
      <c r="AS266" s="8"/>
      <c r="AT266" s="8"/>
    </row>
    <row r="267" ht="15.75" customHeight="1">
      <c r="A267" s="24" t="s">
        <v>426</v>
      </c>
      <c r="B267" s="8">
        <f t="shared" si="1"/>
        <v>0</v>
      </c>
      <c r="C267" s="8"/>
      <c r="D267" s="8"/>
      <c r="E267" s="8"/>
      <c r="F267" s="8"/>
      <c r="G267" s="8"/>
      <c r="H267" s="8"/>
      <c r="I267" s="8"/>
      <c r="J267" s="8"/>
      <c r="K267" s="21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  <c r="AE267" s="8"/>
      <c r="AF267" s="8"/>
      <c r="AG267" s="8"/>
      <c r="AH267" s="8"/>
      <c r="AI267" s="8"/>
      <c r="AJ267" s="8"/>
      <c r="AK267" s="8"/>
      <c r="AL267" s="8"/>
      <c r="AM267" s="8"/>
      <c r="AN267" s="8"/>
      <c r="AO267" s="8"/>
      <c r="AP267" s="8"/>
      <c r="AQ267" s="8"/>
      <c r="AR267" s="8"/>
      <c r="AS267" s="8"/>
      <c r="AT267" s="8"/>
    </row>
    <row r="268" ht="15.75" customHeight="1">
      <c r="A268" s="24" t="s">
        <v>427</v>
      </c>
      <c r="B268" s="8">
        <f t="shared" si="1"/>
        <v>0</v>
      </c>
      <c r="C268" s="8"/>
      <c r="D268" s="8"/>
      <c r="E268" s="8"/>
      <c r="F268" s="8"/>
      <c r="G268" s="8"/>
      <c r="H268" s="8"/>
      <c r="I268" s="8"/>
      <c r="J268" s="8"/>
      <c r="K268" s="21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  <c r="AE268" s="8"/>
      <c r="AF268" s="8"/>
      <c r="AG268" s="8"/>
      <c r="AH268" s="8"/>
      <c r="AI268" s="8"/>
      <c r="AJ268" s="8"/>
      <c r="AK268" s="8"/>
      <c r="AL268" s="8"/>
      <c r="AM268" s="8"/>
      <c r="AN268" s="8"/>
      <c r="AO268" s="8"/>
      <c r="AP268" s="8"/>
      <c r="AQ268" s="8"/>
      <c r="AR268" s="8"/>
      <c r="AS268" s="8"/>
      <c r="AT268" s="8"/>
    </row>
    <row r="269" ht="15.75" customHeight="1">
      <c r="A269" s="24" t="s">
        <v>428</v>
      </c>
      <c r="B269" s="8">
        <f t="shared" si="1"/>
        <v>0</v>
      </c>
      <c r="C269" s="8"/>
      <c r="D269" s="8"/>
      <c r="E269" s="8"/>
      <c r="F269" s="8"/>
      <c r="G269" s="8"/>
      <c r="H269" s="8"/>
      <c r="I269" s="8"/>
      <c r="J269" s="8"/>
      <c r="K269" s="21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  <c r="AE269" s="8"/>
      <c r="AF269" s="8"/>
      <c r="AG269" s="8"/>
      <c r="AH269" s="8"/>
      <c r="AI269" s="8"/>
      <c r="AJ269" s="8"/>
      <c r="AK269" s="8"/>
      <c r="AL269" s="8"/>
      <c r="AM269" s="8"/>
      <c r="AN269" s="8"/>
      <c r="AO269" s="8"/>
      <c r="AP269" s="8"/>
      <c r="AQ269" s="8"/>
      <c r="AR269" s="8"/>
      <c r="AS269" s="8"/>
      <c r="AT269" s="8"/>
    </row>
    <row r="270" ht="15.75" customHeight="1">
      <c r="A270" s="24" t="s">
        <v>429</v>
      </c>
      <c r="B270" s="8">
        <f t="shared" si="1"/>
        <v>0</v>
      </c>
      <c r="C270" s="8"/>
      <c r="D270" s="8"/>
      <c r="E270" s="8"/>
      <c r="F270" s="8"/>
      <c r="G270" s="8"/>
      <c r="H270" s="8"/>
      <c r="I270" s="8"/>
      <c r="J270" s="8"/>
      <c r="K270" s="21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  <c r="AE270" s="8"/>
      <c r="AF270" s="8"/>
      <c r="AG270" s="8"/>
      <c r="AH270" s="8"/>
      <c r="AI270" s="8"/>
      <c r="AJ270" s="8"/>
      <c r="AK270" s="8"/>
      <c r="AL270" s="8"/>
      <c r="AM270" s="8"/>
      <c r="AN270" s="8"/>
      <c r="AO270" s="8"/>
      <c r="AP270" s="8"/>
      <c r="AQ270" s="8"/>
      <c r="AR270" s="8"/>
      <c r="AS270" s="8"/>
      <c r="AT270" s="8"/>
    </row>
    <row r="271" ht="15.75" customHeight="1">
      <c r="A271" s="24" t="s">
        <v>430</v>
      </c>
      <c r="B271" s="8">
        <f t="shared" si="1"/>
        <v>0</v>
      </c>
      <c r="C271" s="8"/>
      <c r="D271" s="8"/>
      <c r="E271" s="8"/>
      <c r="F271" s="8"/>
      <c r="G271" s="8"/>
      <c r="H271" s="8"/>
      <c r="I271" s="8"/>
      <c r="J271" s="8"/>
      <c r="K271" s="21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  <c r="AE271" s="8"/>
      <c r="AF271" s="8"/>
      <c r="AG271" s="8"/>
      <c r="AH271" s="8"/>
      <c r="AI271" s="8"/>
      <c r="AJ271" s="8"/>
      <c r="AK271" s="8"/>
      <c r="AL271" s="8"/>
      <c r="AM271" s="8"/>
      <c r="AN271" s="8"/>
      <c r="AO271" s="8"/>
      <c r="AP271" s="8"/>
      <c r="AQ271" s="8"/>
      <c r="AR271" s="8"/>
      <c r="AS271" s="8"/>
      <c r="AT271" s="8"/>
    </row>
    <row r="272" ht="15.75" customHeight="1">
      <c r="A272" s="23" t="s">
        <v>431</v>
      </c>
      <c r="B272" s="8">
        <f t="shared" si="1"/>
        <v>1.75</v>
      </c>
      <c r="C272" s="8"/>
      <c r="D272" s="8"/>
      <c r="E272" s="8"/>
      <c r="F272" s="8"/>
      <c r="G272" s="8"/>
      <c r="H272" s="8"/>
      <c r="I272" s="8"/>
      <c r="J272" s="8"/>
      <c r="K272" s="8"/>
      <c r="L272" s="20">
        <v>1.75</v>
      </c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  <c r="AE272" s="8"/>
      <c r="AF272" s="8"/>
      <c r="AG272" s="8"/>
      <c r="AH272" s="8"/>
      <c r="AI272" s="8"/>
      <c r="AJ272" s="8"/>
      <c r="AK272" s="8"/>
      <c r="AL272" s="8"/>
      <c r="AM272" s="8"/>
      <c r="AN272" s="8"/>
      <c r="AO272" s="8"/>
      <c r="AP272" s="8"/>
      <c r="AQ272" s="8"/>
      <c r="AR272" s="8"/>
      <c r="AS272" s="8"/>
      <c r="AT272" s="8"/>
    </row>
    <row r="273" ht="15.75" customHeight="1">
      <c r="A273" s="23" t="s">
        <v>432</v>
      </c>
      <c r="B273" s="8">
        <f t="shared" si="1"/>
        <v>2</v>
      </c>
      <c r="C273" s="8"/>
      <c r="D273" s="8"/>
      <c r="E273" s="8"/>
      <c r="F273" s="8"/>
      <c r="G273" s="8"/>
      <c r="H273" s="8"/>
      <c r="I273" s="8"/>
      <c r="J273" s="8"/>
      <c r="K273" s="8"/>
      <c r="L273" s="20">
        <v>2.0</v>
      </c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  <c r="AE273" s="8"/>
      <c r="AF273" s="8"/>
      <c r="AG273" s="8"/>
      <c r="AH273" s="8"/>
      <c r="AI273" s="8"/>
      <c r="AJ273" s="8"/>
      <c r="AK273" s="8"/>
      <c r="AL273" s="8"/>
      <c r="AM273" s="8"/>
      <c r="AN273" s="8"/>
      <c r="AO273" s="8"/>
      <c r="AP273" s="8"/>
      <c r="AQ273" s="8"/>
      <c r="AR273" s="8"/>
      <c r="AS273" s="8"/>
      <c r="AT273" s="8"/>
    </row>
    <row r="274" ht="15.75" customHeight="1">
      <c r="A274" s="23" t="s">
        <v>264</v>
      </c>
      <c r="B274" s="8">
        <f t="shared" si="1"/>
        <v>3.5</v>
      </c>
      <c r="C274" s="8"/>
      <c r="D274" s="8"/>
      <c r="E274" s="8"/>
      <c r="F274" s="8"/>
      <c r="G274" s="8"/>
      <c r="H274" s="8"/>
      <c r="I274" s="8"/>
      <c r="J274" s="8"/>
      <c r="K274" s="8"/>
      <c r="L274" s="20">
        <v>1.75</v>
      </c>
      <c r="M274" s="8"/>
      <c r="N274" s="20">
        <v>1.75</v>
      </c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  <c r="AE274" s="8"/>
      <c r="AF274" s="8"/>
      <c r="AG274" s="8"/>
      <c r="AH274" s="8"/>
      <c r="AI274" s="8"/>
      <c r="AJ274" s="8"/>
      <c r="AK274" s="8"/>
      <c r="AL274" s="8"/>
      <c r="AM274" s="8"/>
      <c r="AN274" s="8"/>
      <c r="AO274" s="8"/>
      <c r="AP274" s="8"/>
      <c r="AQ274" s="8"/>
      <c r="AR274" s="8"/>
      <c r="AS274" s="8"/>
      <c r="AT274" s="8"/>
    </row>
    <row r="275" ht="15.75" customHeight="1">
      <c r="A275" s="23" t="s">
        <v>433</v>
      </c>
      <c r="B275" s="8">
        <f t="shared" si="1"/>
        <v>0</v>
      </c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  <c r="AE275" s="8"/>
      <c r="AF275" s="8"/>
      <c r="AG275" s="8"/>
      <c r="AH275" s="8"/>
      <c r="AI275" s="8"/>
      <c r="AJ275" s="8"/>
      <c r="AK275" s="8"/>
      <c r="AL275" s="8"/>
      <c r="AM275" s="8"/>
      <c r="AN275" s="8"/>
      <c r="AO275" s="8"/>
      <c r="AP275" s="8"/>
      <c r="AQ275" s="8"/>
      <c r="AR275" s="8"/>
      <c r="AS275" s="8"/>
      <c r="AT275" s="8"/>
    </row>
    <row r="276" ht="15.75" customHeight="1">
      <c r="A276" s="23" t="s">
        <v>434</v>
      </c>
      <c r="B276" s="8">
        <f t="shared" si="1"/>
        <v>0</v>
      </c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  <c r="AE276" s="8"/>
      <c r="AF276" s="8"/>
      <c r="AG276" s="8"/>
      <c r="AH276" s="8"/>
      <c r="AI276" s="8"/>
      <c r="AJ276" s="8"/>
      <c r="AK276" s="8"/>
      <c r="AL276" s="8"/>
      <c r="AM276" s="8"/>
      <c r="AN276" s="8"/>
      <c r="AO276" s="8"/>
      <c r="AP276" s="8"/>
      <c r="AQ276" s="8"/>
      <c r="AR276" s="8"/>
      <c r="AS276" s="8"/>
      <c r="AT276" s="8"/>
    </row>
    <row r="277" ht="15.75" customHeight="1">
      <c r="A277" s="23" t="s">
        <v>288</v>
      </c>
      <c r="B277" s="8">
        <f t="shared" si="1"/>
        <v>0</v>
      </c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  <c r="AE277" s="8"/>
      <c r="AF277" s="8"/>
      <c r="AG277" s="8"/>
      <c r="AH277" s="8"/>
      <c r="AI277" s="8"/>
      <c r="AJ277" s="8"/>
      <c r="AK277" s="8"/>
      <c r="AL277" s="8"/>
      <c r="AM277" s="8"/>
      <c r="AN277" s="8"/>
      <c r="AO277" s="8"/>
      <c r="AP277" s="8"/>
      <c r="AQ277" s="8"/>
      <c r="AR277" s="8"/>
      <c r="AS277" s="8"/>
      <c r="AT277" s="8"/>
    </row>
    <row r="278" ht="15.75" customHeight="1">
      <c r="A278" s="23" t="s">
        <v>435</v>
      </c>
      <c r="B278" s="8">
        <f t="shared" si="1"/>
        <v>0</v>
      </c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  <c r="AE278" s="8"/>
      <c r="AF278" s="8"/>
      <c r="AG278" s="8"/>
      <c r="AH278" s="8"/>
      <c r="AI278" s="8"/>
      <c r="AJ278" s="8"/>
      <c r="AK278" s="8"/>
      <c r="AL278" s="8"/>
      <c r="AM278" s="8"/>
      <c r="AN278" s="8"/>
      <c r="AO278" s="8"/>
      <c r="AP278" s="8"/>
      <c r="AQ278" s="8"/>
      <c r="AR278" s="8"/>
      <c r="AS278" s="8"/>
      <c r="AT278" s="8"/>
    </row>
    <row r="279" ht="15.75" customHeight="1">
      <c r="A279" s="23" t="s">
        <v>301</v>
      </c>
      <c r="B279" s="8">
        <f t="shared" si="1"/>
        <v>0</v>
      </c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  <c r="AE279" s="8"/>
      <c r="AF279" s="8"/>
      <c r="AG279" s="8"/>
      <c r="AH279" s="8"/>
      <c r="AI279" s="8"/>
      <c r="AJ279" s="8"/>
      <c r="AK279" s="8"/>
      <c r="AL279" s="8"/>
      <c r="AM279" s="8"/>
      <c r="AN279" s="8"/>
      <c r="AO279" s="8"/>
      <c r="AP279" s="8"/>
      <c r="AQ279" s="8"/>
      <c r="AR279" s="8"/>
      <c r="AS279" s="8"/>
      <c r="AT279" s="8"/>
    </row>
    <row r="280" ht="15.75" customHeight="1">
      <c r="A280" s="23" t="s">
        <v>436</v>
      </c>
      <c r="B280" s="8">
        <f t="shared" si="1"/>
        <v>1.75</v>
      </c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20">
        <v>1.75</v>
      </c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  <c r="AE280" s="8"/>
      <c r="AF280" s="8"/>
      <c r="AG280" s="8"/>
      <c r="AH280" s="8"/>
      <c r="AI280" s="8"/>
      <c r="AJ280" s="8"/>
      <c r="AK280" s="8"/>
      <c r="AL280" s="8"/>
      <c r="AM280" s="8"/>
      <c r="AN280" s="8"/>
      <c r="AO280" s="8"/>
      <c r="AP280" s="8"/>
      <c r="AQ280" s="8"/>
      <c r="AR280" s="8"/>
      <c r="AS280" s="8"/>
      <c r="AT280" s="8"/>
    </row>
    <row r="281" ht="15.75" customHeight="1">
      <c r="A281" s="23" t="s">
        <v>437</v>
      </c>
      <c r="B281" s="8">
        <f t="shared" si="1"/>
        <v>1.75</v>
      </c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20">
        <v>1.75</v>
      </c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  <c r="AE281" s="8"/>
      <c r="AF281" s="8"/>
      <c r="AG281" s="8"/>
      <c r="AH281" s="8"/>
      <c r="AI281" s="8"/>
      <c r="AJ281" s="8"/>
      <c r="AK281" s="8"/>
      <c r="AL281" s="8"/>
      <c r="AM281" s="8"/>
      <c r="AN281" s="8"/>
      <c r="AO281" s="8"/>
      <c r="AP281" s="8"/>
      <c r="AQ281" s="8"/>
      <c r="AR281" s="8"/>
      <c r="AS281" s="8"/>
      <c r="AT281" s="8"/>
    </row>
    <row r="282" ht="15.75" customHeight="1">
      <c r="A282" s="23" t="s">
        <v>258</v>
      </c>
      <c r="B282" s="8">
        <f t="shared" si="1"/>
        <v>0</v>
      </c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20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  <c r="AE282" s="8"/>
      <c r="AF282" s="8"/>
      <c r="AG282" s="8"/>
      <c r="AH282" s="8"/>
      <c r="AI282" s="8"/>
      <c r="AJ282" s="8"/>
      <c r="AK282" s="8"/>
      <c r="AL282" s="8"/>
      <c r="AM282" s="8"/>
      <c r="AN282" s="8"/>
      <c r="AO282" s="8"/>
      <c r="AP282" s="8"/>
      <c r="AQ282" s="8"/>
      <c r="AR282" s="8"/>
      <c r="AS282" s="8"/>
      <c r="AT282" s="8"/>
    </row>
    <row r="283" ht="15.75" customHeight="1">
      <c r="A283" s="23" t="s">
        <v>438</v>
      </c>
      <c r="B283" s="8">
        <f t="shared" si="1"/>
        <v>0</v>
      </c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20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  <c r="AE283" s="8"/>
      <c r="AF283" s="8"/>
      <c r="AG283" s="8"/>
      <c r="AH283" s="8"/>
      <c r="AI283" s="8"/>
      <c r="AJ283" s="8"/>
      <c r="AK283" s="8"/>
      <c r="AL283" s="8"/>
      <c r="AM283" s="8"/>
      <c r="AN283" s="8"/>
      <c r="AO283" s="8"/>
      <c r="AP283" s="8"/>
      <c r="AQ283" s="8"/>
      <c r="AR283" s="8"/>
      <c r="AS283" s="8"/>
      <c r="AT283" s="8"/>
    </row>
    <row r="284" ht="15.75" customHeight="1">
      <c r="A284" s="23" t="s">
        <v>439</v>
      </c>
      <c r="B284" s="8">
        <f t="shared" si="1"/>
        <v>0</v>
      </c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20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  <c r="AE284" s="8"/>
      <c r="AF284" s="8"/>
      <c r="AG284" s="8"/>
      <c r="AH284" s="8"/>
      <c r="AI284" s="8"/>
      <c r="AJ284" s="8"/>
      <c r="AK284" s="8"/>
      <c r="AL284" s="8"/>
      <c r="AM284" s="8"/>
      <c r="AN284" s="8"/>
      <c r="AO284" s="8"/>
      <c r="AP284" s="8"/>
      <c r="AQ284" s="8"/>
      <c r="AR284" s="8"/>
      <c r="AS284" s="8"/>
      <c r="AT284" s="8"/>
    </row>
    <row r="285" ht="15.75" customHeight="1">
      <c r="A285" s="23" t="s">
        <v>273</v>
      </c>
      <c r="B285" s="8">
        <f t="shared" si="1"/>
        <v>1.75</v>
      </c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20">
        <v>1.75</v>
      </c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  <c r="AE285" s="8"/>
      <c r="AF285" s="8"/>
      <c r="AG285" s="8"/>
      <c r="AH285" s="8"/>
      <c r="AI285" s="8"/>
      <c r="AJ285" s="8"/>
      <c r="AK285" s="8"/>
      <c r="AL285" s="8"/>
      <c r="AM285" s="8"/>
      <c r="AN285" s="8"/>
      <c r="AO285" s="8"/>
      <c r="AP285" s="8"/>
      <c r="AQ285" s="8"/>
      <c r="AR285" s="8"/>
      <c r="AS285" s="8"/>
      <c r="AT285" s="8"/>
    </row>
    <row r="286" ht="15.75" customHeight="1">
      <c r="A286" s="23" t="s">
        <v>440</v>
      </c>
      <c r="B286" s="8">
        <f t="shared" si="1"/>
        <v>2</v>
      </c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20">
        <v>2.0</v>
      </c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  <c r="AE286" s="8"/>
      <c r="AF286" s="8"/>
      <c r="AG286" s="8"/>
      <c r="AH286" s="8"/>
      <c r="AI286" s="8"/>
      <c r="AJ286" s="8"/>
      <c r="AK286" s="8"/>
      <c r="AL286" s="8"/>
      <c r="AM286" s="8"/>
      <c r="AN286" s="8"/>
      <c r="AO286" s="8"/>
      <c r="AP286" s="8"/>
      <c r="AQ286" s="8"/>
      <c r="AR286" s="8"/>
      <c r="AS286" s="8"/>
      <c r="AT286" s="8"/>
    </row>
    <row r="287" ht="15.75" customHeight="1">
      <c r="A287" s="23" t="s">
        <v>441</v>
      </c>
      <c r="B287" s="8">
        <f t="shared" si="1"/>
        <v>0</v>
      </c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20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  <c r="AE287" s="8"/>
      <c r="AF287" s="8"/>
      <c r="AG287" s="8"/>
      <c r="AH287" s="8"/>
      <c r="AI287" s="8"/>
      <c r="AJ287" s="8"/>
      <c r="AK287" s="8"/>
      <c r="AL287" s="8"/>
      <c r="AM287" s="8"/>
      <c r="AN287" s="8"/>
      <c r="AO287" s="8"/>
      <c r="AP287" s="8"/>
      <c r="AQ287" s="8"/>
      <c r="AR287" s="8"/>
      <c r="AS287" s="8"/>
      <c r="AT287" s="8"/>
    </row>
    <row r="288" ht="15.75" customHeight="1">
      <c r="A288" s="23" t="s">
        <v>442</v>
      </c>
      <c r="B288" s="8">
        <f t="shared" si="1"/>
        <v>2</v>
      </c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20">
        <v>2.0</v>
      </c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  <c r="AE288" s="8"/>
      <c r="AF288" s="8"/>
      <c r="AG288" s="8"/>
      <c r="AH288" s="8"/>
      <c r="AI288" s="8"/>
      <c r="AJ288" s="8"/>
      <c r="AK288" s="8"/>
      <c r="AL288" s="8"/>
      <c r="AM288" s="8"/>
      <c r="AN288" s="8"/>
      <c r="AO288" s="8"/>
      <c r="AP288" s="8"/>
      <c r="AQ288" s="8"/>
      <c r="AR288" s="8"/>
      <c r="AS288" s="8"/>
      <c r="AT288" s="8"/>
    </row>
    <row r="289" ht="15.75" customHeight="1">
      <c r="A289" s="23" t="s">
        <v>443</v>
      </c>
      <c r="B289" s="8">
        <f t="shared" si="1"/>
        <v>1.75</v>
      </c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20">
        <v>1.75</v>
      </c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  <c r="AE289" s="8"/>
      <c r="AF289" s="8"/>
      <c r="AG289" s="8"/>
      <c r="AH289" s="8"/>
      <c r="AI289" s="8"/>
      <c r="AJ289" s="8"/>
      <c r="AK289" s="8"/>
      <c r="AL289" s="8"/>
      <c r="AM289" s="8"/>
      <c r="AN289" s="8"/>
      <c r="AO289" s="8"/>
      <c r="AP289" s="8"/>
      <c r="AQ289" s="8"/>
      <c r="AR289" s="8"/>
      <c r="AS289" s="8"/>
      <c r="AT289" s="8"/>
    </row>
    <row r="290" ht="15.75" customHeight="1">
      <c r="A290" s="23" t="s">
        <v>444</v>
      </c>
      <c r="B290" s="8">
        <f t="shared" si="1"/>
        <v>1.75</v>
      </c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20">
        <v>1.75</v>
      </c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  <c r="AE290" s="8"/>
      <c r="AF290" s="8"/>
      <c r="AG290" s="8"/>
      <c r="AH290" s="8"/>
      <c r="AI290" s="8"/>
      <c r="AJ290" s="8"/>
      <c r="AK290" s="8"/>
      <c r="AL290" s="8"/>
      <c r="AM290" s="8"/>
      <c r="AN290" s="8"/>
      <c r="AO290" s="8"/>
      <c r="AP290" s="8"/>
      <c r="AQ290" s="8"/>
      <c r="AR290" s="8"/>
      <c r="AS290" s="8"/>
      <c r="AT290" s="8"/>
    </row>
    <row r="291" ht="15.75" customHeight="1">
      <c r="A291" s="23" t="s">
        <v>445</v>
      </c>
      <c r="B291" s="8">
        <f t="shared" si="1"/>
        <v>1.75</v>
      </c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20">
        <v>1.75</v>
      </c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  <c r="AE291" s="8"/>
      <c r="AF291" s="8"/>
      <c r="AG291" s="8"/>
      <c r="AH291" s="8"/>
      <c r="AI291" s="8"/>
      <c r="AJ291" s="8"/>
      <c r="AK291" s="8"/>
      <c r="AL291" s="8"/>
      <c r="AM291" s="8"/>
      <c r="AN291" s="8"/>
      <c r="AO291" s="8"/>
      <c r="AP291" s="8"/>
      <c r="AQ291" s="8"/>
      <c r="AR291" s="8"/>
      <c r="AS291" s="8"/>
      <c r="AT291" s="8"/>
    </row>
    <row r="292" ht="15.75" customHeight="1">
      <c r="A292" s="23" t="s">
        <v>446</v>
      </c>
      <c r="B292" s="8">
        <f t="shared" si="1"/>
        <v>0</v>
      </c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20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  <c r="AE292" s="8"/>
      <c r="AF292" s="8"/>
      <c r="AG292" s="8"/>
      <c r="AH292" s="8"/>
      <c r="AI292" s="8"/>
      <c r="AJ292" s="8"/>
      <c r="AK292" s="8"/>
      <c r="AL292" s="8"/>
      <c r="AM292" s="8"/>
      <c r="AN292" s="8"/>
      <c r="AO292" s="8"/>
      <c r="AP292" s="8"/>
      <c r="AQ292" s="8"/>
      <c r="AR292" s="8"/>
      <c r="AS292" s="8"/>
      <c r="AT292" s="8"/>
    </row>
    <row r="293" ht="15.75" customHeight="1">
      <c r="A293" s="23" t="s">
        <v>284</v>
      </c>
      <c r="B293" s="8">
        <f t="shared" si="1"/>
        <v>0</v>
      </c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20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  <c r="AE293" s="8"/>
      <c r="AF293" s="8"/>
      <c r="AG293" s="8"/>
      <c r="AH293" s="8"/>
      <c r="AI293" s="8"/>
      <c r="AJ293" s="8"/>
      <c r="AK293" s="8"/>
      <c r="AL293" s="8"/>
      <c r="AM293" s="8"/>
      <c r="AN293" s="8"/>
      <c r="AO293" s="8"/>
      <c r="AP293" s="8"/>
      <c r="AQ293" s="8"/>
      <c r="AR293" s="8"/>
      <c r="AS293" s="8"/>
      <c r="AT293" s="8"/>
    </row>
    <row r="294" ht="15.75" customHeight="1">
      <c r="A294" s="23" t="s">
        <v>447</v>
      </c>
      <c r="B294" s="8">
        <f t="shared" si="1"/>
        <v>0</v>
      </c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20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  <c r="AE294" s="8"/>
      <c r="AF294" s="8"/>
      <c r="AG294" s="8"/>
      <c r="AH294" s="8"/>
      <c r="AI294" s="8"/>
      <c r="AJ294" s="8"/>
      <c r="AK294" s="8"/>
      <c r="AL294" s="8"/>
      <c r="AM294" s="8"/>
      <c r="AN294" s="8"/>
      <c r="AO294" s="8"/>
      <c r="AP294" s="8"/>
      <c r="AQ294" s="8"/>
      <c r="AR294" s="8"/>
      <c r="AS294" s="8"/>
      <c r="AT294" s="8"/>
    </row>
    <row r="295" ht="15.75" customHeight="1">
      <c r="A295" s="23" t="s">
        <v>448</v>
      </c>
      <c r="B295" s="8">
        <f t="shared" si="1"/>
        <v>0</v>
      </c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20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  <c r="AE295" s="8"/>
      <c r="AF295" s="8"/>
      <c r="AG295" s="8"/>
      <c r="AH295" s="8"/>
      <c r="AI295" s="8"/>
      <c r="AJ295" s="8"/>
      <c r="AK295" s="8"/>
      <c r="AL295" s="8"/>
      <c r="AM295" s="8"/>
      <c r="AN295" s="8"/>
      <c r="AO295" s="8"/>
      <c r="AP295" s="8"/>
      <c r="AQ295" s="8"/>
      <c r="AR295" s="8"/>
      <c r="AS295" s="8"/>
      <c r="AT295" s="8"/>
    </row>
    <row r="296" ht="15.75" customHeight="1">
      <c r="A296" s="23" t="s">
        <v>449</v>
      </c>
      <c r="B296" s="8">
        <f t="shared" si="1"/>
        <v>1.75</v>
      </c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20">
        <v>1.75</v>
      </c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  <c r="AE296" s="8"/>
      <c r="AF296" s="8"/>
      <c r="AG296" s="8"/>
      <c r="AH296" s="8"/>
      <c r="AI296" s="8"/>
      <c r="AJ296" s="8"/>
      <c r="AK296" s="8"/>
      <c r="AL296" s="8"/>
      <c r="AM296" s="8"/>
      <c r="AN296" s="8"/>
      <c r="AO296" s="8"/>
      <c r="AP296" s="8"/>
      <c r="AQ296" s="8"/>
      <c r="AR296" s="8"/>
      <c r="AS296" s="8"/>
      <c r="AT296" s="8"/>
    </row>
    <row r="297" ht="15.75" customHeight="1">
      <c r="A297" s="23" t="s">
        <v>450</v>
      </c>
      <c r="B297" s="8">
        <f t="shared" si="1"/>
        <v>0</v>
      </c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  <c r="AE297" s="8"/>
      <c r="AF297" s="8"/>
      <c r="AG297" s="8"/>
      <c r="AH297" s="8"/>
      <c r="AI297" s="8"/>
      <c r="AJ297" s="8"/>
      <c r="AK297" s="8"/>
      <c r="AL297" s="8"/>
      <c r="AM297" s="8"/>
      <c r="AN297" s="8"/>
      <c r="AO297" s="8"/>
      <c r="AP297" s="8"/>
      <c r="AQ297" s="8"/>
      <c r="AR297" s="8"/>
      <c r="AS297" s="8"/>
      <c r="AT297" s="8"/>
    </row>
    <row r="298" ht="15.75" customHeight="1">
      <c r="A298" s="23" t="s">
        <v>451</v>
      </c>
      <c r="B298" s="8">
        <f t="shared" si="1"/>
        <v>0</v>
      </c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  <c r="AE298" s="8"/>
      <c r="AF298" s="8"/>
      <c r="AG298" s="8"/>
      <c r="AH298" s="8"/>
      <c r="AI298" s="8"/>
      <c r="AJ298" s="8"/>
      <c r="AK298" s="8"/>
      <c r="AL298" s="8"/>
      <c r="AM298" s="8"/>
      <c r="AN298" s="8"/>
      <c r="AO298" s="8"/>
      <c r="AP298" s="8"/>
      <c r="AQ298" s="8"/>
      <c r="AR298" s="8"/>
      <c r="AS298" s="8"/>
      <c r="AT298" s="8"/>
    </row>
    <row r="299" ht="15.75" customHeight="1">
      <c r="A299" s="23" t="s">
        <v>452</v>
      </c>
      <c r="B299" s="8">
        <f t="shared" si="1"/>
        <v>0</v>
      </c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  <c r="AE299" s="8"/>
      <c r="AF299" s="8"/>
      <c r="AG299" s="8"/>
      <c r="AH299" s="8"/>
      <c r="AI299" s="8"/>
      <c r="AJ299" s="8"/>
      <c r="AK299" s="8"/>
      <c r="AL299" s="8"/>
      <c r="AM299" s="8"/>
      <c r="AN299" s="8"/>
      <c r="AO299" s="8"/>
      <c r="AP299" s="8"/>
      <c r="AQ299" s="8"/>
      <c r="AR299" s="8"/>
      <c r="AS299" s="8"/>
      <c r="AT299" s="8"/>
    </row>
    <row r="300" ht="15.75" customHeight="1">
      <c r="A300" s="23" t="s">
        <v>453</v>
      </c>
      <c r="B300" s="8">
        <f t="shared" si="1"/>
        <v>0</v>
      </c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  <c r="AE300" s="8"/>
      <c r="AF300" s="8"/>
      <c r="AG300" s="8"/>
      <c r="AH300" s="8"/>
      <c r="AI300" s="8"/>
      <c r="AJ300" s="8"/>
      <c r="AK300" s="8"/>
      <c r="AL300" s="8"/>
      <c r="AM300" s="8"/>
      <c r="AN300" s="8"/>
      <c r="AO300" s="8"/>
      <c r="AP300" s="8"/>
      <c r="AQ300" s="8"/>
      <c r="AR300" s="8"/>
      <c r="AS300" s="8"/>
      <c r="AT300" s="8"/>
    </row>
    <row r="301" ht="15.75" customHeight="1">
      <c r="A301" s="23" t="s">
        <v>454</v>
      </c>
      <c r="B301" s="8">
        <f t="shared" si="1"/>
        <v>0</v>
      </c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  <c r="AE301" s="8"/>
      <c r="AF301" s="8"/>
      <c r="AG301" s="8"/>
      <c r="AH301" s="8"/>
      <c r="AI301" s="8"/>
      <c r="AJ301" s="8"/>
      <c r="AK301" s="8"/>
      <c r="AL301" s="8"/>
      <c r="AM301" s="8"/>
      <c r="AN301" s="8"/>
      <c r="AO301" s="8"/>
      <c r="AP301" s="8"/>
      <c r="AQ301" s="8"/>
      <c r="AR301" s="8"/>
      <c r="AS301" s="8"/>
      <c r="AT301" s="8"/>
    </row>
    <row r="302" ht="15.75" customHeight="1">
      <c r="A302" s="23" t="s">
        <v>455</v>
      </c>
      <c r="B302" s="8">
        <f t="shared" si="1"/>
        <v>0</v>
      </c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  <c r="AE302" s="8"/>
      <c r="AF302" s="8"/>
      <c r="AG302" s="8"/>
      <c r="AH302" s="8"/>
      <c r="AI302" s="8"/>
      <c r="AJ302" s="8"/>
      <c r="AK302" s="8"/>
      <c r="AL302" s="8"/>
      <c r="AM302" s="8"/>
      <c r="AN302" s="8"/>
      <c r="AO302" s="8"/>
      <c r="AP302" s="8"/>
      <c r="AQ302" s="8"/>
      <c r="AR302" s="8"/>
      <c r="AS302" s="8"/>
      <c r="AT302" s="8"/>
    </row>
    <row r="303" ht="15.75" customHeight="1">
      <c r="A303" s="23" t="s">
        <v>456</v>
      </c>
      <c r="B303" s="8">
        <f t="shared" si="1"/>
        <v>1.5</v>
      </c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20">
        <v>1.5</v>
      </c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  <c r="AE303" s="8"/>
      <c r="AF303" s="8"/>
      <c r="AG303" s="8"/>
      <c r="AH303" s="8"/>
      <c r="AI303" s="8"/>
      <c r="AJ303" s="8"/>
      <c r="AK303" s="8"/>
      <c r="AL303" s="8"/>
      <c r="AM303" s="8"/>
      <c r="AN303" s="8"/>
      <c r="AO303" s="8"/>
      <c r="AP303" s="8"/>
      <c r="AQ303" s="8"/>
      <c r="AR303" s="8"/>
      <c r="AS303" s="8"/>
      <c r="AT303" s="8"/>
    </row>
    <row r="304" ht="15.75" customHeight="1">
      <c r="A304" s="23" t="s">
        <v>457</v>
      </c>
      <c r="B304" s="8">
        <f t="shared" si="1"/>
        <v>1.5</v>
      </c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20">
        <v>1.5</v>
      </c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  <c r="AE304" s="8"/>
      <c r="AF304" s="8"/>
      <c r="AG304" s="8"/>
      <c r="AH304" s="8"/>
      <c r="AI304" s="8"/>
      <c r="AJ304" s="8"/>
      <c r="AK304" s="8"/>
      <c r="AL304" s="8"/>
      <c r="AM304" s="8"/>
      <c r="AN304" s="8"/>
      <c r="AO304" s="8"/>
      <c r="AP304" s="8"/>
      <c r="AQ304" s="8"/>
      <c r="AR304" s="8"/>
      <c r="AS304" s="8"/>
      <c r="AT304" s="8"/>
    </row>
    <row r="305" ht="15.75" customHeight="1">
      <c r="A305" s="23" t="s">
        <v>458</v>
      </c>
      <c r="B305" s="8">
        <f t="shared" si="1"/>
        <v>1.5</v>
      </c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20">
        <v>1.5</v>
      </c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  <c r="AE305" s="8"/>
      <c r="AF305" s="8"/>
      <c r="AG305" s="8"/>
      <c r="AH305" s="8"/>
      <c r="AI305" s="8"/>
      <c r="AJ305" s="8"/>
      <c r="AK305" s="8"/>
      <c r="AL305" s="8"/>
      <c r="AM305" s="8"/>
      <c r="AN305" s="8"/>
      <c r="AO305" s="8"/>
      <c r="AP305" s="8"/>
      <c r="AQ305" s="8"/>
      <c r="AR305" s="8"/>
      <c r="AS305" s="8"/>
      <c r="AT305" s="8"/>
    </row>
    <row r="306" ht="15.75" customHeight="1">
      <c r="A306" s="23" t="s">
        <v>459</v>
      </c>
      <c r="B306" s="8">
        <f t="shared" si="1"/>
        <v>0</v>
      </c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  <c r="AE306" s="8"/>
      <c r="AF306" s="8"/>
      <c r="AG306" s="8"/>
      <c r="AH306" s="8"/>
      <c r="AI306" s="8"/>
      <c r="AJ306" s="8"/>
      <c r="AK306" s="8"/>
      <c r="AL306" s="8"/>
      <c r="AM306" s="8"/>
      <c r="AN306" s="8"/>
      <c r="AO306" s="8"/>
      <c r="AP306" s="8"/>
      <c r="AQ306" s="8"/>
      <c r="AR306" s="8"/>
      <c r="AS306" s="8"/>
      <c r="AT306" s="8"/>
    </row>
    <row r="307" ht="15.75" customHeight="1">
      <c r="A307" s="22"/>
      <c r="B307" s="8">
        <f t="shared" si="1"/>
        <v>0</v>
      </c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  <c r="AE307" s="8"/>
      <c r="AF307" s="8"/>
      <c r="AG307" s="8"/>
      <c r="AH307" s="8"/>
      <c r="AI307" s="8"/>
      <c r="AJ307" s="8"/>
      <c r="AK307" s="8"/>
      <c r="AL307" s="8"/>
      <c r="AM307" s="8"/>
      <c r="AN307" s="8"/>
      <c r="AO307" s="8"/>
      <c r="AP307" s="8"/>
      <c r="AQ307" s="8"/>
      <c r="AR307" s="8"/>
      <c r="AS307" s="8"/>
      <c r="AT307" s="8"/>
    </row>
    <row r="308" ht="15.75" customHeight="1">
      <c r="A308" s="22"/>
      <c r="B308" s="8">
        <f t="shared" si="1"/>
        <v>0</v>
      </c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  <c r="AE308" s="8"/>
      <c r="AF308" s="8"/>
      <c r="AG308" s="8"/>
      <c r="AH308" s="8"/>
      <c r="AI308" s="8"/>
      <c r="AJ308" s="8"/>
      <c r="AK308" s="8"/>
      <c r="AL308" s="8"/>
      <c r="AM308" s="8"/>
      <c r="AN308" s="8"/>
      <c r="AO308" s="8"/>
      <c r="AP308" s="8"/>
      <c r="AQ308" s="8"/>
      <c r="AR308" s="8"/>
      <c r="AS308" s="8"/>
      <c r="AT308" s="8"/>
    </row>
    <row r="309" ht="15.75" customHeight="1">
      <c r="A309" s="22"/>
      <c r="B309" s="8">
        <f t="shared" si="1"/>
        <v>0</v>
      </c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  <c r="AE309" s="8"/>
      <c r="AF309" s="8"/>
      <c r="AG309" s="8"/>
      <c r="AH309" s="8"/>
      <c r="AI309" s="8"/>
      <c r="AJ309" s="8"/>
      <c r="AK309" s="8"/>
      <c r="AL309" s="8"/>
      <c r="AM309" s="8"/>
      <c r="AN309" s="8"/>
      <c r="AO309" s="8"/>
      <c r="AP309" s="8"/>
      <c r="AQ309" s="8"/>
      <c r="AR309" s="8"/>
      <c r="AS309" s="8"/>
      <c r="AT309" s="8"/>
    </row>
    <row r="310" ht="15.75" customHeight="1">
      <c r="A310" s="22"/>
      <c r="B310" s="8">
        <f t="shared" si="1"/>
        <v>0</v>
      </c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  <c r="AE310" s="8"/>
      <c r="AF310" s="8"/>
      <c r="AG310" s="8"/>
      <c r="AH310" s="8"/>
      <c r="AI310" s="8"/>
      <c r="AJ310" s="8"/>
      <c r="AK310" s="8"/>
      <c r="AL310" s="8"/>
      <c r="AM310" s="8"/>
      <c r="AN310" s="8"/>
      <c r="AO310" s="8"/>
      <c r="AP310" s="8"/>
      <c r="AQ310" s="8"/>
      <c r="AR310" s="8"/>
      <c r="AS310" s="8"/>
      <c r="AT310" s="8"/>
    </row>
    <row r="311" ht="15.75" customHeight="1">
      <c r="A311" s="22"/>
      <c r="B311" s="8">
        <f t="shared" si="1"/>
        <v>0</v>
      </c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  <c r="AE311" s="8"/>
      <c r="AF311" s="8"/>
      <c r="AG311" s="8"/>
      <c r="AH311" s="8"/>
      <c r="AI311" s="8"/>
      <c r="AJ311" s="8"/>
      <c r="AK311" s="8"/>
      <c r="AL311" s="8"/>
      <c r="AM311" s="8"/>
      <c r="AN311" s="8"/>
      <c r="AO311" s="8"/>
      <c r="AP311" s="8"/>
      <c r="AQ311" s="8"/>
      <c r="AR311" s="8"/>
      <c r="AS311" s="8"/>
      <c r="AT311" s="8"/>
    </row>
    <row r="312" ht="15.75" customHeight="1">
      <c r="A312" s="22"/>
      <c r="B312" s="8">
        <f t="shared" si="1"/>
        <v>0</v>
      </c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  <c r="AE312" s="8"/>
      <c r="AF312" s="8"/>
      <c r="AG312" s="8"/>
      <c r="AH312" s="8"/>
      <c r="AI312" s="8"/>
      <c r="AJ312" s="8"/>
      <c r="AK312" s="8"/>
      <c r="AL312" s="8"/>
      <c r="AM312" s="8"/>
      <c r="AN312" s="8"/>
      <c r="AO312" s="8"/>
      <c r="AP312" s="8"/>
      <c r="AQ312" s="8"/>
      <c r="AR312" s="8"/>
      <c r="AS312" s="8"/>
      <c r="AT312" s="8"/>
    </row>
    <row r="313" ht="15.75" customHeight="1">
      <c r="A313" s="22"/>
      <c r="B313" s="8">
        <f t="shared" si="1"/>
        <v>0</v>
      </c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  <c r="AE313" s="8"/>
      <c r="AF313" s="8"/>
      <c r="AG313" s="8"/>
      <c r="AH313" s="8"/>
      <c r="AI313" s="8"/>
      <c r="AJ313" s="8"/>
      <c r="AK313" s="8"/>
      <c r="AL313" s="8"/>
      <c r="AM313" s="8"/>
      <c r="AN313" s="8"/>
      <c r="AO313" s="8"/>
      <c r="AP313" s="8"/>
      <c r="AQ313" s="8"/>
      <c r="AR313" s="8"/>
      <c r="AS313" s="8"/>
      <c r="AT313" s="8"/>
    </row>
    <row r="314" ht="15.75" customHeight="1">
      <c r="A314" s="22"/>
      <c r="B314" s="8">
        <f t="shared" si="1"/>
        <v>0</v>
      </c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  <c r="AE314" s="8"/>
      <c r="AF314" s="8"/>
      <c r="AG314" s="8"/>
      <c r="AH314" s="8"/>
      <c r="AI314" s="8"/>
      <c r="AJ314" s="8"/>
      <c r="AK314" s="8"/>
      <c r="AL314" s="8"/>
      <c r="AM314" s="8"/>
      <c r="AN314" s="8"/>
      <c r="AO314" s="8"/>
      <c r="AP314" s="8"/>
      <c r="AQ314" s="8"/>
      <c r="AR314" s="8"/>
      <c r="AS314" s="8"/>
      <c r="AT314" s="8"/>
    </row>
    <row r="315" ht="15.75" customHeight="1">
      <c r="A315" s="22"/>
      <c r="B315" s="8">
        <f t="shared" si="1"/>
        <v>0</v>
      </c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  <c r="AE315" s="8"/>
      <c r="AF315" s="8"/>
      <c r="AG315" s="8"/>
      <c r="AH315" s="8"/>
      <c r="AI315" s="8"/>
      <c r="AJ315" s="8"/>
      <c r="AK315" s="8"/>
      <c r="AL315" s="8"/>
      <c r="AM315" s="8"/>
      <c r="AN315" s="8"/>
      <c r="AO315" s="8"/>
      <c r="AP315" s="8"/>
      <c r="AQ315" s="8"/>
      <c r="AR315" s="8"/>
      <c r="AS315" s="8"/>
      <c r="AT315" s="8"/>
    </row>
    <row r="316" ht="15.75" customHeight="1">
      <c r="A316" s="22"/>
      <c r="B316" s="8">
        <f t="shared" si="1"/>
        <v>0</v>
      </c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  <c r="AE316" s="8"/>
      <c r="AF316" s="8"/>
      <c r="AG316" s="8"/>
      <c r="AH316" s="8"/>
      <c r="AI316" s="8"/>
      <c r="AJ316" s="8"/>
      <c r="AK316" s="8"/>
      <c r="AL316" s="8"/>
      <c r="AM316" s="8"/>
      <c r="AN316" s="8"/>
      <c r="AO316" s="8"/>
      <c r="AP316" s="8"/>
      <c r="AQ316" s="8"/>
      <c r="AR316" s="8"/>
      <c r="AS316" s="8"/>
      <c r="AT316" s="8"/>
    </row>
    <row r="317" ht="15.75" customHeight="1">
      <c r="A317" s="22"/>
      <c r="B317" s="8">
        <f t="shared" si="1"/>
        <v>0</v>
      </c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  <c r="AE317" s="8"/>
      <c r="AF317" s="8"/>
      <c r="AG317" s="8"/>
      <c r="AH317" s="8"/>
      <c r="AI317" s="8"/>
      <c r="AJ317" s="8"/>
      <c r="AK317" s="8"/>
      <c r="AL317" s="8"/>
      <c r="AM317" s="8"/>
      <c r="AN317" s="8"/>
      <c r="AO317" s="8"/>
      <c r="AP317" s="8"/>
      <c r="AQ317" s="8"/>
      <c r="AR317" s="8"/>
      <c r="AS317" s="8"/>
      <c r="AT317" s="8"/>
    </row>
    <row r="318" ht="15.75" customHeight="1">
      <c r="A318" s="22"/>
      <c r="B318" s="8">
        <f t="shared" si="1"/>
        <v>0</v>
      </c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  <c r="AE318" s="8"/>
      <c r="AF318" s="8"/>
      <c r="AG318" s="8"/>
      <c r="AH318" s="8"/>
      <c r="AI318" s="8"/>
      <c r="AJ318" s="8"/>
      <c r="AK318" s="8"/>
      <c r="AL318" s="8"/>
      <c r="AM318" s="8"/>
      <c r="AN318" s="8"/>
      <c r="AO318" s="8"/>
      <c r="AP318" s="8"/>
      <c r="AQ318" s="8"/>
      <c r="AR318" s="8"/>
      <c r="AS318" s="8"/>
      <c r="AT318" s="8"/>
    </row>
    <row r="319" ht="15.75" customHeight="1">
      <c r="A319" s="22"/>
      <c r="B319" s="8">
        <f t="shared" si="1"/>
        <v>0</v>
      </c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  <c r="AE319" s="8"/>
      <c r="AF319" s="8"/>
      <c r="AG319" s="8"/>
      <c r="AH319" s="8"/>
      <c r="AI319" s="8"/>
      <c r="AJ319" s="8"/>
      <c r="AK319" s="8"/>
      <c r="AL319" s="8"/>
      <c r="AM319" s="8"/>
      <c r="AN319" s="8"/>
      <c r="AO319" s="8"/>
      <c r="AP319" s="8"/>
      <c r="AQ319" s="8"/>
      <c r="AR319" s="8"/>
      <c r="AS319" s="8"/>
      <c r="AT319" s="8"/>
    </row>
    <row r="320" ht="15.75" customHeight="1">
      <c r="A320" s="22"/>
      <c r="B320" s="8">
        <f t="shared" si="1"/>
        <v>0</v>
      </c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  <c r="AE320" s="8"/>
      <c r="AF320" s="8"/>
      <c r="AG320" s="8"/>
      <c r="AH320" s="8"/>
      <c r="AI320" s="8"/>
      <c r="AJ320" s="8"/>
      <c r="AK320" s="8"/>
      <c r="AL320" s="8"/>
      <c r="AM320" s="8"/>
      <c r="AN320" s="8"/>
      <c r="AO320" s="8"/>
      <c r="AP320" s="8"/>
      <c r="AQ320" s="8"/>
      <c r="AR320" s="8"/>
      <c r="AS320" s="8"/>
      <c r="AT320" s="8"/>
    </row>
    <row r="321" ht="15.75" customHeight="1">
      <c r="A321" s="22"/>
      <c r="B321" s="8">
        <f t="shared" si="1"/>
        <v>0</v>
      </c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  <c r="AE321" s="8"/>
      <c r="AF321" s="8"/>
      <c r="AG321" s="8"/>
      <c r="AH321" s="8"/>
      <c r="AI321" s="8"/>
      <c r="AJ321" s="8"/>
      <c r="AK321" s="8"/>
      <c r="AL321" s="8"/>
      <c r="AM321" s="8"/>
      <c r="AN321" s="8"/>
      <c r="AO321" s="8"/>
      <c r="AP321" s="8"/>
      <c r="AQ321" s="8"/>
      <c r="AR321" s="8"/>
      <c r="AS321" s="8"/>
      <c r="AT321" s="8"/>
    </row>
    <row r="322" ht="15.75" customHeight="1">
      <c r="A322" s="22"/>
      <c r="B322" s="8">
        <f t="shared" si="1"/>
        <v>0</v>
      </c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  <c r="AE322" s="8"/>
      <c r="AF322" s="8"/>
      <c r="AG322" s="8"/>
      <c r="AH322" s="8"/>
      <c r="AI322" s="8"/>
      <c r="AJ322" s="8"/>
      <c r="AK322" s="8"/>
      <c r="AL322" s="8"/>
      <c r="AM322" s="8"/>
      <c r="AN322" s="8"/>
      <c r="AO322" s="8"/>
      <c r="AP322" s="8"/>
      <c r="AQ322" s="8"/>
      <c r="AR322" s="8"/>
      <c r="AS322" s="8"/>
      <c r="AT322" s="8"/>
    </row>
    <row r="323" ht="15.75" customHeight="1">
      <c r="A323" s="22"/>
      <c r="B323" s="8">
        <f t="shared" si="1"/>
        <v>0</v>
      </c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  <c r="AE323" s="8"/>
      <c r="AF323" s="8"/>
      <c r="AG323" s="8"/>
      <c r="AH323" s="8"/>
      <c r="AI323" s="8"/>
      <c r="AJ323" s="8"/>
      <c r="AK323" s="8"/>
      <c r="AL323" s="8"/>
      <c r="AM323" s="8"/>
      <c r="AN323" s="8"/>
      <c r="AO323" s="8"/>
      <c r="AP323" s="8"/>
      <c r="AQ323" s="8"/>
      <c r="AR323" s="8"/>
      <c r="AS323" s="8"/>
      <c r="AT323" s="8"/>
    </row>
    <row r="324" ht="15.75" customHeight="1">
      <c r="A324" s="22"/>
      <c r="B324" s="8">
        <f t="shared" si="1"/>
        <v>0</v>
      </c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  <c r="AE324" s="8"/>
      <c r="AF324" s="8"/>
      <c r="AG324" s="8"/>
      <c r="AH324" s="8"/>
      <c r="AI324" s="8"/>
      <c r="AJ324" s="8"/>
      <c r="AK324" s="8"/>
      <c r="AL324" s="8"/>
      <c r="AM324" s="8"/>
      <c r="AN324" s="8"/>
      <c r="AO324" s="8"/>
      <c r="AP324" s="8"/>
      <c r="AQ324" s="8"/>
      <c r="AR324" s="8"/>
      <c r="AS324" s="8"/>
      <c r="AT324" s="8"/>
    </row>
    <row r="325" ht="15.75" customHeight="1">
      <c r="A325" s="22"/>
      <c r="B325" s="8">
        <f t="shared" si="1"/>
        <v>0</v>
      </c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  <c r="AE325" s="8"/>
      <c r="AF325" s="8"/>
      <c r="AG325" s="8"/>
      <c r="AH325" s="8"/>
      <c r="AI325" s="8"/>
      <c r="AJ325" s="8"/>
      <c r="AK325" s="8"/>
      <c r="AL325" s="8"/>
      <c r="AM325" s="8"/>
      <c r="AN325" s="8"/>
      <c r="AO325" s="8"/>
      <c r="AP325" s="8"/>
      <c r="AQ325" s="8"/>
      <c r="AR325" s="8"/>
      <c r="AS325" s="8"/>
      <c r="AT325" s="8"/>
    </row>
    <row r="326" ht="15.75" customHeight="1">
      <c r="A326" s="22"/>
      <c r="B326" s="8">
        <f t="shared" si="1"/>
        <v>0</v>
      </c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  <c r="AE326" s="8"/>
      <c r="AF326" s="8"/>
      <c r="AG326" s="8"/>
      <c r="AH326" s="8"/>
      <c r="AI326" s="8"/>
      <c r="AJ326" s="8"/>
      <c r="AK326" s="8"/>
      <c r="AL326" s="8"/>
      <c r="AM326" s="8"/>
      <c r="AN326" s="8"/>
      <c r="AO326" s="8"/>
      <c r="AP326" s="8"/>
      <c r="AQ326" s="8"/>
      <c r="AR326" s="8"/>
      <c r="AS326" s="8"/>
      <c r="AT326" s="8"/>
    </row>
    <row r="327" ht="15.75" customHeight="1">
      <c r="A327" s="22"/>
      <c r="B327" s="8">
        <f t="shared" si="1"/>
        <v>0</v>
      </c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  <c r="AE327" s="8"/>
      <c r="AF327" s="8"/>
      <c r="AG327" s="8"/>
      <c r="AH327" s="8"/>
      <c r="AI327" s="8"/>
      <c r="AJ327" s="8"/>
      <c r="AK327" s="8"/>
      <c r="AL327" s="8"/>
      <c r="AM327" s="8"/>
      <c r="AN327" s="8"/>
      <c r="AO327" s="8"/>
      <c r="AP327" s="8"/>
      <c r="AQ327" s="8"/>
      <c r="AR327" s="8"/>
      <c r="AS327" s="8"/>
      <c r="AT327" s="8"/>
    </row>
    <row r="328" ht="15.75" customHeight="1">
      <c r="A328" s="22"/>
      <c r="B328" s="8">
        <f t="shared" si="1"/>
        <v>0</v>
      </c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  <c r="AE328" s="8"/>
      <c r="AF328" s="8"/>
      <c r="AG328" s="8"/>
      <c r="AH328" s="8"/>
      <c r="AI328" s="8"/>
      <c r="AJ328" s="8"/>
      <c r="AK328" s="8"/>
      <c r="AL328" s="8"/>
      <c r="AM328" s="8"/>
      <c r="AN328" s="8"/>
      <c r="AO328" s="8"/>
      <c r="AP328" s="8"/>
      <c r="AQ328" s="8"/>
      <c r="AR328" s="8"/>
      <c r="AS328" s="8"/>
      <c r="AT328" s="8"/>
    </row>
    <row r="329" ht="15.75" customHeight="1">
      <c r="A329" s="22"/>
      <c r="B329" s="8">
        <f t="shared" si="1"/>
        <v>0</v>
      </c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  <c r="AE329" s="8"/>
      <c r="AF329" s="8"/>
      <c r="AG329" s="8"/>
      <c r="AH329" s="8"/>
      <c r="AI329" s="8"/>
      <c r="AJ329" s="8"/>
      <c r="AK329" s="8"/>
      <c r="AL329" s="8"/>
      <c r="AM329" s="8"/>
      <c r="AN329" s="8"/>
      <c r="AO329" s="8"/>
      <c r="AP329" s="8"/>
      <c r="AQ329" s="8"/>
      <c r="AR329" s="8"/>
      <c r="AS329" s="8"/>
      <c r="AT329" s="8"/>
    </row>
    <row r="330" ht="15.75" customHeight="1">
      <c r="A330" s="22"/>
      <c r="B330" s="8">
        <f t="shared" si="1"/>
        <v>0</v>
      </c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  <c r="AE330" s="8"/>
      <c r="AF330" s="8"/>
      <c r="AG330" s="8"/>
      <c r="AH330" s="8"/>
      <c r="AI330" s="8"/>
      <c r="AJ330" s="8"/>
      <c r="AK330" s="8"/>
      <c r="AL330" s="8"/>
      <c r="AM330" s="8"/>
      <c r="AN330" s="8"/>
      <c r="AO330" s="8"/>
      <c r="AP330" s="8"/>
      <c r="AQ330" s="8"/>
      <c r="AR330" s="8"/>
      <c r="AS330" s="8"/>
      <c r="AT330" s="8"/>
    </row>
    <row r="331" ht="15.75" customHeight="1">
      <c r="A331" s="22"/>
      <c r="B331" s="8">
        <f t="shared" si="1"/>
        <v>0</v>
      </c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  <c r="AE331" s="8"/>
      <c r="AF331" s="8"/>
      <c r="AG331" s="8"/>
      <c r="AH331" s="8"/>
      <c r="AI331" s="8"/>
      <c r="AJ331" s="8"/>
      <c r="AK331" s="8"/>
      <c r="AL331" s="8"/>
      <c r="AM331" s="8"/>
      <c r="AN331" s="8"/>
      <c r="AO331" s="8"/>
      <c r="AP331" s="8"/>
      <c r="AQ331" s="8"/>
      <c r="AR331" s="8"/>
      <c r="AS331" s="8"/>
      <c r="AT331" s="8"/>
    </row>
    <row r="332" ht="15.75" customHeight="1">
      <c r="A332" s="22"/>
      <c r="B332" s="8">
        <f t="shared" si="1"/>
        <v>0</v>
      </c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  <c r="AE332" s="8"/>
      <c r="AF332" s="8"/>
      <c r="AG332" s="8"/>
      <c r="AH332" s="8"/>
      <c r="AI332" s="8"/>
      <c r="AJ332" s="8"/>
      <c r="AK332" s="8"/>
      <c r="AL332" s="8"/>
      <c r="AM332" s="8"/>
      <c r="AN332" s="8"/>
      <c r="AO332" s="8"/>
      <c r="AP332" s="8"/>
      <c r="AQ332" s="8"/>
      <c r="AR332" s="8"/>
      <c r="AS332" s="8"/>
      <c r="AT332" s="8"/>
    </row>
    <row r="333" ht="15.75" customHeight="1">
      <c r="A333" s="22"/>
      <c r="B333" s="8">
        <f t="shared" si="1"/>
        <v>0</v>
      </c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  <c r="AE333" s="8"/>
      <c r="AF333" s="8"/>
      <c r="AG333" s="8"/>
      <c r="AH333" s="8"/>
      <c r="AI333" s="8"/>
      <c r="AJ333" s="8"/>
      <c r="AK333" s="8"/>
      <c r="AL333" s="8"/>
      <c r="AM333" s="8"/>
      <c r="AN333" s="8"/>
      <c r="AO333" s="8"/>
      <c r="AP333" s="8"/>
      <c r="AQ333" s="8"/>
      <c r="AR333" s="8"/>
      <c r="AS333" s="8"/>
      <c r="AT333" s="8"/>
    </row>
    <row r="334" ht="15.75" customHeight="1">
      <c r="A334" s="22"/>
      <c r="B334" s="8">
        <f t="shared" si="1"/>
        <v>0</v>
      </c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  <c r="AE334" s="8"/>
      <c r="AF334" s="8"/>
      <c r="AG334" s="8"/>
      <c r="AH334" s="8"/>
      <c r="AI334" s="8"/>
      <c r="AJ334" s="8"/>
      <c r="AK334" s="8"/>
      <c r="AL334" s="8"/>
      <c r="AM334" s="8"/>
      <c r="AN334" s="8"/>
      <c r="AO334" s="8"/>
      <c r="AP334" s="8"/>
      <c r="AQ334" s="8"/>
      <c r="AR334" s="8"/>
      <c r="AS334" s="8"/>
      <c r="AT334" s="8"/>
    </row>
    <row r="335" ht="15.75" customHeight="1">
      <c r="A335" s="22"/>
      <c r="B335" s="8">
        <f t="shared" si="1"/>
        <v>0</v>
      </c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  <c r="AE335" s="8"/>
      <c r="AF335" s="8"/>
      <c r="AG335" s="8"/>
      <c r="AH335" s="8"/>
      <c r="AI335" s="8"/>
      <c r="AJ335" s="8"/>
      <c r="AK335" s="8"/>
      <c r="AL335" s="8"/>
      <c r="AM335" s="8"/>
      <c r="AN335" s="8"/>
      <c r="AO335" s="8"/>
      <c r="AP335" s="8"/>
      <c r="AQ335" s="8"/>
      <c r="AR335" s="8"/>
      <c r="AS335" s="8"/>
      <c r="AT335" s="8"/>
    </row>
    <row r="336" ht="15.75" customHeight="1">
      <c r="A336" s="22"/>
      <c r="B336" s="8">
        <f t="shared" si="1"/>
        <v>0</v>
      </c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  <c r="AE336" s="8"/>
      <c r="AF336" s="8"/>
      <c r="AG336" s="8"/>
      <c r="AH336" s="8"/>
      <c r="AI336" s="8"/>
      <c r="AJ336" s="8"/>
      <c r="AK336" s="8"/>
      <c r="AL336" s="8"/>
      <c r="AM336" s="8"/>
      <c r="AN336" s="8"/>
      <c r="AO336" s="8"/>
      <c r="AP336" s="8"/>
      <c r="AQ336" s="8"/>
      <c r="AR336" s="8"/>
      <c r="AS336" s="8"/>
      <c r="AT336" s="8"/>
    </row>
    <row r="337" ht="15.75" customHeight="1">
      <c r="A337" s="22"/>
      <c r="B337" s="8">
        <f t="shared" si="1"/>
        <v>0</v>
      </c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  <c r="AE337" s="8"/>
      <c r="AF337" s="8"/>
      <c r="AG337" s="8"/>
      <c r="AH337" s="8"/>
      <c r="AI337" s="8"/>
      <c r="AJ337" s="8"/>
      <c r="AK337" s="8"/>
      <c r="AL337" s="8"/>
      <c r="AM337" s="8"/>
      <c r="AN337" s="8"/>
      <c r="AO337" s="8"/>
      <c r="AP337" s="8"/>
      <c r="AQ337" s="8"/>
      <c r="AR337" s="8"/>
      <c r="AS337" s="8"/>
      <c r="AT337" s="8"/>
    </row>
    <row r="338" ht="15.75" customHeight="1">
      <c r="A338" s="22"/>
      <c r="B338" s="8">
        <f t="shared" si="1"/>
        <v>0</v>
      </c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  <c r="AE338" s="8"/>
      <c r="AF338" s="8"/>
      <c r="AG338" s="8"/>
      <c r="AH338" s="8"/>
      <c r="AI338" s="8"/>
      <c r="AJ338" s="8"/>
      <c r="AK338" s="8"/>
      <c r="AL338" s="8"/>
      <c r="AM338" s="8"/>
      <c r="AN338" s="8"/>
      <c r="AO338" s="8"/>
      <c r="AP338" s="8"/>
      <c r="AQ338" s="8"/>
      <c r="AR338" s="8"/>
      <c r="AS338" s="8"/>
      <c r="AT338" s="8"/>
    </row>
    <row r="339" ht="15.75" customHeight="1">
      <c r="A339" s="22"/>
      <c r="B339" s="8">
        <f t="shared" si="1"/>
        <v>0</v>
      </c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  <c r="AE339" s="8"/>
      <c r="AF339" s="8"/>
      <c r="AG339" s="8"/>
      <c r="AH339" s="8"/>
      <c r="AI339" s="8"/>
      <c r="AJ339" s="8"/>
      <c r="AK339" s="8"/>
      <c r="AL339" s="8"/>
      <c r="AM339" s="8"/>
      <c r="AN339" s="8"/>
      <c r="AO339" s="8"/>
      <c r="AP339" s="8"/>
      <c r="AQ339" s="8"/>
      <c r="AR339" s="8"/>
      <c r="AS339" s="8"/>
      <c r="AT339" s="8"/>
    </row>
    <row r="340" ht="15.75" customHeight="1">
      <c r="A340" s="22"/>
      <c r="B340" s="8">
        <f t="shared" si="1"/>
        <v>0</v>
      </c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  <c r="AE340" s="8"/>
      <c r="AF340" s="8"/>
      <c r="AG340" s="8"/>
      <c r="AH340" s="8"/>
      <c r="AI340" s="8"/>
      <c r="AJ340" s="8"/>
      <c r="AK340" s="8"/>
      <c r="AL340" s="8"/>
      <c r="AM340" s="8"/>
      <c r="AN340" s="8"/>
      <c r="AO340" s="8"/>
      <c r="AP340" s="8"/>
      <c r="AQ340" s="8"/>
      <c r="AR340" s="8"/>
      <c r="AS340" s="8"/>
      <c r="AT340" s="8"/>
    </row>
    <row r="341" ht="15.75" customHeight="1">
      <c r="A341" s="22"/>
      <c r="B341" s="8">
        <f t="shared" si="1"/>
        <v>0</v>
      </c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  <c r="AE341" s="8"/>
      <c r="AF341" s="8"/>
      <c r="AG341" s="8"/>
      <c r="AH341" s="8"/>
      <c r="AI341" s="8"/>
      <c r="AJ341" s="8"/>
      <c r="AK341" s="8"/>
      <c r="AL341" s="8"/>
      <c r="AM341" s="8"/>
      <c r="AN341" s="8"/>
      <c r="AO341" s="8"/>
      <c r="AP341" s="8"/>
      <c r="AQ341" s="8"/>
      <c r="AR341" s="8"/>
      <c r="AS341" s="8"/>
      <c r="AT341" s="8"/>
    </row>
    <row r="342" ht="15.75" customHeight="1">
      <c r="A342" s="22"/>
      <c r="B342" s="8">
        <f t="shared" si="1"/>
        <v>0</v>
      </c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  <c r="AE342" s="8"/>
      <c r="AF342" s="8"/>
      <c r="AG342" s="8"/>
      <c r="AH342" s="8"/>
      <c r="AI342" s="8"/>
      <c r="AJ342" s="8"/>
      <c r="AK342" s="8"/>
      <c r="AL342" s="8"/>
      <c r="AM342" s="8"/>
      <c r="AN342" s="8"/>
      <c r="AO342" s="8"/>
      <c r="AP342" s="8"/>
      <c r="AQ342" s="8"/>
      <c r="AR342" s="8"/>
      <c r="AS342" s="8"/>
      <c r="AT342" s="8"/>
    </row>
    <row r="343" ht="15.75" customHeight="1">
      <c r="A343" s="22"/>
      <c r="B343" s="8">
        <f t="shared" si="1"/>
        <v>0</v>
      </c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  <c r="AE343" s="8"/>
      <c r="AF343" s="8"/>
      <c r="AG343" s="8"/>
      <c r="AH343" s="8"/>
      <c r="AI343" s="8"/>
      <c r="AJ343" s="8"/>
      <c r="AK343" s="8"/>
      <c r="AL343" s="8"/>
      <c r="AM343" s="8"/>
      <c r="AN343" s="8"/>
      <c r="AO343" s="8"/>
      <c r="AP343" s="8"/>
      <c r="AQ343" s="8"/>
      <c r="AR343" s="8"/>
      <c r="AS343" s="8"/>
      <c r="AT343" s="8"/>
    </row>
    <row r="344" ht="15.75" customHeight="1">
      <c r="A344" s="22"/>
      <c r="B344" s="8">
        <f t="shared" si="1"/>
        <v>0</v>
      </c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  <c r="AE344" s="8"/>
      <c r="AF344" s="8"/>
      <c r="AG344" s="8"/>
      <c r="AH344" s="8"/>
      <c r="AI344" s="8"/>
      <c r="AJ344" s="8"/>
      <c r="AK344" s="8"/>
      <c r="AL344" s="8"/>
      <c r="AM344" s="8"/>
      <c r="AN344" s="8"/>
      <c r="AO344" s="8"/>
      <c r="AP344" s="8"/>
      <c r="AQ344" s="8"/>
      <c r="AR344" s="8"/>
      <c r="AS344" s="8"/>
      <c r="AT344" s="8"/>
    </row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5.75"/>
    <col customWidth="1" min="2" max="2" width="18.63"/>
    <col customWidth="1" min="3" max="3" width="14.75"/>
    <col customWidth="1" min="4" max="6" width="9.38"/>
    <col customWidth="1" min="7" max="26" width="8.63"/>
    <col customWidth="1" min="27" max="29" width="10.25"/>
    <col customWidth="1" min="30" max="30" width="8.63"/>
    <col customWidth="1" min="31" max="33" width="10.25"/>
    <col customWidth="1" min="34" max="35" width="8.63"/>
    <col customWidth="1" min="36" max="38" width="10.25"/>
    <col customWidth="1" min="39" max="42" width="8.63"/>
    <col customWidth="1" min="43" max="45" width="10.25"/>
    <col customWidth="1" min="46" max="47" width="9.38"/>
    <col customWidth="1" min="48" max="50" width="10.38"/>
    <col customWidth="1" min="51" max="51" width="8.63"/>
    <col customWidth="1" min="52" max="54" width="10.38"/>
  </cols>
  <sheetData>
    <row r="1">
      <c r="A1" s="1" t="s">
        <v>0</v>
      </c>
      <c r="B1" s="2" t="s">
        <v>1</v>
      </c>
      <c r="C1" s="5">
        <v>46026.0</v>
      </c>
      <c r="D1" s="5">
        <v>46033.0</v>
      </c>
      <c r="E1" s="5">
        <v>46040.0</v>
      </c>
      <c r="F1" s="5">
        <v>46047.0</v>
      </c>
      <c r="G1" s="5">
        <v>46054.0</v>
      </c>
      <c r="H1" s="5">
        <v>46061.0</v>
      </c>
      <c r="I1" s="5">
        <v>46068.0</v>
      </c>
      <c r="J1" s="5">
        <v>46075.0</v>
      </c>
      <c r="K1" s="5">
        <v>46082.0</v>
      </c>
      <c r="L1" s="5">
        <v>46089.0</v>
      </c>
      <c r="M1" s="5">
        <v>46096.0</v>
      </c>
      <c r="N1" s="5">
        <v>46103.0</v>
      </c>
      <c r="O1" s="5">
        <v>46110.0</v>
      </c>
      <c r="P1" s="5">
        <v>46117.0</v>
      </c>
      <c r="Q1" s="5">
        <v>46124.0</v>
      </c>
      <c r="R1" s="5">
        <v>46131.0</v>
      </c>
      <c r="S1" s="5">
        <v>46138.0</v>
      </c>
      <c r="T1" s="5">
        <v>46145.0</v>
      </c>
      <c r="U1" s="5">
        <v>46152.0</v>
      </c>
      <c r="V1" s="5">
        <v>46159.0</v>
      </c>
      <c r="W1" s="5">
        <v>46166.0</v>
      </c>
      <c r="X1" s="5">
        <v>46173.0</v>
      </c>
      <c r="Y1" s="5">
        <v>46180.0</v>
      </c>
      <c r="Z1" s="5">
        <v>46187.0</v>
      </c>
      <c r="AA1" s="5">
        <v>46194.0</v>
      </c>
      <c r="AB1" s="5">
        <v>46201.0</v>
      </c>
      <c r="AC1" s="5">
        <v>46208.0</v>
      </c>
      <c r="AD1" s="5">
        <v>46215.0</v>
      </c>
      <c r="AE1" s="5">
        <v>46222.0</v>
      </c>
      <c r="AF1" s="5">
        <v>46229.0</v>
      </c>
      <c r="AG1" s="5">
        <v>46236.0</v>
      </c>
      <c r="AH1" s="5">
        <v>46243.0</v>
      </c>
      <c r="AI1" s="5">
        <v>46250.0</v>
      </c>
      <c r="AJ1" s="5">
        <v>46257.0</v>
      </c>
      <c r="AK1" s="5">
        <v>46264.0</v>
      </c>
      <c r="AL1" s="5">
        <v>46271.0</v>
      </c>
      <c r="AM1" s="5">
        <v>46278.0</v>
      </c>
      <c r="AN1" s="5">
        <v>46285.0</v>
      </c>
      <c r="AO1" s="5">
        <v>46292.0</v>
      </c>
      <c r="AP1" s="5">
        <v>46299.0</v>
      </c>
      <c r="AQ1" s="5">
        <v>46306.0</v>
      </c>
      <c r="AR1" s="5">
        <v>46313.0</v>
      </c>
      <c r="AS1" s="5">
        <v>46320.0</v>
      </c>
      <c r="AT1" s="5">
        <v>46327.0</v>
      </c>
      <c r="AU1" s="5">
        <v>46334.0</v>
      </c>
      <c r="AV1" s="5">
        <v>46341.0</v>
      </c>
      <c r="AW1" s="5">
        <v>46348.0</v>
      </c>
      <c r="AX1" s="5">
        <v>46355.0</v>
      </c>
      <c r="AY1" s="5">
        <v>46362.0</v>
      </c>
      <c r="AZ1" s="5">
        <v>46369.0</v>
      </c>
      <c r="BA1" s="5">
        <v>46376.0</v>
      </c>
      <c r="BB1" s="5">
        <v>46383.0</v>
      </c>
    </row>
    <row r="2">
      <c r="A2" s="1">
        <v>16.0</v>
      </c>
      <c r="B2" s="7">
        <f>SUM(B3:B317)</f>
        <v>381.25</v>
      </c>
      <c r="C2" s="8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</row>
    <row r="3">
      <c r="A3" s="11" t="s">
        <v>3</v>
      </c>
      <c r="B3" s="8">
        <f t="shared" ref="B3:B29" si="1">SUM(C3:CA3)</f>
        <v>0</v>
      </c>
      <c r="C3" s="8"/>
      <c r="D3" s="8"/>
      <c r="E3" s="8"/>
      <c r="F3" s="8"/>
      <c r="G3" s="8"/>
      <c r="H3" s="20" t="s">
        <v>62</v>
      </c>
      <c r="I3" s="20" t="s">
        <v>312</v>
      </c>
      <c r="J3" s="8"/>
      <c r="K3" s="21" t="s">
        <v>63</v>
      </c>
      <c r="L3" s="8"/>
      <c r="M3" s="8"/>
      <c r="N3" s="20" t="s">
        <v>63</v>
      </c>
      <c r="O3" s="20" t="s">
        <v>63</v>
      </c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  <c r="AQ3" s="20"/>
      <c r="AR3" s="8"/>
      <c r="AS3" s="8"/>
      <c r="AT3" s="8"/>
      <c r="AU3" s="8"/>
      <c r="AV3" s="8"/>
      <c r="AW3" s="8"/>
      <c r="AX3" s="20"/>
      <c r="AY3" s="8"/>
      <c r="AZ3" s="8"/>
      <c r="BA3" s="20"/>
      <c r="BB3" s="8"/>
    </row>
    <row r="4">
      <c r="A4" s="11" t="s">
        <v>6</v>
      </c>
      <c r="B4" s="8">
        <f t="shared" si="1"/>
        <v>0</v>
      </c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8"/>
      <c r="AR4" s="8"/>
      <c r="AS4" s="8"/>
      <c r="AT4" s="8"/>
      <c r="AU4" s="8"/>
      <c r="AV4" s="8"/>
      <c r="AW4" s="8"/>
      <c r="AX4" s="8"/>
      <c r="AY4" s="8"/>
      <c r="AZ4" s="20"/>
      <c r="BA4" s="20"/>
      <c r="BB4" s="8"/>
    </row>
    <row r="5">
      <c r="A5" s="11" t="s">
        <v>7</v>
      </c>
      <c r="B5" s="8">
        <f t="shared" si="1"/>
        <v>2.5</v>
      </c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20">
        <v>2.5</v>
      </c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8"/>
      <c r="AN5" s="8"/>
      <c r="AO5" s="8"/>
      <c r="AP5" s="8"/>
      <c r="AQ5" s="8"/>
      <c r="AR5" s="8"/>
      <c r="AS5" s="8"/>
      <c r="AT5" s="8"/>
      <c r="AU5" s="8"/>
      <c r="AV5" s="8"/>
      <c r="AW5" s="8"/>
      <c r="AX5" s="8"/>
      <c r="AY5" s="8"/>
      <c r="AZ5" s="8"/>
      <c r="BA5" s="8"/>
      <c r="BB5" s="8"/>
    </row>
    <row r="6">
      <c r="A6" s="11" t="s">
        <v>23</v>
      </c>
      <c r="B6" s="8">
        <f t="shared" si="1"/>
        <v>34.25</v>
      </c>
      <c r="C6" s="20">
        <v>2.5</v>
      </c>
      <c r="D6" s="20">
        <v>2.0</v>
      </c>
      <c r="E6" s="21">
        <v>2.75</v>
      </c>
      <c r="F6" s="21">
        <v>1.5</v>
      </c>
      <c r="G6" s="20">
        <v>2.5</v>
      </c>
      <c r="H6" s="20">
        <v>1.75</v>
      </c>
      <c r="I6" s="20">
        <v>1.5</v>
      </c>
      <c r="J6" s="20">
        <v>2.25</v>
      </c>
      <c r="K6" s="21">
        <v>2.5</v>
      </c>
      <c r="L6" s="20">
        <v>2.0</v>
      </c>
      <c r="M6" s="20">
        <v>3.0</v>
      </c>
      <c r="N6" s="20">
        <v>2.5</v>
      </c>
      <c r="O6" s="20">
        <v>2.5</v>
      </c>
      <c r="P6" s="20">
        <v>3.0</v>
      </c>
      <c r="Q6" s="20">
        <v>2.0</v>
      </c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20"/>
      <c r="AR6" s="20"/>
      <c r="AS6" s="20"/>
      <c r="AT6" s="20"/>
      <c r="AU6" s="20"/>
      <c r="AV6" s="8"/>
      <c r="AW6" s="20"/>
      <c r="AX6" s="20"/>
      <c r="AY6" s="21"/>
      <c r="AZ6" s="20"/>
      <c r="BA6" s="20"/>
      <c r="BB6" s="20"/>
    </row>
    <row r="7" ht="15.75" customHeight="1">
      <c r="A7" s="11" t="s">
        <v>48</v>
      </c>
      <c r="B7" s="8">
        <f t="shared" si="1"/>
        <v>30.75</v>
      </c>
      <c r="C7" s="20">
        <v>2.5</v>
      </c>
      <c r="D7" s="20">
        <v>2.0</v>
      </c>
      <c r="E7" s="21">
        <v>3.0</v>
      </c>
      <c r="F7" s="21">
        <v>1.5</v>
      </c>
      <c r="G7" s="20">
        <v>2.75</v>
      </c>
      <c r="H7" s="8"/>
      <c r="I7" s="20">
        <v>2.25</v>
      </c>
      <c r="J7" s="20">
        <v>2.75</v>
      </c>
      <c r="K7" s="21">
        <v>2.5</v>
      </c>
      <c r="L7" s="20">
        <v>2.0</v>
      </c>
      <c r="M7" s="20">
        <v>3.25</v>
      </c>
      <c r="N7" s="8"/>
      <c r="O7" s="20">
        <v>1.25</v>
      </c>
      <c r="P7" s="20">
        <v>3.0</v>
      </c>
      <c r="Q7" s="20">
        <v>2.0</v>
      </c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  <c r="AJ7" s="8"/>
      <c r="AK7" s="8"/>
      <c r="AL7" s="8"/>
      <c r="AM7" s="8"/>
      <c r="AN7" s="8"/>
      <c r="AO7" s="8"/>
      <c r="AP7" s="8"/>
      <c r="AQ7" s="20"/>
      <c r="AR7" s="20"/>
      <c r="AS7" s="20"/>
      <c r="AT7" s="20"/>
      <c r="AU7" s="20"/>
      <c r="AV7" s="21"/>
      <c r="AW7" s="20"/>
      <c r="AX7" s="8"/>
      <c r="AY7" s="21"/>
      <c r="AZ7" s="20"/>
      <c r="BA7" s="8"/>
      <c r="BB7" s="8"/>
    </row>
    <row r="8" ht="15.75" customHeight="1">
      <c r="A8" s="11" t="s">
        <v>245</v>
      </c>
      <c r="B8" s="8">
        <f t="shared" si="1"/>
        <v>28.25</v>
      </c>
      <c r="C8" s="20">
        <v>2.5</v>
      </c>
      <c r="D8" s="20">
        <v>2.0</v>
      </c>
      <c r="E8" s="21">
        <v>3.0</v>
      </c>
      <c r="F8" s="8"/>
      <c r="G8" s="20">
        <v>2.75</v>
      </c>
      <c r="H8" s="20">
        <v>2.0</v>
      </c>
      <c r="I8" s="8"/>
      <c r="J8" s="20">
        <v>2.75</v>
      </c>
      <c r="K8" s="21">
        <v>2.5</v>
      </c>
      <c r="L8" s="8"/>
      <c r="M8" s="20">
        <v>3.25</v>
      </c>
      <c r="N8" s="20">
        <v>2.5</v>
      </c>
      <c r="O8" s="8"/>
      <c r="P8" s="20">
        <v>3.0</v>
      </c>
      <c r="Q8" s="20">
        <v>2.0</v>
      </c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  <c r="AO8" s="8"/>
      <c r="AP8" s="8"/>
      <c r="AQ8" s="20"/>
      <c r="AR8" s="20"/>
      <c r="AS8" s="8"/>
      <c r="AT8" s="8"/>
      <c r="AU8" s="8"/>
      <c r="AV8" s="21"/>
      <c r="AW8" s="20"/>
      <c r="AX8" s="20"/>
      <c r="AY8" s="21"/>
      <c r="AZ8" s="20"/>
      <c r="BA8" s="20"/>
      <c r="BB8" s="20"/>
    </row>
    <row r="9">
      <c r="A9" s="11" t="s">
        <v>51</v>
      </c>
      <c r="B9" s="8">
        <f t="shared" si="1"/>
        <v>7.25</v>
      </c>
      <c r="C9" s="20">
        <v>2.5</v>
      </c>
      <c r="D9" s="20">
        <v>2.0</v>
      </c>
      <c r="E9" s="8"/>
      <c r="F9" s="21">
        <v>1.25</v>
      </c>
      <c r="G9" s="8"/>
      <c r="H9" s="8"/>
      <c r="I9" s="8"/>
      <c r="J9" s="20">
        <v>1.5</v>
      </c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8"/>
      <c r="AM9" s="8"/>
      <c r="AN9" s="8"/>
      <c r="AO9" s="8"/>
      <c r="AP9" s="8"/>
      <c r="AQ9" s="8"/>
      <c r="AR9" s="8"/>
      <c r="AS9" s="8"/>
      <c r="AT9" s="8"/>
      <c r="AU9" s="8"/>
      <c r="AV9" s="8"/>
      <c r="AW9" s="8"/>
      <c r="AX9" s="8"/>
      <c r="AY9" s="8"/>
      <c r="AZ9" s="20"/>
      <c r="BA9" s="8"/>
      <c r="BB9" s="8"/>
    </row>
    <row r="10">
      <c r="A10" s="11" t="s">
        <v>13</v>
      </c>
      <c r="B10" s="8">
        <f t="shared" si="1"/>
        <v>0</v>
      </c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  <c r="AJ10" s="8"/>
      <c r="AK10" s="8"/>
      <c r="AL10" s="8"/>
      <c r="AM10" s="8"/>
      <c r="AN10" s="8"/>
      <c r="AO10" s="8"/>
      <c r="AP10" s="8"/>
      <c r="AQ10" s="8"/>
      <c r="AR10" s="8"/>
      <c r="AS10" s="8"/>
      <c r="AT10" s="8"/>
      <c r="AU10" s="8"/>
      <c r="AV10" s="8"/>
      <c r="AW10" s="8"/>
      <c r="AX10" s="8"/>
      <c r="AY10" s="8"/>
      <c r="AZ10" s="8"/>
      <c r="BA10" s="8"/>
      <c r="BB10" s="8"/>
    </row>
    <row r="11">
      <c r="A11" s="11" t="s">
        <v>55</v>
      </c>
      <c r="B11" s="8">
        <f t="shared" si="1"/>
        <v>0</v>
      </c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  <c r="AN11" s="8"/>
      <c r="AO11" s="8"/>
      <c r="AP11" s="8"/>
      <c r="AQ11" s="8"/>
      <c r="AR11" s="8"/>
      <c r="AS11" s="8"/>
      <c r="AT11" s="8"/>
      <c r="AU11" s="8"/>
      <c r="AV11" s="8"/>
      <c r="AW11" s="8"/>
      <c r="AX11" s="8"/>
      <c r="AY11" s="8"/>
      <c r="AZ11" s="8"/>
      <c r="BA11" s="8"/>
      <c r="BB11" s="8"/>
    </row>
    <row r="12">
      <c r="A12" s="11" t="s">
        <v>17</v>
      </c>
      <c r="B12" s="8">
        <f t="shared" si="1"/>
        <v>0</v>
      </c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  <c r="AO12" s="8"/>
      <c r="AP12" s="8"/>
      <c r="AQ12" s="8"/>
      <c r="AR12" s="8"/>
      <c r="AS12" s="8"/>
      <c r="AT12" s="8"/>
      <c r="AU12" s="8"/>
      <c r="AV12" s="8"/>
      <c r="AW12" s="8"/>
      <c r="AX12" s="8"/>
      <c r="AY12" s="8"/>
      <c r="AZ12" s="8"/>
      <c r="BA12" s="8"/>
      <c r="BB12" s="8"/>
    </row>
    <row r="13">
      <c r="A13" s="11" t="s">
        <v>64</v>
      </c>
      <c r="B13" s="8">
        <f t="shared" si="1"/>
        <v>0</v>
      </c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</row>
    <row r="14">
      <c r="A14" s="11" t="s">
        <v>65</v>
      </c>
      <c r="B14" s="8">
        <f t="shared" si="1"/>
        <v>0</v>
      </c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8"/>
      <c r="AW14" s="8"/>
      <c r="AX14" s="8"/>
      <c r="AY14" s="8"/>
      <c r="AZ14" s="8"/>
      <c r="BA14" s="8"/>
      <c r="BB14" s="8"/>
    </row>
    <row r="15">
      <c r="A15" s="11" t="s">
        <v>66</v>
      </c>
      <c r="B15" s="8">
        <f t="shared" si="1"/>
        <v>0</v>
      </c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  <c r="AO15" s="8"/>
      <c r="AP15" s="8"/>
      <c r="AQ15" s="8"/>
      <c r="AR15" s="8"/>
      <c r="AS15" s="8"/>
      <c r="AT15" s="8"/>
      <c r="AU15" s="8"/>
      <c r="AV15" s="8"/>
      <c r="AW15" s="8"/>
      <c r="AX15" s="8"/>
      <c r="AY15" s="8"/>
      <c r="AZ15" s="8"/>
      <c r="BA15" s="8"/>
      <c r="BB15" s="8"/>
    </row>
    <row r="16">
      <c r="A16" s="11" t="s">
        <v>24</v>
      </c>
      <c r="B16" s="8">
        <f t="shared" si="1"/>
        <v>0</v>
      </c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</row>
    <row r="17">
      <c r="A17" s="11" t="s">
        <v>33</v>
      </c>
      <c r="B17" s="8">
        <f t="shared" si="1"/>
        <v>0</v>
      </c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  <c r="AL17" s="8"/>
      <c r="AM17" s="8"/>
      <c r="AN17" s="8"/>
      <c r="AO17" s="8"/>
      <c r="AP17" s="8"/>
      <c r="AQ17" s="8"/>
      <c r="AR17" s="8"/>
      <c r="AS17" s="8"/>
      <c r="AT17" s="8"/>
      <c r="AU17" s="8"/>
      <c r="AV17" s="8"/>
      <c r="AW17" s="8"/>
      <c r="AX17" s="8"/>
      <c r="AY17" s="8"/>
      <c r="AZ17" s="8"/>
      <c r="BA17" s="8"/>
      <c r="BB17" s="8"/>
    </row>
    <row r="18">
      <c r="A18" s="11" t="s">
        <v>61</v>
      </c>
      <c r="B18" s="8">
        <f t="shared" si="1"/>
        <v>0</v>
      </c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/>
    </row>
    <row r="19">
      <c r="A19" s="11" t="s">
        <v>67</v>
      </c>
      <c r="B19" s="8">
        <f t="shared" si="1"/>
        <v>0</v>
      </c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S19" s="8"/>
      <c r="AT19" s="8"/>
      <c r="AU19" s="8"/>
      <c r="AV19" s="8"/>
      <c r="AW19" s="8"/>
      <c r="AX19" s="8"/>
      <c r="AY19" s="8"/>
      <c r="AZ19" s="8"/>
      <c r="BA19" s="8"/>
      <c r="BB19" s="8"/>
    </row>
    <row r="20">
      <c r="A20" s="11" t="s">
        <v>68</v>
      </c>
      <c r="B20" s="8">
        <f t="shared" si="1"/>
        <v>0</v>
      </c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  <c r="AO20" s="8"/>
      <c r="AP20" s="8"/>
      <c r="AQ20" s="8"/>
      <c r="AR20" s="8"/>
      <c r="AS20" s="8"/>
      <c r="AT20" s="8"/>
      <c r="AU20" s="8"/>
      <c r="AV20" s="8"/>
      <c r="AW20" s="8"/>
      <c r="AX20" s="8"/>
      <c r="AY20" s="8"/>
      <c r="AZ20" s="8"/>
      <c r="BA20" s="8"/>
      <c r="BB20" s="8"/>
    </row>
    <row r="21">
      <c r="A21" s="11" t="s">
        <v>69</v>
      </c>
      <c r="B21" s="8">
        <f t="shared" si="1"/>
        <v>0</v>
      </c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  <c r="AJ21" s="8"/>
      <c r="AK21" s="8"/>
      <c r="AL21" s="8"/>
      <c r="AM21" s="8"/>
      <c r="AN21" s="8"/>
      <c r="AO21" s="8"/>
      <c r="AP21" s="8"/>
      <c r="AQ21" s="8"/>
      <c r="AR21" s="8"/>
      <c r="AS21" s="8"/>
      <c r="AT21" s="8"/>
      <c r="AU21" s="8"/>
      <c r="AV21" s="8"/>
      <c r="AW21" s="8"/>
      <c r="AX21" s="8"/>
      <c r="AY21" s="8"/>
      <c r="AZ21" s="8"/>
      <c r="BA21" s="8"/>
      <c r="BB21" s="8"/>
    </row>
    <row r="22">
      <c r="A22" s="11" t="s">
        <v>70</v>
      </c>
      <c r="B22" s="8">
        <f t="shared" si="1"/>
        <v>0</v>
      </c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</row>
    <row r="23" ht="15.75" customHeight="1">
      <c r="A23" s="11" t="s">
        <v>52</v>
      </c>
      <c r="B23" s="8">
        <f t="shared" si="1"/>
        <v>0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  <c r="AJ23" s="8"/>
      <c r="AK23" s="8"/>
      <c r="AL23" s="8"/>
      <c r="AM23" s="8"/>
      <c r="AN23" s="8"/>
      <c r="AO23" s="8"/>
      <c r="AP23" s="8"/>
      <c r="AQ23" s="8"/>
      <c r="AR23" s="8"/>
      <c r="AS23" s="8"/>
      <c r="AT23" s="8"/>
      <c r="AU23" s="8"/>
      <c r="AV23" s="8"/>
      <c r="AW23" s="8"/>
      <c r="AX23" s="8"/>
      <c r="AY23" s="8"/>
      <c r="AZ23" s="8"/>
      <c r="BA23" s="8"/>
      <c r="BB23" s="8"/>
    </row>
    <row r="24" ht="15.75" customHeight="1">
      <c r="A24" s="11" t="s">
        <v>16</v>
      </c>
      <c r="B24" s="8">
        <f t="shared" si="1"/>
        <v>0</v>
      </c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  <c r="AO24" s="8"/>
      <c r="AP24" s="8"/>
      <c r="AQ24" s="8"/>
      <c r="AR24" s="8"/>
      <c r="AS24" s="8"/>
      <c r="AT24" s="8"/>
      <c r="AU24" s="8"/>
      <c r="AV24" s="8"/>
      <c r="AW24" s="8"/>
      <c r="AX24" s="8"/>
      <c r="AY24" s="8"/>
      <c r="AZ24" s="8"/>
      <c r="BA24" s="8"/>
      <c r="BB24" s="8"/>
    </row>
    <row r="25" ht="15.75" customHeight="1">
      <c r="A25" s="11" t="s">
        <v>46</v>
      </c>
      <c r="B25" s="8">
        <f t="shared" si="1"/>
        <v>0</v>
      </c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  <c r="AT25" s="8"/>
      <c r="AU25" s="8"/>
      <c r="AV25" s="8"/>
      <c r="AW25" s="8"/>
      <c r="AX25" s="8"/>
      <c r="AY25" s="8"/>
      <c r="AZ25" s="8"/>
      <c r="BA25" s="8"/>
      <c r="BB25" s="8"/>
    </row>
    <row r="26" ht="15.75" customHeight="1">
      <c r="A26" s="11" t="s">
        <v>71</v>
      </c>
      <c r="B26" s="8">
        <f t="shared" si="1"/>
        <v>0</v>
      </c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8"/>
      <c r="AJ26" s="8"/>
      <c r="AK26" s="8"/>
      <c r="AL26" s="8"/>
      <c r="AM26" s="8"/>
      <c r="AN26" s="8"/>
      <c r="AO26" s="8"/>
      <c r="AP26" s="8"/>
      <c r="AQ26" s="8"/>
      <c r="AR26" s="8"/>
      <c r="AS26" s="8"/>
      <c r="AT26" s="8"/>
      <c r="AU26" s="8"/>
      <c r="AV26" s="8"/>
      <c r="AW26" s="8"/>
      <c r="AX26" s="8"/>
      <c r="AY26" s="8"/>
      <c r="AZ26" s="8"/>
      <c r="BA26" s="8"/>
      <c r="BB26" s="8"/>
    </row>
    <row r="27" ht="15.75" customHeight="1">
      <c r="A27" s="11" t="s">
        <v>72</v>
      </c>
      <c r="B27" s="8">
        <f t="shared" si="1"/>
        <v>0</v>
      </c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I27" s="8"/>
      <c r="AJ27" s="8"/>
      <c r="AK27" s="8"/>
      <c r="AL27" s="8"/>
      <c r="AM27" s="8"/>
      <c r="AN27" s="8"/>
      <c r="AO27" s="8"/>
      <c r="AP27" s="8"/>
      <c r="AQ27" s="8"/>
      <c r="AR27" s="8"/>
      <c r="AS27" s="8"/>
      <c r="AT27" s="8"/>
      <c r="AU27" s="8"/>
      <c r="AV27" s="8"/>
      <c r="AW27" s="8"/>
      <c r="AX27" s="8"/>
      <c r="AY27" s="8"/>
      <c r="AZ27" s="8"/>
      <c r="BA27" s="8"/>
      <c r="BB27" s="8"/>
    </row>
    <row r="28" ht="15.75" customHeight="1">
      <c r="A28" s="11" t="s">
        <v>41</v>
      </c>
      <c r="B28" s="8">
        <f t="shared" si="1"/>
        <v>0</v>
      </c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8"/>
      <c r="AK28" s="8"/>
      <c r="AL28" s="8"/>
      <c r="AM28" s="8"/>
      <c r="AN28" s="8"/>
      <c r="AO28" s="8"/>
      <c r="AP28" s="8"/>
      <c r="AQ28" s="8"/>
      <c r="AR28" s="8"/>
      <c r="AS28" s="8"/>
      <c r="AT28" s="8"/>
      <c r="AU28" s="8"/>
      <c r="AV28" s="8"/>
      <c r="AW28" s="8"/>
      <c r="AX28" s="8"/>
      <c r="AY28" s="8"/>
      <c r="AZ28" s="8"/>
      <c r="BA28" s="8"/>
      <c r="BB28" s="8"/>
    </row>
    <row r="29" ht="15.75" customHeight="1">
      <c r="A29" s="11" t="s">
        <v>40</v>
      </c>
      <c r="B29" s="8">
        <f t="shared" si="1"/>
        <v>0</v>
      </c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8"/>
      <c r="AJ29" s="8"/>
      <c r="AK29" s="8"/>
      <c r="AL29" s="8"/>
      <c r="AM29" s="8"/>
      <c r="AN29" s="8"/>
      <c r="AO29" s="8"/>
      <c r="AP29" s="8"/>
      <c r="AQ29" s="8"/>
      <c r="AR29" s="8"/>
      <c r="AS29" s="8"/>
      <c r="AT29" s="8"/>
      <c r="AU29" s="8"/>
      <c r="AV29" s="8"/>
      <c r="AW29" s="8"/>
      <c r="AX29" s="8"/>
      <c r="AY29" s="8"/>
      <c r="AZ29" s="8"/>
      <c r="BA29" s="8"/>
      <c r="BB29" s="8"/>
    </row>
    <row r="30" ht="15.75" customHeight="1">
      <c r="A30" s="11" t="s">
        <v>237</v>
      </c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  <c r="AJ30" s="8"/>
      <c r="AK30" s="8"/>
      <c r="AL30" s="8"/>
      <c r="AM30" s="8"/>
      <c r="AN30" s="8"/>
      <c r="AO30" s="8"/>
      <c r="AP30" s="8"/>
      <c r="AQ30" s="8"/>
      <c r="AR30" s="8"/>
      <c r="AS30" s="8"/>
      <c r="AT30" s="8"/>
      <c r="AU30" s="8"/>
      <c r="AV30" s="8"/>
      <c r="AW30" s="8"/>
      <c r="AX30" s="8"/>
      <c r="AY30" s="8"/>
      <c r="AZ30" s="8"/>
      <c r="BA30" s="8"/>
      <c r="BB30" s="8"/>
    </row>
    <row r="31" ht="15.75" customHeight="1">
      <c r="A31" s="11" t="s">
        <v>10</v>
      </c>
      <c r="B31" s="8">
        <f t="shared" ref="B31:B251" si="2">SUM(C31:CA31)</f>
        <v>8.25</v>
      </c>
      <c r="C31" s="8"/>
      <c r="D31" s="20">
        <v>2.0</v>
      </c>
      <c r="E31" s="8"/>
      <c r="F31" s="8"/>
      <c r="G31" s="20">
        <v>2.75</v>
      </c>
      <c r="H31" s="8"/>
      <c r="I31" s="8"/>
      <c r="J31" s="8"/>
      <c r="K31" s="21">
        <v>2.5</v>
      </c>
      <c r="L31" s="8"/>
      <c r="M31" s="8"/>
      <c r="N31" s="8"/>
      <c r="O31" s="8"/>
      <c r="P31" s="20">
        <v>1.0</v>
      </c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  <c r="AO31" s="8"/>
      <c r="AP31" s="8"/>
      <c r="AQ31" s="8"/>
      <c r="AR31" s="8"/>
      <c r="AS31" s="8"/>
      <c r="AT31" s="8"/>
      <c r="AU31" s="8"/>
      <c r="AV31" s="8"/>
      <c r="AW31" s="8"/>
      <c r="AX31" s="20"/>
      <c r="AY31" s="8"/>
      <c r="AZ31" s="8"/>
      <c r="BA31" s="20"/>
      <c r="BB31" s="8"/>
    </row>
    <row r="32" ht="15.75" customHeight="1">
      <c r="A32" s="11" t="s">
        <v>9</v>
      </c>
      <c r="B32" s="8">
        <f t="shared" si="2"/>
        <v>0</v>
      </c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  <c r="AO32" s="8"/>
      <c r="AP32" s="8"/>
      <c r="AQ32" s="8"/>
      <c r="AR32" s="8"/>
      <c r="AS32" s="8"/>
      <c r="AT32" s="8"/>
      <c r="AU32" s="8"/>
      <c r="AV32" s="8"/>
      <c r="AW32" s="8"/>
      <c r="AX32" s="8"/>
      <c r="AY32" s="8"/>
      <c r="AZ32" s="8"/>
      <c r="BA32" s="8"/>
      <c r="BB32" s="8"/>
    </row>
    <row r="33" ht="15.75" customHeight="1">
      <c r="A33" s="11" t="s">
        <v>73</v>
      </c>
      <c r="B33" s="8">
        <f t="shared" si="2"/>
        <v>2.5</v>
      </c>
      <c r="C33" s="8"/>
      <c r="D33" s="8"/>
      <c r="E33" s="8"/>
      <c r="F33" s="8"/>
      <c r="G33" s="8"/>
      <c r="H33" s="8"/>
      <c r="I33" s="8"/>
      <c r="J33" s="8"/>
      <c r="K33" s="21">
        <v>2.5</v>
      </c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  <c r="AL33" s="8"/>
      <c r="AM33" s="8"/>
      <c r="AN33" s="8"/>
      <c r="AO33" s="8"/>
      <c r="AP33" s="8"/>
      <c r="AQ33" s="8"/>
      <c r="AR33" s="8"/>
      <c r="AS33" s="8"/>
      <c r="AT33" s="8"/>
      <c r="AU33" s="8"/>
      <c r="AV33" s="8"/>
      <c r="AW33" s="8"/>
      <c r="AX33" s="8"/>
      <c r="AY33" s="8"/>
      <c r="AZ33" s="8"/>
      <c r="BA33" s="8"/>
      <c r="BB33" s="8"/>
    </row>
    <row r="34" ht="15.75" customHeight="1">
      <c r="A34" s="11" t="s">
        <v>31</v>
      </c>
      <c r="B34" s="8">
        <f t="shared" si="2"/>
        <v>0</v>
      </c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8"/>
      <c r="AJ34" s="8"/>
      <c r="AK34" s="8"/>
      <c r="AL34" s="8"/>
      <c r="AM34" s="8"/>
      <c r="AN34" s="8"/>
      <c r="AO34" s="8"/>
      <c r="AP34" s="8"/>
      <c r="AQ34" s="8"/>
      <c r="AR34" s="8"/>
      <c r="AS34" s="8"/>
      <c r="AT34" s="8"/>
      <c r="AU34" s="8"/>
      <c r="AV34" s="8"/>
      <c r="AW34" s="8"/>
      <c r="AX34" s="8"/>
      <c r="AY34" s="8"/>
      <c r="AZ34" s="8"/>
      <c r="BA34" s="8"/>
      <c r="BB34" s="8"/>
    </row>
    <row r="35" ht="15.75" customHeight="1">
      <c r="A35" s="11" t="s">
        <v>74</v>
      </c>
      <c r="B35" s="8">
        <f t="shared" si="2"/>
        <v>0</v>
      </c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8"/>
      <c r="AH35" s="8"/>
      <c r="AI35" s="8"/>
      <c r="AJ35" s="8"/>
      <c r="AK35" s="8"/>
      <c r="AL35" s="8"/>
      <c r="AM35" s="8"/>
      <c r="AN35" s="8"/>
      <c r="AO35" s="8"/>
      <c r="AP35" s="8"/>
      <c r="AQ35" s="8"/>
      <c r="AR35" s="8"/>
      <c r="AS35" s="8"/>
      <c r="AT35" s="8"/>
      <c r="AU35" s="8"/>
      <c r="AV35" s="8"/>
      <c r="AW35" s="8"/>
      <c r="AX35" s="8"/>
      <c r="AY35" s="8"/>
      <c r="AZ35" s="8"/>
      <c r="BA35" s="8"/>
      <c r="BB35" s="8"/>
    </row>
    <row r="36" ht="15.75" customHeight="1">
      <c r="A36" s="11" t="s">
        <v>75</v>
      </c>
      <c r="B36" s="8">
        <f t="shared" si="2"/>
        <v>0</v>
      </c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  <c r="AI36" s="8"/>
      <c r="AJ36" s="8"/>
      <c r="AK36" s="8"/>
      <c r="AL36" s="8"/>
      <c r="AM36" s="8"/>
      <c r="AN36" s="8"/>
      <c r="AO36" s="8"/>
      <c r="AP36" s="8"/>
      <c r="AQ36" s="8"/>
      <c r="AR36" s="8"/>
      <c r="AS36" s="8"/>
      <c r="AT36" s="8"/>
      <c r="AU36" s="8"/>
      <c r="AV36" s="8"/>
      <c r="AW36" s="8"/>
      <c r="AX36" s="8"/>
      <c r="AY36" s="8"/>
      <c r="AZ36" s="8"/>
      <c r="BA36" s="8"/>
      <c r="BB36" s="8"/>
    </row>
    <row r="37" ht="15.75" customHeight="1">
      <c r="A37" s="11" t="s">
        <v>15</v>
      </c>
      <c r="B37" s="8">
        <f t="shared" si="2"/>
        <v>2</v>
      </c>
      <c r="C37" s="8"/>
      <c r="D37" s="8"/>
      <c r="E37" s="8"/>
      <c r="F37" s="8"/>
      <c r="G37" s="8"/>
      <c r="H37" s="8"/>
      <c r="I37" s="8"/>
      <c r="J37" s="8"/>
      <c r="K37" s="8"/>
      <c r="L37" s="20">
        <v>2.0</v>
      </c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I37" s="8"/>
      <c r="AJ37" s="8"/>
      <c r="AK37" s="8"/>
      <c r="AL37" s="8"/>
      <c r="AM37" s="8"/>
      <c r="AN37" s="8"/>
      <c r="AO37" s="8"/>
      <c r="AP37" s="8"/>
      <c r="AQ37" s="8"/>
      <c r="AR37" s="8"/>
      <c r="AS37" s="8"/>
      <c r="AT37" s="8"/>
      <c r="AU37" s="8"/>
      <c r="AV37" s="8"/>
      <c r="AW37" s="8"/>
      <c r="AX37" s="8"/>
      <c r="AY37" s="8"/>
      <c r="AZ37" s="8"/>
      <c r="BA37" s="8"/>
      <c r="BB37" s="8"/>
    </row>
    <row r="38" ht="15.75" customHeight="1">
      <c r="A38" s="11" t="s">
        <v>12</v>
      </c>
      <c r="B38" s="8">
        <f t="shared" si="2"/>
        <v>2</v>
      </c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20">
        <v>2.0</v>
      </c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I38" s="8"/>
      <c r="AJ38" s="8"/>
      <c r="AK38" s="8"/>
      <c r="AL38" s="8"/>
      <c r="AM38" s="8"/>
      <c r="AN38" s="8"/>
      <c r="AO38" s="8"/>
      <c r="AP38" s="8"/>
      <c r="AQ38" s="8"/>
      <c r="AR38" s="8"/>
      <c r="AS38" s="8"/>
      <c r="AT38" s="8"/>
      <c r="AU38" s="20"/>
      <c r="AV38" s="8"/>
      <c r="AW38" s="8"/>
      <c r="AX38" s="8"/>
      <c r="AY38" s="8"/>
      <c r="AZ38" s="8"/>
      <c r="BA38" s="8"/>
      <c r="BB38" s="8"/>
    </row>
    <row r="39" ht="15.75" customHeight="1">
      <c r="A39" s="11" t="s">
        <v>76</v>
      </c>
      <c r="B39" s="8">
        <f t="shared" si="2"/>
        <v>0</v>
      </c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  <c r="AF39" s="8"/>
      <c r="AG39" s="8"/>
      <c r="AH39" s="8"/>
      <c r="AI39" s="8"/>
      <c r="AJ39" s="8"/>
      <c r="AK39" s="8"/>
      <c r="AL39" s="8"/>
      <c r="AM39" s="8"/>
      <c r="AN39" s="8"/>
      <c r="AO39" s="8"/>
      <c r="AP39" s="8"/>
      <c r="AQ39" s="8"/>
      <c r="AR39" s="8"/>
      <c r="AS39" s="8"/>
      <c r="AT39" s="8"/>
      <c r="AU39" s="8"/>
      <c r="AV39" s="8"/>
      <c r="AW39" s="8"/>
      <c r="AX39" s="8"/>
      <c r="AY39" s="8"/>
      <c r="AZ39" s="8"/>
      <c r="BA39" s="8"/>
      <c r="BB39" s="8"/>
    </row>
    <row r="40" ht="15.75" customHeight="1">
      <c r="A40" s="11" t="s">
        <v>77</v>
      </c>
      <c r="B40" s="8">
        <f t="shared" si="2"/>
        <v>0</v>
      </c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8"/>
      <c r="AG40" s="8"/>
      <c r="AH40" s="8"/>
      <c r="AI40" s="8"/>
      <c r="AJ40" s="8"/>
      <c r="AK40" s="8"/>
      <c r="AL40" s="8"/>
      <c r="AM40" s="8"/>
      <c r="AN40" s="8"/>
      <c r="AO40" s="8"/>
      <c r="AP40" s="8"/>
      <c r="AQ40" s="8"/>
      <c r="AR40" s="8"/>
      <c r="AS40" s="8"/>
      <c r="AT40" s="8"/>
      <c r="AU40" s="8"/>
      <c r="AV40" s="8"/>
      <c r="AW40" s="8"/>
      <c r="AX40" s="8"/>
      <c r="AY40" s="8"/>
      <c r="AZ40" s="8"/>
      <c r="BA40" s="8"/>
      <c r="BB40" s="8"/>
    </row>
    <row r="41" ht="15.75" customHeight="1">
      <c r="A41" s="11" t="s">
        <v>78</v>
      </c>
      <c r="B41" s="8">
        <f t="shared" si="2"/>
        <v>0</v>
      </c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I41" s="8"/>
      <c r="AJ41" s="8"/>
      <c r="AK41" s="8"/>
      <c r="AL41" s="8"/>
      <c r="AM41" s="8"/>
      <c r="AN41" s="8"/>
      <c r="AO41" s="8"/>
      <c r="AP41" s="8"/>
      <c r="AQ41" s="8"/>
      <c r="AR41" s="20"/>
      <c r="AS41" s="8"/>
      <c r="AT41" s="8"/>
      <c r="AU41" s="8"/>
      <c r="AV41" s="8"/>
      <c r="AW41" s="8"/>
      <c r="AX41" s="8"/>
      <c r="AY41" s="8"/>
      <c r="AZ41" s="8"/>
      <c r="BA41" s="8"/>
      <c r="BB41" s="8"/>
    </row>
    <row r="42" ht="15.75" customHeight="1">
      <c r="A42" s="11" t="s">
        <v>79</v>
      </c>
      <c r="B42" s="8">
        <f t="shared" si="2"/>
        <v>0</v>
      </c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I42" s="8"/>
      <c r="AJ42" s="8"/>
      <c r="AK42" s="8"/>
      <c r="AL42" s="8"/>
      <c r="AM42" s="8"/>
      <c r="AN42" s="8"/>
      <c r="AO42" s="8"/>
      <c r="AP42" s="8"/>
      <c r="AQ42" s="8"/>
      <c r="AR42" s="8"/>
      <c r="AS42" s="8"/>
      <c r="AT42" s="8"/>
      <c r="AU42" s="8"/>
      <c r="AV42" s="8"/>
      <c r="AW42" s="8"/>
      <c r="AX42" s="8"/>
      <c r="AY42" s="8"/>
      <c r="AZ42" s="8"/>
      <c r="BA42" s="8"/>
      <c r="BB42" s="8"/>
    </row>
    <row r="43" ht="15.75" customHeight="1">
      <c r="A43" s="11" t="s">
        <v>80</v>
      </c>
      <c r="B43" s="8">
        <f t="shared" si="2"/>
        <v>0</v>
      </c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8"/>
      <c r="AH43" s="8"/>
      <c r="AI43" s="8"/>
      <c r="AJ43" s="8"/>
      <c r="AK43" s="8"/>
      <c r="AL43" s="8"/>
      <c r="AM43" s="8"/>
      <c r="AN43" s="8"/>
      <c r="AO43" s="8"/>
      <c r="AP43" s="8"/>
      <c r="AQ43" s="8"/>
      <c r="AR43" s="8"/>
      <c r="AS43" s="8"/>
      <c r="AT43" s="8"/>
      <c r="AU43" s="8"/>
      <c r="AV43" s="8"/>
      <c r="AW43" s="8"/>
      <c r="AX43" s="8"/>
      <c r="AY43" s="8"/>
      <c r="AZ43" s="8"/>
      <c r="BA43" s="8"/>
      <c r="BB43" s="8"/>
    </row>
    <row r="44" ht="15.75" customHeight="1">
      <c r="A44" s="11" t="s">
        <v>81</v>
      </c>
      <c r="B44" s="8">
        <f t="shared" si="2"/>
        <v>0</v>
      </c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8"/>
      <c r="AJ44" s="8"/>
      <c r="AK44" s="8"/>
      <c r="AL44" s="8"/>
      <c r="AM44" s="8"/>
      <c r="AN44" s="8"/>
      <c r="AO44" s="8"/>
      <c r="AP44" s="8"/>
      <c r="AQ44" s="8"/>
      <c r="AR44" s="8"/>
      <c r="AS44" s="8"/>
      <c r="AT44" s="8"/>
      <c r="AU44" s="8"/>
      <c r="AV44" s="8"/>
      <c r="AW44" s="8"/>
      <c r="AX44" s="8"/>
      <c r="AY44" s="8"/>
      <c r="AZ44" s="8"/>
      <c r="BA44" s="8"/>
      <c r="BB44" s="8"/>
    </row>
    <row r="45" ht="15.75" customHeight="1">
      <c r="A45" s="11" t="s">
        <v>82</v>
      </c>
      <c r="B45" s="8">
        <f t="shared" si="2"/>
        <v>0</v>
      </c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8"/>
      <c r="AJ45" s="8"/>
      <c r="AK45" s="8"/>
      <c r="AL45" s="8"/>
      <c r="AM45" s="8"/>
      <c r="AN45" s="8"/>
      <c r="AO45" s="8"/>
      <c r="AP45" s="8"/>
      <c r="AQ45" s="8"/>
      <c r="AR45" s="8"/>
      <c r="AS45" s="8"/>
      <c r="AT45" s="8"/>
      <c r="AU45" s="8"/>
      <c r="AV45" s="8"/>
      <c r="AW45" s="8"/>
      <c r="AX45" s="8"/>
      <c r="AY45" s="8"/>
      <c r="AZ45" s="8"/>
      <c r="BA45" s="8"/>
      <c r="BB45" s="8"/>
    </row>
    <row r="46" ht="15.75" customHeight="1">
      <c r="A46" s="11" t="s">
        <v>238</v>
      </c>
      <c r="B46" s="8">
        <f t="shared" si="2"/>
        <v>0</v>
      </c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8"/>
      <c r="AJ46" s="8"/>
      <c r="AK46" s="8"/>
      <c r="AL46" s="8"/>
      <c r="AM46" s="8"/>
      <c r="AN46" s="8"/>
      <c r="AO46" s="8"/>
      <c r="AP46" s="8"/>
      <c r="AQ46" s="8"/>
      <c r="AR46" s="8"/>
      <c r="AS46" s="8"/>
      <c r="AT46" s="8"/>
      <c r="AU46" s="8"/>
      <c r="AV46" s="8"/>
      <c r="AW46" s="8"/>
      <c r="AX46" s="8"/>
      <c r="AY46" s="8"/>
      <c r="AZ46" s="8"/>
      <c r="BA46" s="8"/>
      <c r="BB46" s="8"/>
    </row>
    <row r="47" ht="15.75" customHeight="1">
      <c r="A47" s="11" t="s">
        <v>96</v>
      </c>
      <c r="B47" s="8">
        <f t="shared" si="2"/>
        <v>0</v>
      </c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8"/>
      <c r="AJ47" s="8"/>
      <c r="AK47" s="8"/>
      <c r="AL47" s="8"/>
      <c r="AM47" s="8"/>
      <c r="AN47" s="8"/>
      <c r="AO47" s="8"/>
      <c r="AP47" s="8"/>
      <c r="AQ47" s="8"/>
      <c r="AR47" s="8"/>
      <c r="AS47" s="8"/>
      <c r="AT47" s="20"/>
      <c r="AU47" s="8"/>
      <c r="AV47" s="8"/>
      <c r="AW47" s="8"/>
      <c r="AX47" s="8"/>
      <c r="AY47" s="8"/>
      <c r="AZ47" s="8"/>
      <c r="BA47" s="8"/>
      <c r="BB47" s="8"/>
    </row>
    <row r="48" ht="15.75" customHeight="1">
      <c r="A48" s="11" t="s">
        <v>239</v>
      </c>
      <c r="B48" s="8">
        <f t="shared" si="2"/>
        <v>0</v>
      </c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  <c r="AE48" s="8"/>
      <c r="AF48" s="8"/>
      <c r="AG48" s="8"/>
      <c r="AH48" s="8"/>
      <c r="AI48" s="8"/>
      <c r="AJ48" s="8"/>
      <c r="AK48" s="8"/>
      <c r="AL48" s="8"/>
      <c r="AM48" s="8"/>
      <c r="AN48" s="8"/>
      <c r="AO48" s="8"/>
      <c r="AP48" s="8"/>
      <c r="AQ48" s="8"/>
      <c r="AR48" s="8"/>
      <c r="AS48" s="8"/>
      <c r="AT48" s="8"/>
      <c r="AU48" s="8"/>
      <c r="AV48" s="8"/>
      <c r="AW48" s="8"/>
      <c r="AX48" s="8"/>
      <c r="AY48" s="8"/>
      <c r="AZ48" s="8"/>
      <c r="BA48" s="8"/>
      <c r="BB48" s="8"/>
    </row>
    <row r="49" ht="15.75" customHeight="1">
      <c r="A49" s="11" t="s">
        <v>240</v>
      </c>
      <c r="B49" s="8">
        <f t="shared" si="2"/>
        <v>0</v>
      </c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  <c r="AE49" s="8"/>
      <c r="AF49" s="8"/>
      <c r="AG49" s="8"/>
      <c r="AH49" s="8"/>
      <c r="AI49" s="8"/>
      <c r="AJ49" s="8"/>
      <c r="AK49" s="8"/>
      <c r="AL49" s="8"/>
      <c r="AM49" s="8"/>
      <c r="AN49" s="8"/>
      <c r="AO49" s="8"/>
      <c r="AP49" s="8"/>
      <c r="AQ49" s="8"/>
      <c r="AR49" s="8"/>
      <c r="AS49" s="8"/>
      <c r="AT49" s="8"/>
      <c r="AU49" s="8"/>
      <c r="AV49" s="8"/>
      <c r="AW49" s="8"/>
      <c r="AX49" s="8"/>
      <c r="AY49" s="8"/>
      <c r="AZ49" s="8"/>
      <c r="BA49" s="8"/>
      <c r="BB49" s="8"/>
    </row>
    <row r="50" ht="15.75" customHeight="1">
      <c r="A50" s="11" t="s">
        <v>37</v>
      </c>
      <c r="B50" s="8">
        <f t="shared" si="2"/>
        <v>0</v>
      </c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  <c r="AE50" s="8"/>
      <c r="AF50" s="8"/>
      <c r="AG50" s="8"/>
      <c r="AH50" s="8"/>
      <c r="AI50" s="8"/>
      <c r="AJ50" s="8"/>
      <c r="AK50" s="8"/>
      <c r="AL50" s="8"/>
      <c r="AM50" s="8"/>
      <c r="AN50" s="8"/>
      <c r="AO50" s="8"/>
      <c r="AP50" s="8"/>
      <c r="AQ50" s="20"/>
      <c r="AR50" s="8"/>
      <c r="AS50" s="8"/>
      <c r="AT50" s="8"/>
      <c r="AU50" s="8"/>
      <c r="AV50" s="8"/>
      <c r="AW50" s="8"/>
      <c r="AX50" s="8"/>
      <c r="AY50" s="8"/>
      <c r="AZ50" s="8"/>
      <c r="BA50" s="8"/>
      <c r="BB50" s="8"/>
    </row>
    <row r="51" ht="15.75" customHeight="1">
      <c r="A51" s="11" t="s">
        <v>83</v>
      </c>
      <c r="B51" s="8">
        <f t="shared" si="2"/>
        <v>0</v>
      </c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  <c r="AE51" s="8"/>
      <c r="AF51" s="8"/>
      <c r="AG51" s="8"/>
      <c r="AH51" s="8"/>
      <c r="AI51" s="8"/>
      <c r="AJ51" s="8"/>
      <c r="AK51" s="8"/>
      <c r="AL51" s="8"/>
      <c r="AM51" s="8"/>
      <c r="AN51" s="8"/>
      <c r="AO51" s="8"/>
      <c r="AP51" s="8"/>
      <c r="AQ51" s="8"/>
      <c r="AR51" s="8"/>
      <c r="AS51" s="8"/>
      <c r="AT51" s="8"/>
      <c r="AU51" s="8"/>
      <c r="AV51" s="8"/>
      <c r="AW51" s="8"/>
      <c r="AX51" s="8"/>
      <c r="AY51" s="8"/>
      <c r="AZ51" s="8"/>
      <c r="BA51" s="8"/>
      <c r="BB51" s="8"/>
    </row>
    <row r="52" ht="15.75" customHeight="1">
      <c r="A52" s="11" t="s">
        <v>109</v>
      </c>
      <c r="B52" s="8">
        <f t="shared" si="2"/>
        <v>2.5</v>
      </c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20">
        <v>2.5</v>
      </c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  <c r="AD52" s="8"/>
      <c r="AE52" s="8"/>
      <c r="AF52" s="8"/>
      <c r="AG52" s="8"/>
      <c r="AH52" s="8"/>
      <c r="AI52" s="8"/>
      <c r="AJ52" s="8"/>
      <c r="AK52" s="8"/>
      <c r="AL52" s="8"/>
      <c r="AM52" s="8"/>
      <c r="AN52" s="8"/>
      <c r="AO52" s="8"/>
      <c r="AP52" s="8"/>
      <c r="AQ52" s="8"/>
      <c r="AR52" s="8"/>
      <c r="AS52" s="8"/>
      <c r="AT52" s="8"/>
      <c r="AU52" s="8"/>
      <c r="AV52" s="8"/>
      <c r="AW52" s="8"/>
      <c r="AX52" s="8"/>
      <c r="AY52" s="21"/>
      <c r="AZ52" s="8"/>
      <c r="BA52" s="8"/>
      <c r="BB52" s="8"/>
    </row>
    <row r="53" ht="15.75" customHeight="1">
      <c r="A53" s="11" t="s">
        <v>90</v>
      </c>
      <c r="B53" s="8">
        <f t="shared" si="2"/>
        <v>0</v>
      </c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  <c r="AC53" s="8"/>
      <c r="AD53" s="8"/>
      <c r="AE53" s="8"/>
      <c r="AF53" s="8"/>
      <c r="AG53" s="8"/>
      <c r="AH53" s="8"/>
      <c r="AI53" s="8"/>
      <c r="AJ53" s="8"/>
      <c r="AK53" s="8"/>
      <c r="AL53" s="8"/>
      <c r="AM53" s="8"/>
      <c r="AN53" s="8"/>
      <c r="AO53" s="8"/>
      <c r="AP53" s="8"/>
      <c r="AQ53" s="8"/>
      <c r="AR53" s="8"/>
      <c r="AS53" s="8"/>
      <c r="AT53" s="8"/>
      <c r="AU53" s="8"/>
      <c r="AV53" s="8"/>
      <c r="AW53" s="8"/>
      <c r="AX53" s="8"/>
      <c r="AY53" s="8"/>
      <c r="AZ53" s="8"/>
      <c r="BA53" s="8"/>
      <c r="BB53" s="8"/>
    </row>
    <row r="54" ht="15.75" customHeight="1">
      <c r="A54" s="11" t="s">
        <v>241</v>
      </c>
      <c r="B54" s="8">
        <f t="shared" si="2"/>
        <v>0</v>
      </c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  <c r="AC54" s="8"/>
      <c r="AD54" s="8"/>
      <c r="AE54" s="8"/>
      <c r="AF54" s="8"/>
      <c r="AG54" s="8"/>
      <c r="AH54" s="8"/>
      <c r="AI54" s="8"/>
      <c r="AJ54" s="8"/>
      <c r="AK54" s="8"/>
      <c r="AL54" s="8"/>
      <c r="AM54" s="8"/>
      <c r="AN54" s="8"/>
      <c r="AO54" s="8"/>
      <c r="AP54" s="8"/>
      <c r="AQ54" s="8"/>
      <c r="AR54" s="8"/>
      <c r="AS54" s="8"/>
      <c r="AT54" s="8"/>
      <c r="AU54" s="8"/>
      <c r="AV54" s="8"/>
      <c r="AW54" s="8"/>
      <c r="AX54" s="8"/>
      <c r="AY54" s="8"/>
      <c r="AZ54" s="8"/>
      <c r="BA54" s="8"/>
      <c r="BB54" s="8"/>
    </row>
    <row r="55" ht="15.75" customHeight="1">
      <c r="A55" s="11" t="s">
        <v>119</v>
      </c>
      <c r="B55" s="8">
        <f t="shared" si="2"/>
        <v>0</v>
      </c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  <c r="AD55" s="8"/>
      <c r="AE55" s="8"/>
      <c r="AF55" s="8"/>
      <c r="AG55" s="8"/>
      <c r="AH55" s="8"/>
      <c r="AI55" s="8"/>
      <c r="AJ55" s="8"/>
      <c r="AK55" s="8"/>
      <c r="AL55" s="8"/>
      <c r="AM55" s="8"/>
      <c r="AN55" s="8"/>
      <c r="AO55" s="8"/>
      <c r="AP55" s="8"/>
      <c r="AQ55" s="8"/>
      <c r="AR55" s="8"/>
      <c r="AS55" s="8"/>
      <c r="AT55" s="8"/>
      <c r="AU55" s="8"/>
      <c r="AV55" s="8"/>
      <c r="AW55" s="8"/>
      <c r="AX55" s="8"/>
      <c r="AY55" s="8"/>
      <c r="AZ55" s="20"/>
      <c r="BA55" s="20"/>
      <c r="BB55" s="8"/>
    </row>
    <row r="56" ht="15.75" customHeight="1">
      <c r="A56" s="11" t="s">
        <v>117</v>
      </c>
      <c r="B56" s="8">
        <f t="shared" si="2"/>
        <v>13.25</v>
      </c>
      <c r="C56" s="20">
        <v>2.5</v>
      </c>
      <c r="D56" s="20">
        <v>2.0</v>
      </c>
      <c r="E56" s="8"/>
      <c r="F56" s="8"/>
      <c r="G56" s="20">
        <v>2.75</v>
      </c>
      <c r="H56" s="8"/>
      <c r="I56" s="8"/>
      <c r="J56" s="8"/>
      <c r="K56" s="21">
        <v>2.5</v>
      </c>
      <c r="L56" s="8"/>
      <c r="M56" s="8"/>
      <c r="N56" s="8"/>
      <c r="O56" s="20">
        <v>2.5</v>
      </c>
      <c r="P56" s="20">
        <v>1.0</v>
      </c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  <c r="AC56" s="8"/>
      <c r="AD56" s="8"/>
      <c r="AE56" s="8"/>
      <c r="AF56" s="8"/>
      <c r="AG56" s="8"/>
      <c r="AH56" s="8"/>
      <c r="AI56" s="8"/>
      <c r="AJ56" s="8"/>
      <c r="AK56" s="8"/>
      <c r="AL56" s="8"/>
      <c r="AM56" s="8"/>
      <c r="AN56" s="8"/>
      <c r="AO56" s="8"/>
      <c r="AP56" s="8"/>
      <c r="AQ56" s="8"/>
      <c r="AR56" s="8"/>
      <c r="AS56" s="8"/>
      <c r="AT56" s="8"/>
      <c r="AU56" s="8"/>
      <c r="AV56" s="8"/>
      <c r="AW56" s="8"/>
      <c r="AX56" s="20"/>
      <c r="AY56" s="8"/>
      <c r="AZ56" s="8"/>
      <c r="BA56" s="20"/>
      <c r="BB56" s="8"/>
    </row>
    <row r="57" ht="15.75" customHeight="1">
      <c r="A57" s="11" t="s">
        <v>32</v>
      </c>
      <c r="B57" s="8">
        <f t="shared" si="2"/>
        <v>0</v>
      </c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  <c r="AE57" s="8"/>
      <c r="AF57" s="8"/>
      <c r="AG57" s="8"/>
      <c r="AH57" s="8"/>
      <c r="AI57" s="8"/>
      <c r="AJ57" s="8"/>
      <c r="AK57" s="8"/>
      <c r="AL57" s="8"/>
      <c r="AM57" s="8"/>
      <c r="AN57" s="8"/>
      <c r="AO57" s="8"/>
      <c r="AP57" s="8"/>
      <c r="AQ57" s="8"/>
      <c r="AR57" s="8"/>
      <c r="AS57" s="8"/>
      <c r="AT57" s="8"/>
      <c r="AU57" s="8"/>
      <c r="AV57" s="8"/>
      <c r="AW57" s="8"/>
      <c r="AX57" s="8"/>
      <c r="AY57" s="8"/>
      <c r="AZ57" s="8"/>
      <c r="BA57" s="8"/>
      <c r="BB57" s="8"/>
    </row>
    <row r="58" ht="15.75" customHeight="1">
      <c r="A58" s="11" t="s">
        <v>29</v>
      </c>
      <c r="B58" s="8">
        <f t="shared" si="2"/>
        <v>0</v>
      </c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  <c r="AD58" s="8"/>
      <c r="AE58" s="8"/>
      <c r="AF58" s="8"/>
      <c r="AG58" s="8"/>
      <c r="AH58" s="8"/>
      <c r="AI58" s="8"/>
      <c r="AJ58" s="8"/>
      <c r="AK58" s="8"/>
      <c r="AL58" s="8"/>
      <c r="AM58" s="8"/>
      <c r="AN58" s="8"/>
      <c r="AO58" s="8"/>
      <c r="AP58" s="8"/>
      <c r="AQ58" s="8"/>
      <c r="AR58" s="8"/>
      <c r="AS58" s="8"/>
      <c r="AT58" s="8"/>
      <c r="AU58" s="8"/>
      <c r="AV58" s="8"/>
      <c r="AW58" s="8"/>
      <c r="AX58" s="8"/>
      <c r="AY58" s="8"/>
      <c r="AZ58" s="8"/>
      <c r="BA58" s="8"/>
      <c r="BB58" s="8"/>
    </row>
    <row r="59" ht="15.75" customHeight="1">
      <c r="A59" s="11" t="s">
        <v>242</v>
      </c>
      <c r="B59" s="8">
        <f t="shared" si="2"/>
        <v>0</v>
      </c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  <c r="AD59" s="8"/>
      <c r="AE59" s="8"/>
      <c r="AF59" s="8"/>
      <c r="AG59" s="8"/>
      <c r="AH59" s="8"/>
      <c r="AI59" s="8"/>
      <c r="AJ59" s="8"/>
      <c r="AK59" s="8"/>
      <c r="AL59" s="8"/>
      <c r="AM59" s="8"/>
      <c r="AN59" s="8"/>
      <c r="AO59" s="8"/>
      <c r="AP59" s="8"/>
      <c r="AQ59" s="8"/>
      <c r="AR59" s="8"/>
      <c r="AS59" s="8"/>
      <c r="AT59" s="8"/>
      <c r="AU59" s="8"/>
      <c r="AV59" s="8"/>
      <c r="AW59" s="8"/>
      <c r="AX59" s="8"/>
      <c r="AY59" s="8"/>
      <c r="AZ59" s="8"/>
      <c r="BA59" s="8"/>
      <c r="BB59" s="8"/>
    </row>
    <row r="60" ht="15.75" customHeight="1">
      <c r="A60" s="11" t="s">
        <v>243</v>
      </c>
      <c r="B60" s="8">
        <f t="shared" si="2"/>
        <v>0</v>
      </c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  <c r="AD60" s="8"/>
      <c r="AE60" s="8"/>
      <c r="AF60" s="8"/>
      <c r="AG60" s="8"/>
      <c r="AH60" s="8"/>
      <c r="AI60" s="8"/>
      <c r="AJ60" s="8"/>
      <c r="AK60" s="8"/>
      <c r="AL60" s="8"/>
      <c r="AM60" s="8"/>
      <c r="AN60" s="8"/>
      <c r="AO60" s="8"/>
      <c r="AP60" s="8"/>
      <c r="AQ60" s="8"/>
      <c r="AR60" s="8"/>
      <c r="AS60" s="8"/>
      <c r="AT60" s="8"/>
      <c r="AU60" s="8"/>
      <c r="AV60" s="8"/>
      <c r="AW60" s="8"/>
      <c r="AX60" s="8"/>
      <c r="AY60" s="8"/>
      <c r="AZ60" s="8"/>
      <c r="BA60" s="8"/>
      <c r="BB60" s="8"/>
    </row>
    <row r="61" ht="15.75" customHeight="1">
      <c r="A61" s="11" t="s">
        <v>100</v>
      </c>
      <c r="B61" s="8">
        <f t="shared" si="2"/>
        <v>0</v>
      </c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  <c r="AD61" s="8"/>
      <c r="AE61" s="8"/>
      <c r="AF61" s="8"/>
      <c r="AG61" s="8"/>
      <c r="AH61" s="8"/>
      <c r="AI61" s="8"/>
      <c r="AJ61" s="8"/>
      <c r="AK61" s="8"/>
      <c r="AL61" s="8"/>
      <c r="AM61" s="8"/>
      <c r="AN61" s="8"/>
      <c r="AO61" s="8"/>
      <c r="AP61" s="8"/>
      <c r="AQ61" s="8"/>
      <c r="AR61" s="20"/>
      <c r="AS61" s="8"/>
      <c r="AT61" s="8"/>
      <c r="AU61" s="8"/>
      <c r="AV61" s="8"/>
      <c r="AW61" s="8"/>
      <c r="AX61" s="8"/>
      <c r="AY61" s="8"/>
      <c r="AZ61" s="8"/>
      <c r="BA61" s="8"/>
      <c r="BB61" s="8"/>
    </row>
    <row r="62" ht="15.75" customHeight="1">
      <c r="A62" s="11" t="s">
        <v>110</v>
      </c>
      <c r="B62" s="8">
        <f t="shared" si="2"/>
        <v>0</v>
      </c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  <c r="AC62" s="8"/>
      <c r="AD62" s="8"/>
      <c r="AE62" s="8"/>
      <c r="AF62" s="8"/>
      <c r="AG62" s="8"/>
      <c r="AH62" s="8"/>
      <c r="AI62" s="8"/>
      <c r="AJ62" s="8"/>
      <c r="AK62" s="8"/>
      <c r="AL62" s="8"/>
      <c r="AM62" s="8"/>
      <c r="AN62" s="8"/>
      <c r="AO62" s="8"/>
      <c r="AP62" s="8"/>
      <c r="AQ62" s="8"/>
      <c r="AR62" s="8"/>
      <c r="AS62" s="8"/>
      <c r="AT62" s="8"/>
      <c r="AU62" s="8"/>
      <c r="AV62" s="8"/>
      <c r="AW62" s="8"/>
      <c r="AX62" s="8"/>
      <c r="AY62" s="8"/>
      <c r="AZ62" s="8"/>
      <c r="BA62" s="8"/>
      <c r="BB62" s="8"/>
    </row>
    <row r="63" ht="15.75" customHeight="1">
      <c r="A63" s="11" t="s">
        <v>244</v>
      </c>
      <c r="B63" s="8">
        <f t="shared" si="2"/>
        <v>0</v>
      </c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  <c r="AD63" s="8"/>
      <c r="AE63" s="8"/>
      <c r="AF63" s="8"/>
      <c r="AG63" s="8"/>
      <c r="AH63" s="8"/>
      <c r="AI63" s="8"/>
      <c r="AJ63" s="8"/>
      <c r="AK63" s="8"/>
      <c r="AL63" s="8"/>
      <c r="AM63" s="8"/>
      <c r="AN63" s="8"/>
      <c r="AO63" s="8"/>
      <c r="AP63" s="8"/>
      <c r="AQ63" s="8"/>
      <c r="AR63" s="8"/>
      <c r="AS63" s="8"/>
      <c r="AT63" s="8"/>
      <c r="AU63" s="8"/>
      <c r="AV63" s="8"/>
      <c r="AW63" s="8"/>
      <c r="AX63" s="8"/>
      <c r="AY63" s="8"/>
      <c r="AZ63" s="8"/>
      <c r="BA63" s="8"/>
      <c r="BB63" s="8"/>
    </row>
    <row r="64" ht="15.75" customHeight="1">
      <c r="A64" s="11" t="s">
        <v>246</v>
      </c>
      <c r="B64" s="8">
        <f t="shared" si="2"/>
        <v>0</v>
      </c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8"/>
      <c r="AH64" s="8"/>
      <c r="AI64" s="8"/>
      <c r="AJ64" s="8"/>
      <c r="AK64" s="8"/>
      <c r="AL64" s="8"/>
      <c r="AM64" s="8"/>
      <c r="AN64" s="8"/>
      <c r="AO64" s="8"/>
      <c r="AP64" s="8"/>
      <c r="AQ64" s="8"/>
      <c r="AR64" s="8"/>
      <c r="AS64" s="8"/>
      <c r="AT64" s="8"/>
      <c r="AU64" s="8"/>
      <c r="AV64" s="8"/>
      <c r="AW64" s="8"/>
      <c r="AX64" s="8"/>
      <c r="AY64" s="8"/>
      <c r="AZ64" s="8"/>
      <c r="BA64" s="8"/>
      <c r="BB64" s="8"/>
    </row>
    <row r="65" ht="15.75" customHeight="1">
      <c r="A65" s="11" t="s">
        <v>142</v>
      </c>
      <c r="B65" s="8">
        <f t="shared" si="2"/>
        <v>7.75</v>
      </c>
      <c r="C65" s="8"/>
      <c r="D65" s="8"/>
      <c r="E65" s="8"/>
      <c r="F65" s="8"/>
      <c r="G65" s="8"/>
      <c r="H65" s="8"/>
      <c r="I65" s="8"/>
      <c r="J65" s="8"/>
      <c r="K65" s="8"/>
      <c r="L65" s="20">
        <v>2.0</v>
      </c>
      <c r="M65" s="20">
        <v>3.25</v>
      </c>
      <c r="N65" s="20">
        <v>2.5</v>
      </c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  <c r="AE65" s="8"/>
      <c r="AF65" s="8"/>
      <c r="AG65" s="8"/>
      <c r="AH65" s="8"/>
      <c r="AI65" s="8"/>
      <c r="AJ65" s="8"/>
      <c r="AK65" s="8"/>
      <c r="AL65" s="8"/>
      <c r="AM65" s="8"/>
      <c r="AN65" s="8"/>
      <c r="AO65" s="8"/>
      <c r="AP65" s="8"/>
      <c r="AQ65" s="8"/>
      <c r="AR65" s="8"/>
      <c r="AS65" s="8"/>
      <c r="AT65" s="8"/>
      <c r="AU65" s="8"/>
      <c r="AV65" s="8"/>
      <c r="AW65" s="8"/>
      <c r="AX65" s="8"/>
      <c r="AY65" s="8"/>
      <c r="AZ65" s="8"/>
      <c r="BA65" s="8"/>
      <c r="BB65" s="8"/>
    </row>
    <row r="66" ht="15.75" customHeight="1">
      <c r="A66" s="11" t="s">
        <v>247</v>
      </c>
      <c r="B66" s="8">
        <f t="shared" si="2"/>
        <v>0</v>
      </c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  <c r="AD66" s="8"/>
      <c r="AE66" s="8"/>
      <c r="AF66" s="8"/>
      <c r="AG66" s="8"/>
      <c r="AH66" s="8"/>
      <c r="AI66" s="8"/>
      <c r="AJ66" s="8"/>
      <c r="AK66" s="8"/>
      <c r="AL66" s="8"/>
      <c r="AM66" s="8"/>
      <c r="AN66" s="8"/>
      <c r="AO66" s="8"/>
      <c r="AP66" s="8"/>
      <c r="AQ66" s="8"/>
      <c r="AR66" s="8"/>
      <c r="AS66" s="8"/>
      <c r="AT66" s="8"/>
      <c r="AU66" s="8"/>
      <c r="AV66" s="8"/>
      <c r="AW66" s="8"/>
      <c r="AX66" s="8"/>
      <c r="AY66" s="8"/>
      <c r="AZ66" s="8"/>
      <c r="BA66" s="8"/>
      <c r="BB66" s="8"/>
    </row>
    <row r="67" ht="15.75" customHeight="1">
      <c r="A67" s="11" t="s">
        <v>248</v>
      </c>
      <c r="B67" s="8">
        <f t="shared" si="2"/>
        <v>0</v>
      </c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  <c r="AD67" s="8"/>
      <c r="AE67" s="8"/>
      <c r="AF67" s="8"/>
      <c r="AG67" s="8"/>
      <c r="AH67" s="8"/>
      <c r="AI67" s="8"/>
      <c r="AJ67" s="8"/>
      <c r="AK67" s="8"/>
      <c r="AL67" s="8"/>
      <c r="AM67" s="8"/>
      <c r="AN67" s="8"/>
      <c r="AO67" s="8"/>
      <c r="AP67" s="8"/>
      <c r="AQ67" s="8"/>
      <c r="AR67" s="8"/>
      <c r="AS67" s="8"/>
      <c r="AT67" s="8"/>
      <c r="AU67" s="8"/>
      <c r="AV67" s="8"/>
      <c r="AW67" s="8"/>
      <c r="AX67" s="8"/>
      <c r="AY67" s="8"/>
      <c r="AZ67" s="8"/>
      <c r="BA67" s="8"/>
      <c r="BB67" s="8"/>
    </row>
    <row r="68" ht="15.75" customHeight="1">
      <c r="A68" s="11" t="s">
        <v>249</v>
      </c>
      <c r="B68" s="8">
        <f t="shared" si="2"/>
        <v>0</v>
      </c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  <c r="AD68" s="8"/>
      <c r="AE68" s="8"/>
      <c r="AF68" s="8"/>
      <c r="AG68" s="8"/>
      <c r="AH68" s="8"/>
      <c r="AI68" s="8"/>
      <c r="AJ68" s="8"/>
      <c r="AK68" s="8"/>
      <c r="AL68" s="8"/>
      <c r="AM68" s="8"/>
      <c r="AN68" s="8"/>
      <c r="AO68" s="8"/>
      <c r="AP68" s="8"/>
      <c r="AQ68" s="8"/>
      <c r="AR68" s="8"/>
      <c r="AS68" s="8"/>
      <c r="AT68" s="8"/>
      <c r="AU68" s="8"/>
      <c r="AV68" s="21"/>
      <c r="AW68" s="8"/>
      <c r="AX68" s="8"/>
      <c r="AY68" s="8"/>
      <c r="AZ68" s="8"/>
      <c r="BA68" s="8"/>
      <c r="BB68" s="8"/>
    </row>
    <row r="69" ht="15.75" customHeight="1">
      <c r="A69" s="11" t="s">
        <v>250</v>
      </c>
      <c r="B69" s="8">
        <f t="shared" si="2"/>
        <v>22</v>
      </c>
      <c r="C69" s="8"/>
      <c r="D69" s="20">
        <v>2.0</v>
      </c>
      <c r="E69" s="21">
        <v>3.0</v>
      </c>
      <c r="F69" s="8"/>
      <c r="G69" s="20">
        <v>2.75</v>
      </c>
      <c r="H69" s="20">
        <v>2.0</v>
      </c>
      <c r="I69" s="20">
        <v>2.25</v>
      </c>
      <c r="J69" s="20">
        <v>2.75</v>
      </c>
      <c r="K69" s="21">
        <v>2.25</v>
      </c>
      <c r="L69" s="8"/>
      <c r="M69" s="8"/>
      <c r="N69" s="20">
        <v>2.5</v>
      </c>
      <c r="O69" s="20">
        <v>2.5</v>
      </c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  <c r="AE69" s="8"/>
      <c r="AF69" s="8"/>
      <c r="AG69" s="8"/>
      <c r="AH69" s="8"/>
      <c r="AI69" s="8"/>
      <c r="AJ69" s="8"/>
      <c r="AK69" s="8"/>
      <c r="AL69" s="8"/>
      <c r="AM69" s="8"/>
      <c r="AN69" s="8"/>
      <c r="AO69" s="8"/>
      <c r="AP69" s="8"/>
      <c r="AQ69" s="8"/>
      <c r="AR69" s="8"/>
      <c r="AS69" s="20"/>
      <c r="AT69" s="20"/>
      <c r="AU69" s="8"/>
      <c r="AV69" s="8"/>
      <c r="AW69" s="8"/>
      <c r="AX69" s="8"/>
      <c r="AY69" s="8"/>
      <c r="AZ69" s="8"/>
      <c r="BA69" s="8"/>
      <c r="BB69" s="8"/>
    </row>
    <row r="70" ht="15.75" customHeight="1">
      <c r="A70" s="11" t="s">
        <v>91</v>
      </c>
      <c r="B70" s="8">
        <f t="shared" si="2"/>
        <v>0</v>
      </c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/>
      <c r="AF70" s="8"/>
      <c r="AG70" s="8"/>
      <c r="AH70" s="8"/>
      <c r="AI70" s="8"/>
      <c r="AJ70" s="8"/>
      <c r="AK70" s="8"/>
      <c r="AL70" s="8"/>
      <c r="AM70" s="8"/>
      <c r="AN70" s="8"/>
      <c r="AO70" s="8"/>
      <c r="AP70" s="8"/>
      <c r="AQ70" s="8"/>
      <c r="AR70" s="8"/>
      <c r="AS70" s="8"/>
      <c r="AT70" s="8"/>
      <c r="AU70" s="8"/>
      <c r="AV70" s="8"/>
      <c r="AW70" s="8"/>
      <c r="AX70" s="8"/>
      <c r="AY70" s="8"/>
      <c r="AZ70" s="8"/>
      <c r="BA70" s="8"/>
      <c r="BB70" s="8"/>
    </row>
    <row r="71" ht="15.75" customHeight="1">
      <c r="A71" s="11" t="s">
        <v>99</v>
      </c>
      <c r="B71" s="8">
        <f t="shared" si="2"/>
        <v>0</v>
      </c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  <c r="AE71" s="8"/>
      <c r="AF71" s="8"/>
      <c r="AG71" s="8"/>
      <c r="AH71" s="8"/>
      <c r="AI71" s="8"/>
      <c r="AJ71" s="8"/>
      <c r="AK71" s="8"/>
      <c r="AL71" s="8"/>
      <c r="AM71" s="8"/>
      <c r="AN71" s="8"/>
      <c r="AO71" s="8"/>
      <c r="AP71" s="8"/>
      <c r="AQ71" s="8"/>
      <c r="AR71" s="8"/>
      <c r="AS71" s="20"/>
      <c r="AT71" s="20"/>
      <c r="AU71" s="8"/>
      <c r="AV71" s="8"/>
      <c r="AW71" s="8"/>
      <c r="AX71" s="8"/>
      <c r="AY71" s="8"/>
      <c r="AZ71" s="8"/>
      <c r="BA71" s="8"/>
      <c r="BB71" s="8"/>
    </row>
    <row r="72" ht="15.75" customHeight="1">
      <c r="A72" s="11" t="s">
        <v>251</v>
      </c>
      <c r="B72" s="8">
        <f t="shared" si="2"/>
        <v>0</v>
      </c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  <c r="AD72" s="8"/>
      <c r="AE72" s="8"/>
      <c r="AF72" s="8"/>
      <c r="AG72" s="8"/>
      <c r="AH72" s="8"/>
      <c r="AI72" s="8"/>
      <c r="AJ72" s="8"/>
      <c r="AK72" s="8"/>
      <c r="AL72" s="8"/>
      <c r="AM72" s="8"/>
      <c r="AN72" s="8"/>
      <c r="AO72" s="8"/>
      <c r="AP72" s="8"/>
      <c r="AQ72" s="8"/>
      <c r="AR72" s="8"/>
      <c r="AS72" s="8"/>
      <c r="AT72" s="8"/>
      <c r="AU72" s="8"/>
      <c r="AV72" s="8"/>
      <c r="AW72" s="8"/>
      <c r="AX72" s="8"/>
      <c r="AY72" s="8"/>
      <c r="AZ72" s="8"/>
      <c r="BA72" s="8"/>
      <c r="BB72" s="8"/>
    </row>
    <row r="73" ht="15.75" customHeight="1">
      <c r="A73" s="11" t="s">
        <v>150</v>
      </c>
      <c r="B73" s="8">
        <f t="shared" si="2"/>
        <v>2.5</v>
      </c>
      <c r="C73" s="8"/>
      <c r="D73" s="8"/>
      <c r="E73" s="8"/>
      <c r="F73" s="8"/>
      <c r="G73" s="8"/>
      <c r="H73" s="8"/>
      <c r="I73" s="8"/>
      <c r="J73" s="8"/>
      <c r="K73" s="21">
        <v>2.5</v>
      </c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  <c r="AD73" s="8"/>
      <c r="AE73" s="8"/>
      <c r="AF73" s="8"/>
      <c r="AG73" s="8"/>
      <c r="AH73" s="8"/>
      <c r="AI73" s="8"/>
      <c r="AJ73" s="8"/>
      <c r="AK73" s="8"/>
      <c r="AL73" s="8"/>
      <c r="AM73" s="8"/>
      <c r="AN73" s="8"/>
      <c r="AO73" s="8"/>
      <c r="AP73" s="8"/>
      <c r="AQ73" s="8"/>
      <c r="AR73" s="8"/>
      <c r="AS73" s="8"/>
      <c r="AT73" s="8"/>
      <c r="AU73" s="8"/>
      <c r="AV73" s="8"/>
      <c r="AW73" s="8"/>
      <c r="AX73" s="8"/>
      <c r="AY73" s="8"/>
      <c r="AZ73" s="8"/>
      <c r="BA73" s="8"/>
      <c r="BB73" s="20"/>
    </row>
    <row r="74" ht="15.75" customHeight="1">
      <c r="A74" s="11" t="s">
        <v>252</v>
      </c>
      <c r="B74" s="8">
        <f t="shared" si="2"/>
        <v>0</v>
      </c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  <c r="AD74" s="8"/>
      <c r="AE74" s="8"/>
      <c r="AF74" s="8"/>
      <c r="AG74" s="8"/>
      <c r="AH74" s="8"/>
      <c r="AI74" s="8"/>
      <c r="AJ74" s="8"/>
      <c r="AK74" s="8"/>
      <c r="AL74" s="8"/>
      <c r="AM74" s="8"/>
      <c r="AN74" s="8"/>
      <c r="AO74" s="8"/>
      <c r="AP74" s="8"/>
      <c r="AQ74" s="8"/>
      <c r="AR74" s="8"/>
      <c r="AS74" s="8"/>
      <c r="AT74" s="8"/>
      <c r="AU74" s="8"/>
      <c r="AV74" s="8"/>
      <c r="AW74" s="8"/>
      <c r="AX74" s="8"/>
      <c r="AY74" s="8"/>
      <c r="AZ74" s="8"/>
      <c r="BA74" s="8"/>
      <c r="BB74" s="8"/>
    </row>
    <row r="75" ht="15.75" customHeight="1">
      <c r="A75" s="11" t="s">
        <v>253</v>
      </c>
      <c r="B75" s="8">
        <f t="shared" si="2"/>
        <v>0</v>
      </c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  <c r="AD75" s="8"/>
      <c r="AE75" s="8"/>
      <c r="AF75" s="8"/>
      <c r="AG75" s="8"/>
      <c r="AH75" s="8"/>
      <c r="AI75" s="8"/>
      <c r="AJ75" s="8"/>
      <c r="AK75" s="8"/>
      <c r="AL75" s="8"/>
      <c r="AM75" s="8"/>
      <c r="AN75" s="8"/>
      <c r="AO75" s="8"/>
      <c r="AP75" s="8"/>
      <c r="AQ75" s="8"/>
      <c r="AR75" s="8"/>
      <c r="AS75" s="8"/>
      <c r="AT75" s="8"/>
      <c r="AU75" s="8"/>
      <c r="AV75" s="8"/>
      <c r="AW75" s="8"/>
      <c r="AX75" s="8"/>
      <c r="AY75" s="8"/>
      <c r="AZ75" s="8"/>
      <c r="BA75" s="8"/>
      <c r="BB75" s="8"/>
    </row>
    <row r="76" ht="15.75" customHeight="1">
      <c r="A76" s="11" t="s">
        <v>254</v>
      </c>
      <c r="B76" s="8">
        <f t="shared" si="2"/>
        <v>0</v>
      </c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  <c r="AE76" s="8"/>
      <c r="AF76" s="8"/>
      <c r="AG76" s="8"/>
      <c r="AH76" s="8"/>
      <c r="AI76" s="8"/>
      <c r="AJ76" s="8"/>
      <c r="AK76" s="8"/>
      <c r="AL76" s="8"/>
      <c r="AM76" s="8"/>
      <c r="AN76" s="8"/>
      <c r="AO76" s="8"/>
      <c r="AP76" s="8"/>
      <c r="AQ76" s="8"/>
      <c r="AR76" s="8"/>
      <c r="AS76" s="8"/>
      <c r="AT76" s="8"/>
      <c r="AU76" s="8"/>
      <c r="AV76" s="8"/>
      <c r="AW76" s="8"/>
      <c r="AX76" s="20"/>
      <c r="AY76" s="8"/>
      <c r="AZ76" s="8"/>
      <c r="BA76" s="8"/>
      <c r="BB76" s="8"/>
    </row>
    <row r="77" ht="15.75" customHeight="1">
      <c r="A77" s="11" t="s">
        <v>255</v>
      </c>
      <c r="B77" s="8">
        <f t="shared" si="2"/>
        <v>0</v>
      </c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  <c r="AE77" s="8"/>
      <c r="AF77" s="8"/>
      <c r="AG77" s="8"/>
      <c r="AH77" s="8"/>
      <c r="AI77" s="8"/>
      <c r="AJ77" s="8"/>
      <c r="AK77" s="8"/>
      <c r="AL77" s="8"/>
      <c r="AM77" s="8"/>
      <c r="AN77" s="8"/>
      <c r="AO77" s="8"/>
      <c r="AP77" s="8"/>
      <c r="AQ77" s="8"/>
      <c r="AR77" s="8"/>
      <c r="AS77" s="8"/>
      <c r="AT77" s="8"/>
      <c r="AU77" s="8"/>
      <c r="AV77" s="8"/>
      <c r="AW77" s="8"/>
      <c r="AX77" s="8"/>
      <c r="AY77" s="8"/>
      <c r="AZ77" s="8"/>
      <c r="BA77" s="8"/>
      <c r="BB77" s="8"/>
    </row>
    <row r="78" ht="15.75" customHeight="1">
      <c r="A78" s="11" t="s">
        <v>256</v>
      </c>
      <c r="B78" s="8">
        <f t="shared" si="2"/>
        <v>0</v>
      </c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  <c r="AD78" s="8"/>
      <c r="AE78" s="8"/>
      <c r="AF78" s="8"/>
      <c r="AG78" s="8"/>
      <c r="AH78" s="8"/>
      <c r="AI78" s="8"/>
      <c r="AJ78" s="8"/>
      <c r="AK78" s="8"/>
      <c r="AL78" s="8"/>
      <c r="AM78" s="8"/>
      <c r="AN78" s="8"/>
      <c r="AO78" s="8"/>
      <c r="AP78" s="8"/>
      <c r="AQ78" s="8"/>
      <c r="AR78" s="8"/>
      <c r="AS78" s="8"/>
      <c r="AT78" s="8"/>
      <c r="AU78" s="8"/>
      <c r="AV78" s="8"/>
      <c r="AW78" s="8"/>
      <c r="AX78" s="8"/>
      <c r="AY78" s="8"/>
      <c r="AZ78" s="20"/>
      <c r="BA78" s="8"/>
      <c r="BB78" s="8"/>
    </row>
    <row r="79" ht="15.75" customHeight="1">
      <c r="A79" s="11" t="s">
        <v>257</v>
      </c>
      <c r="B79" s="8">
        <f t="shared" si="2"/>
        <v>0</v>
      </c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  <c r="AD79" s="8"/>
      <c r="AE79" s="8"/>
      <c r="AF79" s="8"/>
      <c r="AG79" s="8"/>
      <c r="AH79" s="8"/>
      <c r="AI79" s="8"/>
      <c r="AJ79" s="8"/>
      <c r="AK79" s="8"/>
      <c r="AL79" s="8"/>
      <c r="AM79" s="8"/>
      <c r="AN79" s="8"/>
      <c r="AO79" s="8"/>
      <c r="AP79" s="8"/>
      <c r="AQ79" s="8"/>
      <c r="AR79" s="8"/>
      <c r="AS79" s="8"/>
      <c r="AT79" s="8"/>
      <c r="AU79" s="8"/>
      <c r="AV79" s="8"/>
      <c r="AW79" s="8"/>
      <c r="AX79" s="8"/>
      <c r="AY79" s="8"/>
      <c r="AZ79" s="8"/>
      <c r="BA79" s="8"/>
      <c r="BB79" s="8"/>
    </row>
    <row r="80" ht="15.75" customHeight="1">
      <c r="A80" s="11" t="s">
        <v>258</v>
      </c>
      <c r="B80" s="8">
        <f t="shared" si="2"/>
        <v>4.5</v>
      </c>
      <c r="C80" s="8"/>
      <c r="D80" s="8"/>
      <c r="E80" s="8"/>
      <c r="F80" s="8"/>
      <c r="G80" s="20">
        <v>2.5</v>
      </c>
      <c r="H80" s="8"/>
      <c r="I80" s="8"/>
      <c r="J80" s="8"/>
      <c r="K80" s="8"/>
      <c r="L80" s="20">
        <v>2.0</v>
      </c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  <c r="AE80" s="8"/>
      <c r="AF80" s="8"/>
      <c r="AG80" s="8"/>
      <c r="AH80" s="8"/>
      <c r="AI80" s="8"/>
      <c r="AJ80" s="8"/>
      <c r="AK80" s="8"/>
      <c r="AL80" s="8"/>
      <c r="AM80" s="8"/>
      <c r="AN80" s="8"/>
      <c r="AO80" s="8"/>
      <c r="AP80" s="8"/>
      <c r="AQ80" s="8"/>
      <c r="AR80" s="8"/>
      <c r="AS80" s="8"/>
      <c r="AT80" s="8"/>
      <c r="AU80" s="8"/>
      <c r="AV80" s="21"/>
      <c r="AW80" s="8"/>
      <c r="AX80" s="8"/>
      <c r="AY80" s="8"/>
      <c r="AZ80" s="8"/>
      <c r="BA80" s="8"/>
      <c r="BB80" s="8"/>
    </row>
    <row r="81" ht="15.75" customHeight="1">
      <c r="A81" s="11" t="s">
        <v>259</v>
      </c>
      <c r="B81" s="8">
        <f t="shared" si="2"/>
        <v>2.5</v>
      </c>
      <c r="C81" s="8"/>
      <c r="D81" s="8"/>
      <c r="E81" s="8"/>
      <c r="F81" s="8"/>
      <c r="G81" s="8"/>
      <c r="H81" s="8"/>
      <c r="I81" s="8"/>
      <c r="J81" s="8"/>
      <c r="K81" s="21">
        <v>2.5</v>
      </c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  <c r="AD81" s="8"/>
      <c r="AE81" s="8"/>
      <c r="AF81" s="8"/>
      <c r="AG81" s="8"/>
      <c r="AH81" s="8"/>
      <c r="AI81" s="8"/>
      <c r="AJ81" s="8"/>
      <c r="AK81" s="8"/>
      <c r="AL81" s="8"/>
      <c r="AM81" s="8"/>
      <c r="AN81" s="8"/>
      <c r="AO81" s="8"/>
      <c r="AP81" s="8"/>
      <c r="AQ81" s="8"/>
      <c r="AR81" s="8"/>
      <c r="AS81" s="8"/>
      <c r="AT81" s="8"/>
      <c r="AU81" s="8"/>
      <c r="AV81" s="8"/>
      <c r="AW81" s="8"/>
      <c r="AX81" s="8"/>
      <c r="AY81" s="8"/>
      <c r="AZ81" s="8"/>
      <c r="BA81" s="8"/>
      <c r="BB81" s="8"/>
    </row>
    <row r="82" ht="15.75" customHeight="1">
      <c r="A82" s="11" t="s">
        <v>167</v>
      </c>
      <c r="B82" s="8">
        <f t="shared" si="2"/>
        <v>29.5</v>
      </c>
      <c r="C82" s="20">
        <v>2.5</v>
      </c>
      <c r="D82" s="20">
        <v>2.5</v>
      </c>
      <c r="E82" s="21">
        <v>3.0</v>
      </c>
      <c r="F82" s="21">
        <v>1.5</v>
      </c>
      <c r="G82" s="20">
        <v>2.75</v>
      </c>
      <c r="H82" s="20">
        <v>2.0</v>
      </c>
      <c r="I82" s="20">
        <v>2.25</v>
      </c>
      <c r="J82" s="20">
        <v>2.75</v>
      </c>
      <c r="K82" s="21">
        <v>2.5</v>
      </c>
      <c r="L82" s="8"/>
      <c r="M82" s="8"/>
      <c r="N82" s="20">
        <v>2.5</v>
      </c>
      <c r="O82" s="20">
        <v>2.5</v>
      </c>
      <c r="P82" s="20">
        <v>2.75</v>
      </c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  <c r="AD82" s="8"/>
      <c r="AE82" s="8"/>
      <c r="AF82" s="8"/>
      <c r="AG82" s="8"/>
      <c r="AH82" s="8"/>
      <c r="AI82" s="8"/>
      <c r="AJ82" s="8"/>
      <c r="AL82" s="8"/>
      <c r="AM82" s="8"/>
      <c r="AN82" s="8"/>
      <c r="AO82" s="8"/>
      <c r="AP82" s="8"/>
      <c r="AQ82" s="20"/>
      <c r="AR82" s="8"/>
      <c r="AS82" s="20"/>
      <c r="AT82" s="20"/>
      <c r="AU82" s="8"/>
      <c r="AV82" s="8"/>
      <c r="AW82" s="20"/>
      <c r="AX82" s="20"/>
      <c r="AY82" s="21"/>
      <c r="AZ82" s="20"/>
      <c r="BA82" s="20"/>
      <c r="BB82" s="20"/>
    </row>
    <row r="83" ht="15.75" customHeight="1">
      <c r="A83" s="11" t="s">
        <v>151</v>
      </c>
      <c r="B83" s="8">
        <f t="shared" si="2"/>
        <v>0</v>
      </c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  <c r="AE83" s="8"/>
      <c r="AF83" s="8"/>
      <c r="AG83" s="8"/>
      <c r="AH83" s="8"/>
      <c r="AI83" s="8"/>
      <c r="AJ83" s="8"/>
      <c r="AK83" s="8"/>
      <c r="AL83" s="8"/>
      <c r="AM83" s="8"/>
      <c r="AN83" s="8"/>
      <c r="AO83" s="8"/>
      <c r="AP83" s="8"/>
      <c r="AQ83" s="8"/>
      <c r="AR83" s="8"/>
      <c r="AS83" s="8"/>
      <c r="AT83" s="8"/>
      <c r="AU83" s="8"/>
      <c r="AV83" s="8"/>
      <c r="AW83" s="8"/>
      <c r="AX83" s="8"/>
      <c r="AY83" s="8"/>
      <c r="AZ83" s="8"/>
      <c r="BA83" s="8"/>
      <c r="BB83" s="8"/>
    </row>
    <row r="84" ht="15.75" customHeight="1">
      <c r="A84" s="11" t="s">
        <v>260</v>
      </c>
      <c r="B84" s="8">
        <f t="shared" si="2"/>
        <v>0</v>
      </c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  <c r="AE84" s="8"/>
      <c r="AF84" s="8"/>
      <c r="AG84" s="8"/>
      <c r="AH84" s="8"/>
      <c r="AI84" s="8"/>
      <c r="AJ84" s="8"/>
      <c r="AK84" s="8"/>
      <c r="AL84" s="8"/>
      <c r="AM84" s="8"/>
      <c r="AN84" s="8"/>
      <c r="AO84" s="8"/>
      <c r="AP84" s="8"/>
      <c r="AQ84" s="8"/>
      <c r="AR84" s="8"/>
      <c r="AS84" s="8"/>
      <c r="AT84" s="8"/>
      <c r="AU84" s="8"/>
      <c r="AV84" s="8"/>
      <c r="AW84" s="8"/>
      <c r="AX84" s="8"/>
      <c r="AY84" s="8"/>
      <c r="AZ84" s="8"/>
      <c r="BA84" s="8"/>
      <c r="BB84" s="8"/>
    </row>
    <row r="85" ht="15.75" customHeight="1">
      <c r="A85" s="11" t="s">
        <v>261</v>
      </c>
      <c r="B85" s="8">
        <f t="shared" si="2"/>
        <v>0</v>
      </c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  <c r="AE85" s="8"/>
      <c r="AF85" s="8"/>
      <c r="AG85" s="8"/>
      <c r="AH85" s="8"/>
      <c r="AI85" s="8"/>
      <c r="AJ85" s="8"/>
      <c r="AK85" s="8"/>
      <c r="AL85" s="8"/>
      <c r="AM85" s="8"/>
      <c r="AN85" s="8"/>
      <c r="AO85" s="8"/>
      <c r="AP85" s="8"/>
      <c r="AQ85" s="8"/>
      <c r="AR85" s="8"/>
      <c r="AS85" s="8"/>
      <c r="AT85" s="8"/>
      <c r="AU85" s="8"/>
      <c r="AV85" s="8"/>
      <c r="AW85" s="8"/>
      <c r="AX85" s="8"/>
      <c r="AY85" s="8"/>
      <c r="AZ85" s="8"/>
      <c r="BA85" s="8"/>
      <c r="BB85" s="8"/>
    </row>
    <row r="86" ht="15.75" customHeight="1">
      <c r="A86" s="11" t="s">
        <v>262</v>
      </c>
      <c r="B86" s="8">
        <f t="shared" si="2"/>
        <v>0</v>
      </c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  <c r="AE86" s="8"/>
      <c r="AF86" s="8"/>
      <c r="AG86" s="8"/>
      <c r="AH86" s="8"/>
      <c r="AI86" s="8"/>
      <c r="AJ86" s="8"/>
      <c r="AK86" s="8"/>
      <c r="AL86" s="8"/>
      <c r="AM86" s="8"/>
      <c r="AN86" s="8"/>
      <c r="AO86" s="8"/>
      <c r="AP86" s="8"/>
      <c r="AQ86" s="8"/>
      <c r="AR86" s="8"/>
      <c r="AS86" s="8"/>
      <c r="AT86" s="8"/>
      <c r="AU86" s="8"/>
      <c r="AV86" s="21"/>
      <c r="AW86" s="8"/>
      <c r="AX86" s="8"/>
      <c r="AY86" s="8"/>
      <c r="AZ86" s="8"/>
      <c r="BA86" s="8"/>
      <c r="BB86" s="8"/>
    </row>
    <row r="87" ht="15.75" customHeight="1">
      <c r="A87" s="11" t="s">
        <v>188</v>
      </c>
      <c r="B87" s="8">
        <f t="shared" si="2"/>
        <v>0</v>
      </c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  <c r="AD87" s="8"/>
      <c r="AE87" s="8"/>
      <c r="AF87" s="8"/>
      <c r="AG87" s="8"/>
      <c r="AH87" s="8"/>
      <c r="AI87" s="8"/>
      <c r="AJ87" s="8"/>
      <c r="AK87" s="8"/>
      <c r="AL87" s="8"/>
      <c r="AM87" s="8"/>
      <c r="AN87" s="8"/>
      <c r="AO87" s="8"/>
      <c r="AP87" s="8"/>
      <c r="AQ87" s="8"/>
      <c r="AR87" s="8"/>
      <c r="AS87" s="8"/>
      <c r="AT87" s="8"/>
      <c r="AU87" s="8"/>
      <c r="AV87" s="8"/>
      <c r="AW87" s="8"/>
      <c r="AX87" s="8"/>
      <c r="AY87" s="8"/>
      <c r="AZ87" s="8"/>
      <c r="BA87" s="8"/>
      <c r="BB87" s="8"/>
    </row>
    <row r="88" ht="15.75" customHeight="1">
      <c r="A88" s="12" t="s">
        <v>460</v>
      </c>
      <c r="B88" s="8">
        <f t="shared" si="2"/>
        <v>4.5</v>
      </c>
      <c r="C88" s="20">
        <v>2.5</v>
      </c>
      <c r="D88" s="20">
        <v>2.0</v>
      </c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  <c r="AE88" s="8"/>
      <c r="AF88" s="8"/>
      <c r="AG88" s="8"/>
      <c r="AH88" s="8"/>
      <c r="AI88" s="8"/>
      <c r="AJ88" s="8"/>
      <c r="AK88" s="8"/>
      <c r="AL88" s="8"/>
      <c r="AM88" s="8"/>
      <c r="AN88" s="8"/>
      <c r="AO88" s="8"/>
      <c r="AP88" s="8"/>
      <c r="AQ88" s="8"/>
      <c r="AR88" s="8"/>
      <c r="AS88" s="8"/>
      <c r="AT88" s="8"/>
      <c r="AU88" s="8"/>
      <c r="AV88" s="8"/>
      <c r="AW88" s="8"/>
      <c r="AX88" s="8"/>
      <c r="AY88" s="8"/>
      <c r="AZ88" s="20"/>
      <c r="BA88" s="20"/>
      <c r="BB88" s="8"/>
    </row>
    <row r="89" ht="15.75" customHeight="1">
      <c r="A89" s="11" t="s">
        <v>264</v>
      </c>
      <c r="B89" s="8">
        <f t="shared" si="2"/>
        <v>5</v>
      </c>
      <c r="C89" s="8"/>
      <c r="D89" s="8"/>
      <c r="E89" s="21">
        <v>3.0</v>
      </c>
      <c r="F89" s="8"/>
      <c r="G89" s="8"/>
      <c r="H89" s="8"/>
      <c r="I89" s="8"/>
      <c r="J89" s="8"/>
      <c r="K89" s="8"/>
      <c r="L89" s="20">
        <v>2.0</v>
      </c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  <c r="AE89" s="8"/>
      <c r="AF89" s="8"/>
      <c r="AG89" s="8"/>
      <c r="AH89" s="8"/>
      <c r="AI89" s="8"/>
      <c r="AJ89" s="8"/>
      <c r="AK89" s="8"/>
      <c r="AL89" s="8"/>
      <c r="AM89" s="8"/>
      <c r="AN89" s="8"/>
      <c r="AO89" s="8"/>
      <c r="AP89" s="8"/>
      <c r="AQ89" s="8"/>
      <c r="AR89" s="8"/>
      <c r="AS89" s="8"/>
      <c r="AT89" s="8"/>
      <c r="AU89" s="8"/>
      <c r="AV89" s="21"/>
      <c r="AW89" s="8"/>
      <c r="AX89" s="8"/>
      <c r="AY89" s="8"/>
      <c r="AZ89" s="8"/>
      <c r="BA89" s="8"/>
      <c r="BB89" s="8"/>
    </row>
    <row r="90" ht="15.75" customHeight="1">
      <c r="A90" s="11" t="s">
        <v>265</v>
      </c>
      <c r="B90" s="8">
        <f t="shared" si="2"/>
        <v>0</v>
      </c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  <c r="AD90" s="8"/>
      <c r="AE90" s="8"/>
      <c r="AF90" s="8"/>
      <c r="AG90" s="8"/>
      <c r="AH90" s="8"/>
      <c r="AI90" s="8"/>
      <c r="AJ90" s="8"/>
      <c r="AK90" s="8"/>
      <c r="AL90" s="8"/>
      <c r="AM90" s="8"/>
      <c r="AN90" s="8"/>
      <c r="AO90" s="8"/>
      <c r="AP90" s="8"/>
      <c r="AQ90" s="8"/>
      <c r="AR90" s="8"/>
      <c r="AS90" s="8"/>
      <c r="AT90" s="8"/>
      <c r="AU90" s="8"/>
      <c r="AV90" s="8"/>
      <c r="AW90" s="8"/>
      <c r="AX90" s="8"/>
      <c r="AY90" s="8"/>
      <c r="AZ90" s="8"/>
      <c r="BA90" s="8"/>
      <c r="BB90" s="8"/>
    </row>
    <row r="91" ht="15.75" customHeight="1">
      <c r="A91" s="11" t="s">
        <v>266</v>
      </c>
      <c r="B91" s="8">
        <f t="shared" si="2"/>
        <v>0</v>
      </c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  <c r="AE91" s="8"/>
      <c r="AF91" s="8"/>
      <c r="AG91" s="8"/>
      <c r="AH91" s="8"/>
      <c r="AI91" s="8"/>
      <c r="AJ91" s="8"/>
      <c r="AK91" s="8"/>
      <c r="AL91" s="8"/>
      <c r="AM91" s="8"/>
      <c r="AN91" s="8"/>
      <c r="AO91" s="8"/>
      <c r="AP91" s="8"/>
      <c r="AQ91" s="8"/>
      <c r="AR91" s="8"/>
      <c r="AS91" s="8"/>
      <c r="AT91" s="8"/>
      <c r="AU91" s="8"/>
      <c r="AV91" s="8"/>
      <c r="AW91" s="8"/>
      <c r="AX91" s="8"/>
      <c r="AY91" s="8"/>
      <c r="AZ91" s="20"/>
      <c r="BA91" s="8"/>
      <c r="BB91" s="8"/>
    </row>
    <row r="92" ht="15.75" customHeight="1">
      <c r="A92" s="11" t="s">
        <v>149</v>
      </c>
      <c r="B92" s="8">
        <f t="shared" si="2"/>
        <v>2.5</v>
      </c>
      <c r="C92" s="20">
        <v>2.5</v>
      </c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  <c r="AE92" s="8"/>
      <c r="AF92" s="8"/>
      <c r="AG92" s="8"/>
      <c r="AH92" s="8"/>
      <c r="AI92" s="8"/>
      <c r="AJ92" s="8"/>
      <c r="AK92" s="8"/>
      <c r="AL92" s="8"/>
      <c r="AM92" s="8"/>
      <c r="AN92" s="8"/>
      <c r="AO92" s="8"/>
      <c r="AP92" s="8"/>
      <c r="AQ92" s="8"/>
      <c r="AR92" s="8"/>
      <c r="AS92" s="8"/>
      <c r="AT92" s="20"/>
      <c r="AU92" s="20"/>
      <c r="AV92" s="21"/>
      <c r="AW92" s="20"/>
      <c r="AX92" s="8"/>
      <c r="AY92" s="21"/>
      <c r="AZ92" s="8"/>
      <c r="BA92" s="8"/>
      <c r="BB92" s="20"/>
    </row>
    <row r="93" ht="15.75" customHeight="1">
      <c r="A93" s="11" t="s">
        <v>267</v>
      </c>
      <c r="B93" s="8">
        <f t="shared" si="2"/>
        <v>0</v>
      </c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  <c r="AE93" s="8"/>
      <c r="AF93" s="8"/>
      <c r="AG93" s="8"/>
      <c r="AH93" s="8"/>
      <c r="AI93" s="8"/>
      <c r="AJ93" s="8"/>
      <c r="AK93" s="8"/>
      <c r="AL93" s="8"/>
      <c r="AM93" s="8"/>
      <c r="AN93" s="8"/>
      <c r="AO93" s="8"/>
      <c r="AP93" s="8"/>
      <c r="AQ93" s="8"/>
      <c r="AR93" s="8"/>
      <c r="AS93" s="8"/>
      <c r="AT93" s="8"/>
      <c r="AU93" s="8"/>
      <c r="AV93" s="8"/>
      <c r="AW93" s="8"/>
      <c r="AX93" s="8"/>
      <c r="AY93" s="8"/>
      <c r="AZ93" s="8"/>
      <c r="BA93" s="8"/>
      <c r="BB93" s="8"/>
    </row>
    <row r="94" ht="15.75" customHeight="1">
      <c r="A94" s="11" t="s">
        <v>268</v>
      </c>
      <c r="B94" s="8">
        <f t="shared" si="2"/>
        <v>0</v>
      </c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  <c r="AE94" s="8"/>
      <c r="AF94" s="8"/>
      <c r="AG94" s="8"/>
      <c r="AH94" s="8"/>
      <c r="AI94" s="8"/>
      <c r="AJ94" s="8"/>
      <c r="AK94" s="8"/>
      <c r="AL94" s="8"/>
      <c r="AM94" s="8"/>
      <c r="AN94" s="8"/>
      <c r="AO94" s="8"/>
      <c r="AP94" s="8"/>
      <c r="AQ94" s="8"/>
      <c r="AR94" s="8"/>
      <c r="AS94" s="8"/>
      <c r="AT94" s="8"/>
      <c r="AU94" s="8"/>
      <c r="AV94" s="8"/>
      <c r="AW94" s="8"/>
      <c r="AX94" s="8"/>
      <c r="AY94" s="8"/>
      <c r="AZ94" s="8"/>
      <c r="BA94" s="8"/>
      <c r="BB94" s="8"/>
    </row>
    <row r="95" ht="15.75" customHeight="1">
      <c r="A95" s="11" t="s">
        <v>269</v>
      </c>
      <c r="B95" s="8">
        <f t="shared" si="2"/>
        <v>0</v>
      </c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  <c r="AE95" s="8"/>
      <c r="AF95" s="8"/>
      <c r="AG95" s="8"/>
      <c r="AH95" s="8"/>
      <c r="AI95" s="8"/>
      <c r="AJ95" s="8"/>
      <c r="AK95" s="8"/>
      <c r="AL95" s="8"/>
      <c r="AM95" s="8"/>
      <c r="AN95" s="8"/>
      <c r="AO95" s="8"/>
      <c r="AP95" s="8"/>
      <c r="AQ95" s="8"/>
      <c r="AR95" s="8"/>
      <c r="AS95" s="8"/>
      <c r="AT95" s="8"/>
      <c r="AU95" s="8"/>
      <c r="AV95" s="8"/>
      <c r="AW95" s="8"/>
      <c r="AX95" s="8"/>
      <c r="AY95" s="8"/>
      <c r="AZ95" s="8"/>
      <c r="BA95" s="8"/>
      <c r="BB95" s="8"/>
    </row>
    <row r="96" ht="15.75" customHeight="1">
      <c r="A96" s="11" t="s">
        <v>270</v>
      </c>
      <c r="B96" s="8">
        <f t="shared" si="2"/>
        <v>0</v>
      </c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  <c r="AE96" s="8"/>
      <c r="AF96" s="8"/>
      <c r="AG96" s="8"/>
      <c r="AH96" s="8"/>
      <c r="AI96" s="8"/>
      <c r="AJ96" s="8"/>
      <c r="AK96" s="8"/>
      <c r="AL96" s="8"/>
      <c r="AM96" s="8"/>
      <c r="AN96" s="8"/>
      <c r="AO96" s="8"/>
      <c r="AP96" s="8"/>
      <c r="AQ96" s="8"/>
      <c r="AR96" s="8"/>
      <c r="AS96" s="8"/>
      <c r="AT96" s="8"/>
      <c r="AU96" s="8"/>
      <c r="AV96" s="8"/>
      <c r="AW96" s="8"/>
      <c r="AX96" s="8"/>
      <c r="AY96" s="8"/>
      <c r="AZ96" s="8"/>
      <c r="BA96" s="8"/>
      <c r="BB96" s="8"/>
    </row>
    <row r="97" ht="15.75" customHeight="1">
      <c r="A97" s="11" t="s">
        <v>271</v>
      </c>
      <c r="B97" s="8">
        <f t="shared" si="2"/>
        <v>0</v>
      </c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  <c r="AE97" s="8"/>
      <c r="AF97" s="8"/>
      <c r="AG97" s="8"/>
      <c r="AH97" s="8"/>
      <c r="AI97" s="8"/>
      <c r="AJ97" s="8"/>
      <c r="AK97" s="8"/>
      <c r="AL97" s="8"/>
      <c r="AM97" s="8"/>
      <c r="AN97" s="8"/>
      <c r="AO97" s="8"/>
      <c r="AP97" s="8"/>
      <c r="AQ97" s="8"/>
      <c r="AR97" s="8"/>
      <c r="AS97" s="8"/>
      <c r="AT97" s="8"/>
      <c r="AU97" s="8"/>
      <c r="AV97" s="8"/>
      <c r="AW97" s="8"/>
      <c r="AX97" s="8"/>
      <c r="AY97" s="8"/>
      <c r="AZ97" s="8"/>
      <c r="BA97" s="8"/>
      <c r="BB97" s="8"/>
    </row>
    <row r="98" ht="15.75" customHeight="1">
      <c r="A98" s="12" t="s">
        <v>272</v>
      </c>
      <c r="B98" s="8">
        <f t="shared" si="2"/>
        <v>2</v>
      </c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20">
        <v>2.0</v>
      </c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  <c r="AE98" s="8"/>
      <c r="AF98" s="8"/>
      <c r="AG98" s="8"/>
      <c r="AH98" s="8"/>
      <c r="AI98" s="8"/>
      <c r="AJ98" s="8"/>
      <c r="AK98" s="8"/>
      <c r="AL98" s="8"/>
      <c r="AM98" s="8"/>
      <c r="AN98" s="8"/>
      <c r="AO98" s="8"/>
      <c r="AP98" s="8"/>
      <c r="AQ98" s="20"/>
      <c r="AR98" s="20"/>
      <c r="AS98" s="8"/>
      <c r="AT98" s="8"/>
      <c r="AU98" s="8"/>
      <c r="AV98" s="8"/>
      <c r="AW98" s="8"/>
      <c r="AX98" s="8"/>
      <c r="AY98" s="8"/>
      <c r="AZ98" s="8"/>
      <c r="BA98" s="8"/>
      <c r="BB98" s="8"/>
    </row>
    <row r="99" ht="15.75" customHeight="1">
      <c r="A99" s="12" t="s">
        <v>170</v>
      </c>
      <c r="B99" s="8">
        <f t="shared" si="2"/>
        <v>1.5</v>
      </c>
      <c r="C99" s="8"/>
      <c r="D99" s="8"/>
      <c r="E99" s="8"/>
      <c r="F99" s="21">
        <v>1.5</v>
      </c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  <c r="AE99" s="8"/>
      <c r="AF99" s="8"/>
      <c r="AG99" s="8"/>
      <c r="AH99" s="8"/>
      <c r="AI99" s="8"/>
      <c r="AJ99" s="8"/>
      <c r="AK99" s="8"/>
      <c r="AL99" s="8"/>
      <c r="AM99" s="8"/>
      <c r="AN99" s="8"/>
      <c r="AO99" s="8"/>
      <c r="AP99" s="8"/>
      <c r="AQ99" s="20"/>
      <c r="AR99" s="8"/>
      <c r="AS99" s="8"/>
      <c r="AT99" s="8"/>
      <c r="AU99" s="8"/>
      <c r="AV99" s="8"/>
      <c r="AW99" s="8"/>
      <c r="AX99" s="8"/>
      <c r="AY99" s="8"/>
      <c r="AZ99" s="8"/>
      <c r="BA99" s="8"/>
      <c r="BB99" s="8"/>
    </row>
    <row r="100" ht="15.75" customHeight="1">
      <c r="A100" s="12" t="s">
        <v>273</v>
      </c>
      <c r="B100" s="8">
        <f t="shared" si="2"/>
        <v>0</v>
      </c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  <c r="AE100" s="8"/>
      <c r="AF100" s="8"/>
      <c r="AG100" s="8"/>
      <c r="AH100" s="8"/>
      <c r="AI100" s="8"/>
      <c r="AJ100" s="8"/>
      <c r="AK100" s="8"/>
      <c r="AL100" s="8"/>
      <c r="AM100" s="8"/>
      <c r="AN100" s="8"/>
      <c r="AO100" s="8"/>
      <c r="AP100" s="8"/>
      <c r="AQ100" s="8"/>
      <c r="AR100" s="20"/>
      <c r="AS100" s="20"/>
      <c r="AT100" s="20"/>
      <c r="AU100" s="8"/>
      <c r="AV100" s="8"/>
      <c r="AW100" s="8"/>
      <c r="AX100" s="8"/>
      <c r="AY100" s="8"/>
      <c r="AZ100" s="8"/>
      <c r="BA100" s="8"/>
      <c r="BB100" s="8"/>
    </row>
    <row r="101" ht="15.75" customHeight="1">
      <c r="A101" s="12" t="s">
        <v>274</v>
      </c>
      <c r="B101" s="8">
        <f t="shared" si="2"/>
        <v>0</v>
      </c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  <c r="AE101" s="8"/>
      <c r="AF101" s="8"/>
      <c r="AG101" s="8"/>
      <c r="AH101" s="8"/>
      <c r="AI101" s="8"/>
      <c r="AJ101" s="8"/>
      <c r="AK101" s="8"/>
      <c r="AL101" s="8"/>
      <c r="AM101" s="8"/>
      <c r="AN101" s="8"/>
      <c r="AO101" s="8"/>
      <c r="AP101" s="8"/>
      <c r="AQ101" s="8"/>
      <c r="AR101" s="20"/>
      <c r="AS101" s="8"/>
      <c r="AT101" s="8"/>
      <c r="AU101" s="8"/>
      <c r="AV101" s="8"/>
      <c r="AW101" s="8"/>
      <c r="AX101" s="8"/>
      <c r="AY101" s="8"/>
      <c r="AZ101" s="8"/>
      <c r="BA101" s="8"/>
      <c r="BB101" s="8"/>
    </row>
    <row r="102" ht="15.75" customHeight="1">
      <c r="A102" s="12" t="s">
        <v>275</v>
      </c>
      <c r="B102" s="8">
        <f t="shared" si="2"/>
        <v>0</v>
      </c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  <c r="AE102" s="8"/>
      <c r="AF102" s="8"/>
      <c r="AG102" s="8"/>
      <c r="AH102" s="8"/>
      <c r="AI102" s="8"/>
      <c r="AJ102" s="8"/>
      <c r="AK102" s="8"/>
      <c r="AL102" s="8"/>
      <c r="AM102" s="8"/>
      <c r="AN102" s="8"/>
      <c r="AO102" s="8"/>
      <c r="AP102" s="8"/>
      <c r="AQ102" s="8"/>
      <c r="AR102" s="20"/>
      <c r="AS102" s="8"/>
      <c r="AT102" s="8"/>
      <c r="AU102" s="8"/>
      <c r="AV102" s="8"/>
      <c r="AW102" s="8"/>
      <c r="AX102" s="8"/>
      <c r="AY102" s="8"/>
      <c r="AZ102" s="8"/>
      <c r="BA102" s="8"/>
      <c r="BB102" s="8"/>
    </row>
    <row r="103" ht="15.75" customHeight="1">
      <c r="A103" s="12" t="s">
        <v>276</v>
      </c>
      <c r="B103" s="8">
        <f t="shared" si="2"/>
        <v>0</v>
      </c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  <c r="AE103" s="8"/>
      <c r="AF103" s="8"/>
      <c r="AG103" s="8"/>
      <c r="AH103" s="8"/>
      <c r="AI103" s="8"/>
      <c r="AJ103" s="8"/>
      <c r="AK103" s="8"/>
      <c r="AL103" s="8"/>
      <c r="AM103" s="8"/>
      <c r="AN103" s="8"/>
      <c r="AO103" s="8"/>
      <c r="AP103" s="8"/>
      <c r="AQ103" s="8"/>
      <c r="AR103" s="8"/>
      <c r="AS103" s="20"/>
      <c r="AT103" s="20"/>
      <c r="AU103" s="8"/>
      <c r="AV103" s="8"/>
      <c r="AW103" s="8"/>
      <c r="AX103" s="8"/>
      <c r="AY103" s="8"/>
      <c r="AZ103" s="8"/>
      <c r="BA103" s="8"/>
      <c r="BB103" s="8"/>
    </row>
    <row r="104" ht="15.75" customHeight="1">
      <c r="A104" s="12" t="s">
        <v>171</v>
      </c>
      <c r="B104" s="8">
        <f t="shared" si="2"/>
        <v>0</v>
      </c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  <c r="AE104" s="8"/>
      <c r="AF104" s="8"/>
      <c r="AG104" s="8"/>
      <c r="AH104" s="8"/>
      <c r="AI104" s="8"/>
      <c r="AJ104" s="8"/>
      <c r="AK104" s="8"/>
      <c r="AL104" s="8"/>
      <c r="AM104" s="8"/>
      <c r="AN104" s="8"/>
      <c r="AO104" s="8"/>
      <c r="AP104" s="8"/>
      <c r="AQ104" s="8"/>
      <c r="AR104" s="8"/>
      <c r="AS104" s="20"/>
      <c r="AT104" s="20"/>
      <c r="AU104" s="8"/>
      <c r="AV104" s="8"/>
      <c r="AW104" s="8"/>
      <c r="AX104" s="8"/>
      <c r="AY104" s="8"/>
      <c r="AZ104" s="8"/>
      <c r="BA104" s="8"/>
      <c r="BB104" s="8"/>
    </row>
    <row r="105" ht="15.75" customHeight="1">
      <c r="A105" s="12" t="s">
        <v>277</v>
      </c>
      <c r="B105" s="8">
        <f t="shared" si="2"/>
        <v>0</v>
      </c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  <c r="AE105" s="8"/>
      <c r="AF105" s="8"/>
      <c r="AG105" s="8"/>
      <c r="AH105" s="8"/>
      <c r="AI105" s="8"/>
      <c r="AJ105" s="8"/>
      <c r="AK105" s="8"/>
      <c r="AL105" s="8"/>
      <c r="AM105" s="8"/>
      <c r="AN105" s="8"/>
      <c r="AO105" s="8"/>
      <c r="AP105" s="8"/>
      <c r="AQ105" s="8"/>
      <c r="AR105" s="8"/>
      <c r="AS105" s="20"/>
      <c r="AT105" s="20"/>
      <c r="AU105" s="8"/>
      <c r="AV105" s="8"/>
      <c r="AW105" s="8"/>
      <c r="AX105" s="8"/>
      <c r="AY105" s="8"/>
      <c r="AZ105" s="8"/>
      <c r="BA105" s="8"/>
      <c r="BB105" s="8"/>
    </row>
    <row r="106" ht="15.75" customHeight="1">
      <c r="A106" s="12" t="s">
        <v>278</v>
      </c>
      <c r="B106" s="8">
        <f t="shared" si="2"/>
        <v>0</v>
      </c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  <c r="AE106" s="8"/>
      <c r="AF106" s="8"/>
      <c r="AG106" s="8"/>
      <c r="AH106" s="8"/>
      <c r="AI106" s="8"/>
      <c r="AJ106" s="8"/>
      <c r="AK106" s="8"/>
      <c r="AL106" s="8"/>
      <c r="AM106" s="8"/>
      <c r="AN106" s="8"/>
      <c r="AO106" s="8"/>
      <c r="AP106" s="8"/>
      <c r="AQ106" s="8"/>
      <c r="AR106" s="8"/>
      <c r="AS106" s="20"/>
      <c r="AT106" s="20"/>
      <c r="AU106" s="8"/>
      <c r="AV106" s="8"/>
      <c r="AW106" s="8"/>
      <c r="AX106" s="8"/>
      <c r="AY106" s="8"/>
      <c r="AZ106" s="8"/>
      <c r="BA106" s="8"/>
      <c r="BB106" s="8"/>
    </row>
    <row r="107" ht="15.75" customHeight="1">
      <c r="A107" s="12" t="s">
        <v>162</v>
      </c>
      <c r="B107" s="8">
        <f t="shared" si="2"/>
        <v>0</v>
      </c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  <c r="AE107" s="8"/>
      <c r="AF107" s="8"/>
      <c r="AG107" s="8"/>
      <c r="AH107" s="8"/>
      <c r="AI107" s="8"/>
      <c r="AJ107" s="8"/>
      <c r="AK107" s="8"/>
      <c r="AL107" s="8"/>
      <c r="AM107" s="8"/>
      <c r="AN107" s="8"/>
      <c r="AO107" s="8"/>
      <c r="AP107" s="8"/>
      <c r="AQ107" s="8"/>
      <c r="AR107" s="8"/>
      <c r="AS107" s="20"/>
      <c r="AT107" s="20"/>
      <c r="AU107" s="8"/>
      <c r="AV107" s="8"/>
      <c r="AW107" s="8"/>
      <c r="AX107" s="8"/>
      <c r="AY107" s="8"/>
      <c r="AZ107" s="8"/>
      <c r="BA107" s="8"/>
      <c r="BB107" s="8"/>
    </row>
    <row r="108" ht="15.75" customHeight="1">
      <c r="A108" s="12" t="s">
        <v>164</v>
      </c>
      <c r="B108" s="8">
        <f t="shared" si="2"/>
        <v>2.5</v>
      </c>
      <c r="C108" s="20">
        <v>2.5</v>
      </c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  <c r="AE108" s="8"/>
      <c r="AF108" s="8"/>
      <c r="AG108" s="8"/>
      <c r="AH108" s="8"/>
      <c r="AI108" s="8"/>
      <c r="AJ108" s="8"/>
      <c r="AK108" s="8"/>
      <c r="AL108" s="8"/>
      <c r="AM108" s="8"/>
      <c r="AN108" s="8"/>
      <c r="AO108" s="8"/>
      <c r="AP108" s="8"/>
      <c r="AQ108" s="8"/>
      <c r="AR108" s="8"/>
      <c r="AS108" s="20"/>
      <c r="AT108" s="20"/>
      <c r="AU108" s="8"/>
      <c r="AV108" s="8"/>
      <c r="AW108" s="8"/>
      <c r="AX108" s="8"/>
      <c r="AY108" s="8"/>
      <c r="AZ108" s="8"/>
      <c r="BA108" s="8"/>
      <c r="BB108" s="8"/>
    </row>
    <row r="109" ht="15.75" customHeight="1">
      <c r="A109" s="12" t="s">
        <v>279</v>
      </c>
      <c r="B109" s="8">
        <f t="shared" si="2"/>
        <v>0</v>
      </c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  <c r="AE109" s="8"/>
      <c r="AF109" s="8"/>
      <c r="AG109" s="8"/>
      <c r="AH109" s="8"/>
      <c r="AI109" s="8"/>
      <c r="AJ109" s="8"/>
      <c r="AK109" s="8"/>
      <c r="AL109" s="8"/>
      <c r="AM109" s="8"/>
      <c r="AN109" s="8"/>
      <c r="AO109" s="8"/>
      <c r="AP109" s="8"/>
      <c r="AQ109" s="8"/>
      <c r="AR109" s="8"/>
      <c r="AS109" s="8"/>
      <c r="AT109" s="20"/>
      <c r="AU109" s="8"/>
      <c r="AV109" s="8"/>
      <c r="AW109" s="8"/>
      <c r="AX109" s="8"/>
      <c r="AY109" s="8"/>
      <c r="AZ109" s="8"/>
      <c r="BA109" s="8"/>
      <c r="BB109" s="8"/>
    </row>
    <row r="110" ht="15.75" customHeight="1">
      <c r="A110" s="12" t="s">
        <v>280</v>
      </c>
      <c r="B110" s="8">
        <f t="shared" si="2"/>
        <v>0</v>
      </c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  <c r="AE110" s="8"/>
      <c r="AF110" s="8"/>
      <c r="AG110" s="8"/>
      <c r="AH110" s="8"/>
      <c r="AI110" s="8"/>
      <c r="AJ110" s="8"/>
      <c r="AK110" s="8"/>
      <c r="AL110" s="8"/>
      <c r="AM110" s="8"/>
      <c r="AN110" s="8"/>
      <c r="AO110" s="8"/>
      <c r="AP110" s="8"/>
      <c r="AQ110" s="8"/>
      <c r="AR110" s="8"/>
      <c r="AS110" s="8"/>
      <c r="AT110" s="20"/>
      <c r="AU110" s="8"/>
      <c r="AV110" s="8"/>
      <c r="AW110" s="8"/>
      <c r="AX110" s="8"/>
      <c r="AY110" s="8"/>
      <c r="AZ110" s="8"/>
      <c r="BA110" s="8"/>
      <c r="BB110" s="8"/>
    </row>
    <row r="111" ht="15.75" customHeight="1">
      <c r="A111" s="12" t="s">
        <v>155</v>
      </c>
      <c r="B111" s="8">
        <f t="shared" si="2"/>
        <v>0</v>
      </c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  <c r="AE111" s="8"/>
      <c r="AF111" s="8"/>
      <c r="AG111" s="8"/>
      <c r="AH111" s="8"/>
      <c r="AI111" s="8"/>
      <c r="AJ111" s="8"/>
      <c r="AK111" s="8"/>
      <c r="AL111" s="8"/>
      <c r="AM111" s="8"/>
      <c r="AN111" s="8"/>
      <c r="AO111" s="8"/>
      <c r="AP111" s="8"/>
      <c r="AQ111" s="8"/>
      <c r="AR111" s="8"/>
      <c r="AS111" s="8"/>
      <c r="AT111" s="20"/>
      <c r="AU111" s="8"/>
      <c r="AV111" s="8"/>
      <c r="AW111" s="8"/>
      <c r="AX111" s="8"/>
      <c r="AY111" s="8"/>
      <c r="AZ111" s="8"/>
      <c r="BA111" s="8"/>
      <c r="BB111" s="8"/>
    </row>
    <row r="112" ht="15.75" customHeight="1">
      <c r="A112" s="12" t="s">
        <v>281</v>
      </c>
      <c r="B112" s="8">
        <f t="shared" si="2"/>
        <v>2</v>
      </c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20">
        <v>2.0</v>
      </c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  <c r="AE112" s="8"/>
      <c r="AF112" s="8"/>
      <c r="AG112" s="8"/>
      <c r="AH112" s="8"/>
      <c r="AI112" s="8"/>
      <c r="AJ112" s="8"/>
      <c r="AK112" s="8"/>
      <c r="AL112" s="8"/>
      <c r="AM112" s="8"/>
      <c r="AN112" s="8"/>
      <c r="AO112" s="8"/>
      <c r="AP112" s="8"/>
      <c r="AQ112" s="8"/>
      <c r="AR112" s="8"/>
      <c r="AS112" s="8"/>
      <c r="AT112" s="8"/>
      <c r="AU112" s="20"/>
      <c r="AV112" s="8"/>
      <c r="AW112" s="8"/>
      <c r="AX112" s="8"/>
      <c r="AY112" s="8"/>
      <c r="AZ112" s="8"/>
      <c r="BA112" s="8"/>
      <c r="BB112" s="8"/>
    </row>
    <row r="113" ht="15.75" customHeight="1">
      <c r="A113" s="12" t="s">
        <v>282</v>
      </c>
      <c r="B113" s="8">
        <f t="shared" si="2"/>
        <v>0</v>
      </c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  <c r="AE113" s="8"/>
      <c r="AF113" s="8"/>
      <c r="AG113" s="8"/>
      <c r="AH113" s="8"/>
      <c r="AI113" s="8"/>
      <c r="AJ113" s="8"/>
      <c r="AK113" s="8"/>
      <c r="AL113" s="8"/>
      <c r="AM113" s="8"/>
      <c r="AN113" s="8"/>
      <c r="AO113" s="8"/>
      <c r="AP113" s="8"/>
      <c r="AQ113" s="8"/>
      <c r="AR113" s="8"/>
      <c r="AS113" s="8"/>
      <c r="AT113" s="8"/>
      <c r="AU113" s="20"/>
      <c r="AV113" s="8"/>
      <c r="AW113" s="8"/>
      <c r="AX113" s="8"/>
      <c r="AY113" s="8"/>
      <c r="AZ113" s="8"/>
      <c r="BA113" s="8"/>
      <c r="BB113" s="8"/>
    </row>
    <row r="114" ht="15.75" customHeight="1">
      <c r="A114" s="12" t="s">
        <v>283</v>
      </c>
      <c r="B114" s="8">
        <f t="shared" si="2"/>
        <v>2.5</v>
      </c>
      <c r="C114" s="20">
        <v>2.5</v>
      </c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  <c r="AE114" s="8"/>
      <c r="AF114" s="8"/>
      <c r="AG114" s="8"/>
      <c r="AH114" s="8"/>
      <c r="AI114" s="8"/>
      <c r="AJ114" s="8"/>
      <c r="AK114" s="8"/>
      <c r="AL114" s="8"/>
      <c r="AM114" s="8"/>
      <c r="AN114" s="8"/>
      <c r="AO114" s="8"/>
      <c r="AP114" s="8"/>
      <c r="AQ114" s="8"/>
      <c r="AR114" s="8"/>
      <c r="AS114" s="8"/>
      <c r="AT114" s="8"/>
      <c r="AU114" s="20"/>
      <c r="AV114" s="8"/>
      <c r="AW114" s="8"/>
      <c r="AX114" s="20"/>
      <c r="AY114" s="21"/>
      <c r="AZ114" s="8"/>
      <c r="BA114" s="8"/>
      <c r="BB114" s="8"/>
    </row>
    <row r="115" ht="15.75" customHeight="1">
      <c r="A115" s="12" t="s">
        <v>284</v>
      </c>
      <c r="B115" s="8">
        <f t="shared" si="2"/>
        <v>2.5</v>
      </c>
      <c r="C115" s="20">
        <v>2.5</v>
      </c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  <c r="AE115" s="8"/>
      <c r="AF115" s="8"/>
      <c r="AG115" s="8"/>
      <c r="AH115" s="8"/>
      <c r="AI115" s="8"/>
      <c r="AJ115" s="8"/>
      <c r="AK115" s="8"/>
      <c r="AL115" s="8"/>
      <c r="AM115" s="8"/>
      <c r="AN115" s="8"/>
      <c r="AO115" s="8"/>
      <c r="AP115" s="8"/>
      <c r="AQ115" s="8"/>
      <c r="AR115" s="8"/>
      <c r="AS115" s="8"/>
      <c r="AT115" s="8"/>
      <c r="AU115" s="20"/>
      <c r="AV115" s="8"/>
      <c r="AW115" s="8"/>
      <c r="AX115" s="20"/>
      <c r="AY115" s="21"/>
      <c r="AZ115" s="8"/>
      <c r="BA115" s="8"/>
      <c r="BB115" s="8"/>
    </row>
    <row r="116" ht="15.75" customHeight="1">
      <c r="A116" s="12" t="s">
        <v>285</v>
      </c>
      <c r="B116" s="8">
        <f t="shared" si="2"/>
        <v>0</v>
      </c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  <c r="AE116" s="8"/>
      <c r="AF116" s="8"/>
      <c r="AG116" s="8"/>
      <c r="AH116" s="8"/>
      <c r="AI116" s="8"/>
      <c r="AJ116" s="8"/>
      <c r="AK116" s="8"/>
      <c r="AL116" s="8"/>
      <c r="AM116" s="8"/>
      <c r="AN116" s="8"/>
      <c r="AO116" s="8"/>
      <c r="AP116" s="8"/>
      <c r="AQ116" s="8"/>
      <c r="AR116" s="8"/>
      <c r="AS116" s="8"/>
      <c r="AT116" s="8"/>
      <c r="AU116" s="20"/>
      <c r="AV116" s="8"/>
      <c r="AW116" s="8"/>
      <c r="AX116" s="8"/>
      <c r="AY116" s="8"/>
      <c r="AZ116" s="8"/>
      <c r="BA116" s="8"/>
      <c r="BB116" s="8"/>
    </row>
    <row r="117" ht="15.75" customHeight="1">
      <c r="A117" s="12" t="s">
        <v>286</v>
      </c>
      <c r="B117" s="8">
        <f t="shared" si="2"/>
        <v>0</v>
      </c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  <c r="AE117" s="8"/>
      <c r="AF117" s="8"/>
      <c r="AG117" s="8"/>
      <c r="AH117" s="8"/>
      <c r="AI117" s="8"/>
      <c r="AJ117" s="8"/>
      <c r="AK117" s="8"/>
      <c r="AL117" s="8"/>
      <c r="AM117" s="8"/>
      <c r="AN117" s="8"/>
      <c r="AO117" s="8"/>
      <c r="AP117" s="8"/>
      <c r="AQ117" s="8"/>
      <c r="AR117" s="8"/>
      <c r="AS117" s="8"/>
      <c r="AT117" s="8"/>
      <c r="AU117" s="20"/>
      <c r="AV117" s="8"/>
      <c r="AW117" s="8"/>
      <c r="AX117" s="8"/>
      <c r="AY117" s="8"/>
      <c r="AZ117" s="8"/>
      <c r="BA117" s="8"/>
      <c r="BB117" s="8"/>
    </row>
    <row r="118" ht="15.75" customHeight="1">
      <c r="A118" s="12" t="s">
        <v>287</v>
      </c>
      <c r="B118" s="8">
        <f t="shared" si="2"/>
        <v>0</v>
      </c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  <c r="AE118" s="8"/>
      <c r="AF118" s="8"/>
      <c r="AG118" s="8"/>
      <c r="AH118" s="8"/>
      <c r="AI118" s="8"/>
      <c r="AJ118" s="8"/>
      <c r="AK118" s="8"/>
      <c r="AL118" s="8"/>
      <c r="AM118" s="8"/>
      <c r="AN118" s="8"/>
      <c r="AO118" s="8"/>
      <c r="AP118" s="8"/>
      <c r="AQ118" s="8"/>
      <c r="AR118" s="8"/>
      <c r="AS118" s="8"/>
      <c r="AT118" s="8"/>
      <c r="AU118" s="20"/>
      <c r="AV118" s="8"/>
      <c r="AW118" s="8"/>
      <c r="AX118" s="8"/>
      <c r="AY118" s="8"/>
      <c r="AZ118" s="8"/>
      <c r="BA118" s="8"/>
      <c r="BB118" s="8"/>
    </row>
    <row r="119" ht="15.75" customHeight="1">
      <c r="A119" s="12" t="s">
        <v>288</v>
      </c>
      <c r="B119" s="8">
        <f t="shared" si="2"/>
        <v>0</v>
      </c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  <c r="AE119" s="8"/>
      <c r="AF119" s="8"/>
      <c r="AG119" s="8"/>
      <c r="AH119" s="8"/>
      <c r="AI119" s="8"/>
      <c r="AJ119" s="8"/>
      <c r="AK119" s="8"/>
      <c r="AL119" s="8"/>
      <c r="AM119" s="8"/>
      <c r="AN119" s="8"/>
      <c r="AO119" s="8"/>
      <c r="AP119" s="8"/>
      <c r="AQ119" s="8"/>
      <c r="AR119" s="8"/>
      <c r="AS119" s="8"/>
      <c r="AT119" s="8"/>
      <c r="AU119" s="20"/>
      <c r="AV119" s="8"/>
      <c r="AW119" s="8"/>
      <c r="AX119" s="8"/>
      <c r="AY119" s="8"/>
      <c r="AZ119" s="8"/>
      <c r="BA119" s="8"/>
      <c r="BB119" s="8"/>
    </row>
    <row r="120" ht="15.75" customHeight="1">
      <c r="A120" s="12" t="s">
        <v>289</v>
      </c>
      <c r="B120" s="8">
        <f t="shared" si="2"/>
        <v>0</v>
      </c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  <c r="AE120" s="8"/>
      <c r="AF120" s="8"/>
      <c r="AG120" s="8"/>
      <c r="AH120" s="8"/>
      <c r="AI120" s="8"/>
      <c r="AJ120" s="8"/>
      <c r="AK120" s="8"/>
      <c r="AL120" s="8"/>
      <c r="AM120" s="8"/>
      <c r="AN120" s="8"/>
      <c r="AO120" s="8"/>
      <c r="AP120" s="8"/>
      <c r="AQ120" s="8"/>
      <c r="AR120" s="8"/>
      <c r="AS120" s="8"/>
      <c r="AT120" s="8"/>
      <c r="AU120" s="20"/>
      <c r="AV120" s="8"/>
      <c r="AW120" s="8"/>
      <c r="AX120" s="8"/>
      <c r="AY120" s="8"/>
      <c r="AZ120" s="8"/>
      <c r="BA120" s="8"/>
      <c r="BB120" s="8"/>
    </row>
    <row r="121" ht="15.75" customHeight="1">
      <c r="A121" s="12" t="s">
        <v>290</v>
      </c>
      <c r="B121" s="8">
        <f t="shared" si="2"/>
        <v>0</v>
      </c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  <c r="AE121" s="8"/>
      <c r="AF121" s="8"/>
      <c r="AG121" s="8"/>
      <c r="AH121" s="8"/>
      <c r="AI121" s="8"/>
      <c r="AJ121" s="8"/>
      <c r="AK121" s="8"/>
      <c r="AL121" s="8"/>
      <c r="AM121" s="8"/>
      <c r="AN121" s="8"/>
      <c r="AO121" s="8"/>
      <c r="AP121" s="8"/>
      <c r="AQ121" s="8"/>
      <c r="AR121" s="8"/>
      <c r="AS121" s="8"/>
      <c r="AT121" s="8"/>
      <c r="AU121" s="20"/>
      <c r="AV121" s="8"/>
      <c r="AW121" s="8"/>
      <c r="AX121" s="8"/>
      <c r="AY121" s="8"/>
      <c r="AZ121" s="8"/>
      <c r="BA121" s="8"/>
      <c r="BB121" s="8"/>
    </row>
    <row r="122" ht="15.75" customHeight="1">
      <c r="A122" s="30" t="s">
        <v>291</v>
      </c>
      <c r="B122" s="8">
        <f t="shared" si="2"/>
        <v>0</v>
      </c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  <c r="AE122" s="8"/>
      <c r="AF122" s="8"/>
      <c r="AG122" s="8"/>
      <c r="AH122" s="8"/>
      <c r="AI122" s="8"/>
      <c r="AJ122" s="8"/>
      <c r="AK122" s="8"/>
      <c r="AL122" s="8"/>
      <c r="AM122" s="8"/>
      <c r="AN122" s="8"/>
      <c r="AO122" s="8"/>
      <c r="AP122" s="8"/>
      <c r="AQ122" s="8"/>
      <c r="AR122" s="8"/>
      <c r="AS122" s="8"/>
      <c r="AT122" s="8"/>
      <c r="AU122" s="8"/>
      <c r="AV122" s="21"/>
      <c r="AW122" s="8"/>
      <c r="AX122" s="8"/>
      <c r="AY122" s="8"/>
      <c r="AZ122" s="8"/>
      <c r="BA122" s="8"/>
      <c r="BB122" s="8"/>
    </row>
    <row r="123" ht="15.75" customHeight="1">
      <c r="A123" s="30" t="s">
        <v>292</v>
      </c>
      <c r="B123" s="8">
        <f t="shared" si="2"/>
        <v>0</v>
      </c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  <c r="AE123" s="8"/>
      <c r="AF123" s="8"/>
      <c r="AG123" s="8"/>
      <c r="AH123" s="8"/>
      <c r="AI123" s="8"/>
      <c r="AJ123" s="8"/>
      <c r="AK123" s="8"/>
      <c r="AL123" s="8"/>
      <c r="AM123" s="8"/>
      <c r="AN123" s="8"/>
      <c r="AO123" s="8"/>
      <c r="AP123" s="8"/>
      <c r="AQ123" s="8"/>
      <c r="AR123" s="8"/>
      <c r="AS123" s="8"/>
      <c r="AT123" s="8"/>
      <c r="AU123" s="8"/>
      <c r="AV123" s="21"/>
      <c r="AW123" s="8"/>
      <c r="AX123" s="8"/>
      <c r="AY123" s="8"/>
      <c r="AZ123" s="8"/>
      <c r="BA123" s="8"/>
      <c r="BB123" s="8"/>
    </row>
    <row r="124" ht="15.75" customHeight="1">
      <c r="A124" s="30" t="s">
        <v>169</v>
      </c>
      <c r="B124" s="8">
        <f t="shared" si="2"/>
        <v>0</v>
      </c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  <c r="AE124" s="8"/>
      <c r="AF124" s="8"/>
      <c r="AG124" s="8"/>
      <c r="AH124" s="8"/>
      <c r="AI124" s="8"/>
      <c r="AJ124" s="8"/>
      <c r="AK124" s="8"/>
      <c r="AL124" s="8"/>
      <c r="AM124" s="8"/>
      <c r="AN124" s="8"/>
      <c r="AO124" s="8"/>
      <c r="AP124" s="8"/>
      <c r="AQ124" s="8"/>
      <c r="AR124" s="8"/>
      <c r="AS124" s="8"/>
      <c r="AT124" s="8"/>
      <c r="AU124" s="8"/>
      <c r="AV124" s="21"/>
      <c r="AW124" s="8"/>
      <c r="AX124" s="8"/>
      <c r="AY124" s="8"/>
      <c r="AZ124" s="8"/>
      <c r="BA124" s="8"/>
      <c r="BB124" s="8"/>
    </row>
    <row r="125" ht="15.75" customHeight="1">
      <c r="A125" s="30" t="s">
        <v>293</v>
      </c>
      <c r="B125" s="8">
        <f t="shared" si="2"/>
        <v>0</v>
      </c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8"/>
      <c r="AF125" s="8"/>
      <c r="AG125" s="8"/>
      <c r="AH125" s="8"/>
      <c r="AI125" s="8"/>
      <c r="AJ125" s="8"/>
      <c r="AK125" s="8"/>
      <c r="AL125" s="8"/>
      <c r="AM125" s="8"/>
      <c r="AN125" s="8"/>
      <c r="AO125" s="8"/>
      <c r="AP125" s="8"/>
      <c r="AQ125" s="8"/>
      <c r="AR125" s="8"/>
      <c r="AS125" s="8"/>
      <c r="AT125" s="8"/>
      <c r="AU125" s="8"/>
      <c r="AV125" s="21"/>
      <c r="AW125" s="20"/>
      <c r="AX125" s="8"/>
      <c r="AY125" s="8"/>
      <c r="AZ125" s="8"/>
      <c r="BA125" s="8"/>
      <c r="BB125" s="8"/>
    </row>
    <row r="126" ht="15.75" customHeight="1">
      <c r="A126" s="12" t="s">
        <v>294</v>
      </c>
      <c r="B126" s="8">
        <f t="shared" si="2"/>
        <v>0</v>
      </c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  <c r="AE126" s="8"/>
      <c r="AF126" s="8"/>
      <c r="AG126" s="8"/>
      <c r="AH126" s="8"/>
      <c r="AI126" s="8"/>
      <c r="AJ126" s="8"/>
      <c r="AK126" s="8"/>
      <c r="AL126" s="8"/>
      <c r="AM126" s="8"/>
      <c r="AN126" s="8"/>
      <c r="AO126" s="8"/>
      <c r="AP126" s="8"/>
      <c r="AQ126" s="8"/>
      <c r="AR126" s="8"/>
      <c r="AS126" s="8"/>
      <c r="AT126" s="8"/>
      <c r="AU126" s="8"/>
      <c r="AV126" s="8"/>
      <c r="AW126" s="20"/>
      <c r="AX126" s="8"/>
      <c r="AY126" s="8"/>
      <c r="AZ126" s="8"/>
      <c r="BA126" s="8"/>
      <c r="BB126" s="8"/>
    </row>
    <row r="127" ht="15.75" customHeight="1">
      <c r="A127" s="12" t="s">
        <v>295</v>
      </c>
      <c r="B127" s="8">
        <f t="shared" si="2"/>
        <v>0</v>
      </c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  <c r="AE127" s="8"/>
      <c r="AF127" s="8"/>
      <c r="AG127" s="8"/>
      <c r="AH127" s="8"/>
      <c r="AI127" s="8"/>
      <c r="AJ127" s="8"/>
      <c r="AK127" s="8"/>
      <c r="AL127" s="8"/>
      <c r="AM127" s="8"/>
      <c r="AN127" s="8"/>
      <c r="AO127" s="8"/>
      <c r="AP127" s="8"/>
      <c r="AQ127" s="8"/>
      <c r="AR127" s="8"/>
      <c r="AS127" s="8"/>
      <c r="AT127" s="8"/>
      <c r="AU127" s="8"/>
      <c r="AV127" s="8"/>
      <c r="AW127" s="20"/>
      <c r="AX127" s="8"/>
      <c r="AY127" s="8"/>
      <c r="AZ127" s="8"/>
      <c r="BA127" s="8"/>
      <c r="BB127" s="8"/>
    </row>
    <row r="128" ht="15.75" customHeight="1">
      <c r="A128" s="12" t="s">
        <v>216</v>
      </c>
      <c r="B128" s="8">
        <f t="shared" si="2"/>
        <v>6.75</v>
      </c>
      <c r="C128" s="8"/>
      <c r="D128" s="8"/>
      <c r="E128" s="8"/>
      <c r="F128" s="8"/>
      <c r="G128" s="8"/>
      <c r="H128" s="20">
        <v>2.0</v>
      </c>
      <c r="I128" s="20">
        <v>2.25</v>
      </c>
      <c r="J128" s="8"/>
      <c r="K128" s="8"/>
      <c r="L128" s="8"/>
      <c r="M128" s="8"/>
      <c r="N128" s="20">
        <v>2.5</v>
      </c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  <c r="AE128" s="8"/>
      <c r="AF128" s="8"/>
      <c r="AG128" s="8"/>
      <c r="AH128" s="8"/>
      <c r="AI128" s="8"/>
      <c r="AJ128" s="8"/>
      <c r="AK128" s="8"/>
      <c r="AL128" s="8"/>
      <c r="AM128" s="8"/>
      <c r="AN128" s="8"/>
      <c r="AO128" s="8"/>
      <c r="AP128" s="8"/>
      <c r="AQ128" s="8"/>
      <c r="AR128" s="8"/>
      <c r="AS128" s="8"/>
      <c r="AT128" s="8"/>
      <c r="AU128" s="8"/>
      <c r="AV128" s="8"/>
      <c r="AW128" s="20"/>
      <c r="AX128" s="20"/>
      <c r="AY128" s="8"/>
      <c r="AZ128" s="8"/>
      <c r="BA128" s="8"/>
      <c r="BB128" s="8"/>
    </row>
    <row r="129" ht="15.75" customHeight="1">
      <c r="A129" s="12" t="s">
        <v>296</v>
      </c>
      <c r="B129" s="8">
        <f t="shared" si="2"/>
        <v>0</v>
      </c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  <c r="AE129" s="8"/>
      <c r="AF129" s="8"/>
      <c r="AG129" s="8"/>
      <c r="AH129" s="8"/>
      <c r="AI129" s="8"/>
      <c r="AJ129" s="8"/>
      <c r="AK129" s="8"/>
      <c r="AL129" s="8"/>
      <c r="AM129" s="8"/>
      <c r="AN129" s="8"/>
      <c r="AO129" s="8"/>
      <c r="AP129" s="8"/>
      <c r="AQ129" s="8"/>
      <c r="AR129" s="8"/>
      <c r="AS129" s="8"/>
      <c r="AT129" s="8"/>
      <c r="AU129" s="8"/>
      <c r="AV129" s="8"/>
      <c r="AW129" s="20"/>
      <c r="AX129" s="8"/>
      <c r="AY129" s="8"/>
      <c r="AZ129" s="8"/>
      <c r="BA129" s="8"/>
      <c r="BB129" s="8"/>
    </row>
    <row r="130" ht="15.75" customHeight="1">
      <c r="A130" s="12" t="s">
        <v>204</v>
      </c>
      <c r="B130" s="8">
        <f t="shared" si="2"/>
        <v>0</v>
      </c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  <c r="AE130" s="8"/>
      <c r="AF130" s="8"/>
      <c r="AG130" s="8"/>
      <c r="AH130" s="8"/>
      <c r="AI130" s="8"/>
      <c r="AJ130" s="8"/>
      <c r="AK130" s="8"/>
      <c r="AL130" s="8"/>
      <c r="AM130" s="8"/>
      <c r="AN130" s="8"/>
      <c r="AO130" s="8"/>
      <c r="AP130" s="8"/>
      <c r="AQ130" s="8"/>
      <c r="AR130" s="8"/>
      <c r="AS130" s="8"/>
      <c r="AT130" s="8"/>
      <c r="AU130" s="8"/>
      <c r="AV130" s="8"/>
      <c r="AW130" s="20"/>
      <c r="AX130" s="8"/>
      <c r="AY130" s="8"/>
      <c r="AZ130" s="8"/>
      <c r="BA130" s="20"/>
      <c r="BB130" s="20"/>
    </row>
    <row r="131" ht="15.75" customHeight="1">
      <c r="A131" s="12" t="s">
        <v>211</v>
      </c>
      <c r="B131" s="8">
        <f t="shared" si="2"/>
        <v>0</v>
      </c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  <c r="AE131" s="8"/>
      <c r="AF131" s="8"/>
      <c r="AG131" s="8"/>
      <c r="AH131" s="8"/>
      <c r="AI131" s="8"/>
      <c r="AJ131" s="8"/>
      <c r="AK131" s="8"/>
      <c r="AL131" s="8"/>
      <c r="AM131" s="8"/>
      <c r="AN131" s="8"/>
      <c r="AO131" s="8"/>
      <c r="AP131" s="8"/>
      <c r="AQ131" s="8"/>
      <c r="AR131" s="8"/>
      <c r="AS131" s="8"/>
      <c r="AT131" s="8"/>
      <c r="AU131" s="8"/>
      <c r="AV131" s="8"/>
      <c r="AW131" s="20"/>
      <c r="AX131" s="8"/>
      <c r="AY131" s="8"/>
      <c r="AZ131" s="8"/>
      <c r="BA131" s="8"/>
      <c r="BB131" s="20"/>
    </row>
    <row r="132" ht="15.75" customHeight="1">
      <c r="A132" s="12" t="s">
        <v>297</v>
      </c>
      <c r="B132" s="8">
        <f t="shared" si="2"/>
        <v>0</v>
      </c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  <c r="AE132" s="8"/>
      <c r="AF132" s="8"/>
      <c r="AG132" s="8"/>
      <c r="AH132" s="8"/>
      <c r="AI132" s="8"/>
      <c r="AJ132" s="8"/>
      <c r="AK132" s="8"/>
      <c r="AL132" s="8"/>
      <c r="AM132" s="8"/>
      <c r="AN132" s="8"/>
      <c r="AO132" s="8"/>
      <c r="AP132" s="8"/>
      <c r="AQ132" s="8"/>
      <c r="AR132" s="8"/>
      <c r="AS132" s="8"/>
      <c r="AT132" s="8"/>
      <c r="AU132" s="8"/>
      <c r="AV132" s="8"/>
      <c r="AW132" s="20"/>
      <c r="AX132" s="8"/>
      <c r="AY132" s="8"/>
      <c r="AZ132" s="8"/>
      <c r="BA132" s="8"/>
      <c r="BB132" s="20"/>
    </row>
    <row r="133" ht="15.75" customHeight="1">
      <c r="A133" s="12" t="s">
        <v>298</v>
      </c>
      <c r="B133" s="8">
        <f t="shared" si="2"/>
        <v>0</v>
      </c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  <c r="AE133" s="8"/>
      <c r="AF133" s="8"/>
      <c r="AG133" s="8"/>
      <c r="AH133" s="8"/>
      <c r="AI133" s="8"/>
      <c r="AJ133" s="8"/>
      <c r="AK133" s="8"/>
      <c r="AL133" s="8"/>
      <c r="AM133" s="8"/>
      <c r="AN133" s="8"/>
      <c r="AO133" s="8"/>
      <c r="AP133" s="8"/>
      <c r="AQ133" s="8"/>
      <c r="AR133" s="8"/>
      <c r="AS133" s="8"/>
      <c r="AT133" s="8"/>
      <c r="AU133" s="8"/>
      <c r="AV133" s="8"/>
      <c r="AW133" s="8"/>
      <c r="AX133" s="20"/>
      <c r="AY133" s="8"/>
      <c r="AZ133" s="8"/>
      <c r="BA133" s="8"/>
      <c r="BB133" s="8"/>
    </row>
    <row r="134" ht="15.75" customHeight="1">
      <c r="A134" s="12" t="s">
        <v>299</v>
      </c>
      <c r="B134" s="8">
        <f t="shared" si="2"/>
        <v>0</v>
      </c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  <c r="AE134" s="8"/>
      <c r="AF134" s="8"/>
      <c r="AG134" s="8"/>
      <c r="AH134" s="8"/>
      <c r="AI134" s="8"/>
      <c r="AJ134" s="8"/>
      <c r="AK134" s="8"/>
      <c r="AL134" s="8"/>
      <c r="AM134" s="8"/>
      <c r="AN134" s="8"/>
      <c r="AO134" s="8"/>
      <c r="AP134" s="8"/>
      <c r="AQ134" s="8"/>
      <c r="AR134" s="8"/>
      <c r="AS134" s="8"/>
      <c r="AT134" s="8"/>
      <c r="AU134" s="8"/>
      <c r="AV134" s="8"/>
      <c r="AW134" s="8"/>
      <c r="AX134" s="20"/>
      <c r="AY134" s="8"/>
      <c r="AZ134" s="8"/>
      <c r="BA134" s="8"/>
      <c r="BB134" s="8"/>
    </row>
    <row r="135" ht="15.75" customHeight="1">
      <c r="A135" s="12" t="s">
        <v>300</v>
      </c>
      <c r="B135" s="8">
        <f t="shared" si="2"/>
        <v>0</v>
      </c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  <c r="AE135" s="8"/>
      <c r="AF135" s="8"/>
      <c r="AG135" s="8"/>
      <c r="AH135" s="8"/>
      <c r="AI135" s="8"/>
      <c r="AJ135" s="8"/>
      <c r="AK135" s="8"/>
      <c r="AL135" s="8"/>
      <c r="AM135" s="8"/>
      <c r="AN135" s="8"/>
      <c r="AO135" s="8"/>
      <c r="AP135" s="8"/>
      <c r="AQ135" s="8"/>
      <c r="AR135" s="8"/>
      <c r="AS135" s="8"/>
      <c r="AT135" s="8"/>
      <c r="AU135" s="8"/>
      <c r="AV135" s="8"/>
      <c r="AW135" s="8"/>
      <c r="AX135" s="20"/>
      <c r="AY135" s="8"/>
      <c r="AZ135" s="8"/>
      <c r="BA135" s="8"/>
      <c r="BB135" s="8"/>
    </row>
    <row r="136" ht="15.75" customHeight="1">
      <c r="A136" s="12" t="s">
        <v>301</v>
      </c>
      <c r="B136" s="8">
        <f t="shared" si="2"/>
        <v>14.5</v>
      </c>
      <c r="C136" s="8"/>
      <c r="D136" s="8"/>
      <c r="E136" s="8"/>
      <c r="F136" s="8"/>
      <c r="G136" s="20">
        <v>2.75</v>
      </c>
      <c r="H136" s="20">
        <v>2.0</v>
      </c>
      <c r="I136" s="20">
        <v>2.25</v>
      </c>
      <c r="J136" s="8"/>
      <c r="K136" s="8"/>
      <c r="L136" s="20">
        <v>2.0</v>
      </c>
      <c r="M136" s="20">
        <v>3.0</v>
      </c>
      <c r="N136" s="8"/>
      <c r="O136" s="20">
        <v>2.5</v>
      </c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  <c r="AE136" s="8"/>
      <c r="AF136" s="8"/>
      <c r="AG136" s="8"/>
      <c r="AH136" s="8"/>
      <c r="AI136" s="8"/>
      <c r="AJ136" s="8"/>
      <c r="AK136" s="8"/>
      <c r="AL136" s="8"/>
      <c r="AM136" s="8"/>
      <c r="AN136" s="8"/>
      <c r="AO136" s="8"/>
      <c r="AP136" s="8"/>
      <c r="AQ136" s="8"/>
      <c r="AR136" s="8"/>
      <c r="AS136" s="8"/>
      <c r="AT136" s="8"/>
      <c r="AU136" s="8"/>
      <c r="AV136" s="8"/>
      <c r="AW136" s="8"/>
      <c r="AX136" s="20"/>
      <c r="AY136" s="8"/>
      <c r="AZ136" s="8"/>
      <c r="BA136" s="8"/>
      <c r="BB136" s="8"/>
    </row>
    <row r="137" ht="15.75" customHeight="1">
      <c r="A137" s="30" t="s">
        <v>302</v>
      </c>
      <c r="B137" s="8">
        <f t="shared" si="2"/>
        <v>0</v>
      </c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  <c r="AD137" s="8"/>
      <c r="AE137" s="8"/>
      <c r="AF137" s="8"/>
      <c r="AG137" s="8"/>
      <c r="AH137" s="8"/>
      <c r="AI137" s="8"/>
      <c r="AJ137" s="8"/>
      <c r="AK137" s="8"/>
      <c r="AL137" s="8"/>
      <c r="AM137" s="8"/>
      <c r="AN137" s="8"/>
      <c r="AO137" s="8"/>
      <c r="AP137" s="8"/>
      <c r="AQ137" s="8"/>
      <c r="AR137" s="8"/>
      <c r="AS137" s="8"/>
      <c r="AT137" s="8"/>
      <c r="AU137" s="8"/>
      <c r="AV137" s="8"/>
      <c r="AW137" s="8"/>
      <c r="AX137" s="8"/>
      <c r="AY137" s="21"/>
      <c r="AZ137" s="8"/>
      <c r="BA137" s="8"/>
      <c r="BB137" s="8"/>
    </row>
    <row r="138" ht="15.75" customHeight="1">
      <c r="A138" s="30" t="s">
        <v>303</v>
      </c>
      <c r="B138" s="8">
        <f t="shared" si="2"/>
        <v>0</v>
      </c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  <c r="AD138" s="8"/>
      <c r="AE138" s="8"/>
      <c r="AF138" s="8"/>
      <c r="AG138" s="8"/>
      <c r="AH138" s="8"/>
      <c r="AI138" s="8"/>
      <c r="AJ138" s="8"/>
      <c r="AK138" s="8"/>
      <c r="AL138" s="8"/>
      <c r="AM138" s="8"/>
      <c r="AN138" s="8"/>
      <c r="AO138" s="8"/>
      <c r="AP138" s="8"/>
      <c r="AQ138" s="8"/>
      <c r="AR138" s="8"/>
      <c r="AS138" s="8"/>
      <c r="AT138" s="8"/>
      <c r="AU138" s="8"/>
      <c r="AV138" s="8"/>
      <c r="AW138" s="8"/>
      <c r="AX138" s="8"/>
      <c r="AY138" s="21"/>
      <c r="AZ138" s="8"/>
      <c r="BA138" s="8"/>
      <c r="BB138" s="8"/>
    </row>
    <row r="139" ht="15.75" customHeight="1">
      <c r="A139" s="30" t="s">
        <v>229</v>
      </c>
      <c r="B139" s="8">
        <f t="shared" si="2"/>
        <v>0</v>
      </c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  <c r="AD139" s="8"/>
      <c r="AE139" s="8"/>
      <c r="AF139" s="8"/>
      <c r="AG139" s="8"/>
      <c r="AH139" s="8"/>
      <c r="AI139" s="8"/>
      <c r="AJ139" s="8"/>
      <c r="AK139" s="8"/>
      <c r="AL139" s="8"/>
      <c r="AM139" s="8"/>
      <c r="AN139" s="8"/>
      <c r="AO139" s="8"/>
      <c r="AP139" s="8"/>
      <c r="AQ139" s="8"/>
      <c r="AR139" s="8"/>
      <c r="AS139" s="8"/>
      <c r="AT139" s="8"/>
      <c r="AU139" s="8"/>
      <c r="AV139" s="8"/>
      <c r="AW139" s="8"/>
      <c r="AX139" s="8"/>
      <c r="AY139" s="21"/>
      <c r="AZ139" s="8"/>
      <c r="BA139" s="20"/>
      <c r="BB139" s="8"/>
    </row>
    <row r="140" ht="15.75" customHeight="1">
      <c r="A140" s="30" t="s">
        <v>304</v>
      </c>
      <c r="B140" s="8">
        <f t="shared" si="2"/>
        <v>0</v>
      </c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  <c r="AD140" s="8"/>
      <c r="AE140" s="8"/>
      <c r="AF140" s="8"/>
      <c r="AG140" s="8"/>
      <c r="AH140" s="8"/>
      <c r="AI140" s="8"/>
      <c r="AJ140" s="8"/>
      <c r="AK140" s="8"/>
      <c r="AL140" s="8"/>
      <c r="AM140" s="8"/>
      <c r="AN140" s="8"/>
      <c r="AO140" s="8"/>
      <c r="AP140" s="8"/>
      <c r="AQ140" s="8"/>
      <c r="AR140" s="8"/>
      <c r="AS140" s="8"/>
      <c r="AT140" s="8"/>
      <c r="AU140" s="8"/>
      <c r="AV140" s="8"/>
      <c r="AW140" s="8"/>
      <c r="AX140" s="8"/>
      <c r="AY140" s="21"/>
      <c r="AZ140" s="8"/>
      <c r="BA140" s="8"/>
      <c r="BB140" s="8"/>
    </row>
    <row r="141" ht="15.75" customHeight="1">
      <c r="A141" s="12" t="s">
        <v>305</v>
      </c>
      <c r="B141" s="8">
        <f t="shared" si="2"/>
        <v>2.5</v>
      </c>
      <c r="C141" s="20">
        <v>2.5</v>
      </c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  <c r="AD141" s="8"/>
      <c r="AE141" s="8"/>
      <c r="AF141" s="8"/>
      <c r="AG141" s="8"/>
      <c r="AH141" s="8"/>
      <c r="AI141" s="8"/>
      <c r="AJ141" s="8"/>
      <c r="AK141" s="8"/>
      <c r="AL141" s="8"/>
      <c r="AM141" s="8"/>
      <c r="AN141" s="8"/>
      <c r="AO141" s="8"/>
      <c r="AP141" s="8"/>
      <c r="AQ141" s="8"/>
      <c r="AR141" s="8"/>
      <c r="AS141" s="8"/>
      <c r="AT141" s="8"/>
      <c r="AU141" s="8"/>
      <c r="AV141" s="8"/>
      <c r="AW141" s="8"/>
      <c r="AX141" s="8"/>
      <c r="AY141" s="8"/>
      <c r="AZ141" s="20"/>
      <c r="BA141" s="8"/>
      <c r="BB141" s="8"/>
    </row>
    <row r="142" ht="15.75" customHeight="1">
      <c r="A142" s="12" t="s">
        <v>306</v>
      </c>
      <c r="B142" s="8">
        <f t="shared" si="2"/>
        <v>0</v>
      </c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8"/>
      <c r="AD142" s="8"/>
      <c r="AE142" s="8"/>
      <c r="AF142" s="8"/>
      <c r="AG142" s="8"/>
      <c r="AH142" s="8"/>
      <c r="AI142" s="8"/>
      <c r="AJ142" s="8"/>
      <c r="AK142" s="8"/>
      <c r="AL142" s="8"/>
      <c r="AM142" s="8"/>
      <c r="AN142" s="8"/>
      <c r="AO142" s="8"/>
      <c r="AP142" s="8"/>
      <c r="AQ142" s="8"/>
      <c r="AR142" s="8"/>
      <c r="AS142" s="8"/>
      <c r="AT142" s="8"/>
      <c r="AU142" s="8"/>
      <c r="AV142" s="8"/>
      <c r="AW142" s="8"/>
      <c r="AX142" s="8"/>
      <c r="AY142" s="8"/>
      <c r="AZ142" s="20"/>
      <c r="BA142" s="20"/>
      <c r="BB142" s="8"/>
    </row>
    <row r="143" ht="15.75" customHeight="1">
      <c r="A143" s="12" t="s">
        <v>60</v>
      </c>
      <c r="B143" s="8">
        <f t="shared" si="2"/>
        <v>0</v>
      </c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8"/>
      <c r="AD143" s="8"/>
      <c r="AE143" s="8"/>
      <c r="AF143" s="8"/>
      <c r="AG143" s="8"/>
      <c r="AH143" s="8"/>
      <c r="AI143" s="8"/>
      <c r="AJ143" s="8"/>
      <c r="AK143" s="8"/>
      <c r="AL143" s="8"/>
      <c r="AM143" s="8"/>
      <c r="AN143" s="8"/>
      <c r="AO143" s="8"/>
      <c r="AP143" s="8"/>
      <c r="AQ143" s="8"/>
      <c r="AR143" s="8"/>
      <c r="AS143" s="8"/>
      <c r="AT143" s="8"/>
      <c r="AU143" s="8"/>
      <c r="AV143" s="8"/>
      <c r="AW143" s="8"/>
      <c r="AX143" s="8"/>
      <c r="AY143" s="8"/>
      <c r="AZ143" s="8"/>
      <c r="BA143" s="20"/>
      <c r="BB143" s="8"/>
    </row>
    <row r="144" ht="15.75" customHeight="1">
      <c r="A144" s="12" t="s">
        <v>307</v>
      </c>
      <c r="B144" s="8">
        <f t="shared" si="2"/>
        <v>0</v>
      </c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  <c r="AE144" s="8"/>
      <c r="AF144" s="8"/>
      <c r="AG144" s="8"/>
      <c r="AH144" s="8"/>
      <c r="AI144" s="8"/>
      <c r="AJ144" s="8"/>
      <c r="AK144" s="8"/>
      <c r="AL144" s="8"/>
      <c r="AM144" s="8"/>
      <c r="AN144" s="8"/>
      <c r="AO144" s="8"/>
      <c r="AP144" s="8"/>
      <c r="AQ144" s="8"/>
      <c r="AR144" s="8"/>
      <c r="AS144" s="8"/>
      <c r="AT144" s="8"/>
      <c r="AU144" s="8"/>
      <c r="AV144" s="8"/>
      <c r="AW144" s="8"/>
      <c r="AX144" s="8"/>
      <c r="AY144" s="8"/>
      <c r="AZ144" s="8"/>
      <c r="BA144" s="20"/>
      <c r="BB144" s="20"/>
    </row>
    <row r="145" ht="15.75" customHeight="1">
      <c r="A145" s="12" t="s">
        <v>308</v>
      </c>
      <c r="B145" s="8">
        <f t="shared" si="2"/>
        <v>0</v>
      </c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  <c r="AE145" s="8"/>
      <c r="AF145" s="8"/>
      <c r="AG145" s="8"/>
      <c r="AH145" s="8"/>
      <c r="AI145" s="8"/>
      <c r="AJ145" s="8"/>
      <c r="AK145" s="8"/>
      <c r="AL145" s="8"/>
      <c r="AM145" s="8"/>
      <c r="AN145" s="8"/>
      <c r="AO145" s="8"/>
      <c r="AP145" s="8"/>
      <c r="AQ145" s="8"/>
      <c r="AR145" s="8"/>
      <c r="AS145" s="8"/>
      <c r="AT145" s="8"/>
      <c r="AU145" s="8"/>
      <c r="AV145" s="8"/>
      <c r="AW145" s="8"/>
      <c r="AX145" s="8"/>
      <c r="AY145" s="8"/>
      <c r="AZ145" s="8"/>
      <c r="BA145" s="8"/>
      <c r="BB145" s="20"/>
    </row>
    <row r="146" ht="15.75" customHeight="1">
      <c r="A146" s="12" t="s">
        <v>309</v>
      </c>
      <c r="B146" s="8">
        <f t="shared" si="2"/>
        <v>2</v>
      </c>
      <c r="C146" s="8"/>
      <c r="D146" s="20">
        <v>2.0</v>
      </c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  <c r="AD146" s="8"/>
      <c r="AE146" s="8"/>
      <c r="AF146" s="8"/>
      <c r="AG146" s="8"/>
      <c r="AH146" s="8"/>
      <c r="AI146" s="8"/>
      <c r="AJ146" s="8"/>
      <c r="AK146" s="8"/>
      <c r="AL146" s="8"/>
      <c r="AM146" s="8"/>
      <c r="AN146" s="8"/>
      <c r="AO146" s="8"/>
      <c r="AP146" s="8"/>
      <c r="AQ146" s="8"/>
      <c r="AR146" s="8"/>
      <c r="AS146" s="8"/>
      <c r="AT146" s="8"/>
      <c r="AU146" s="8"/>
      <c r="AV146" s="8"/>
      <c r="AW146" s="8"/>
      <c r="AX146" s="8"/>
      <c r="AY146" s="8"/>
      <c r="AZ146" s="8"/>
      <c r="BA146" s="8"/>
      <c r="BB146" s="20"/>
    </row>
    <row r="147" ht="15.75" customHeight="1">
      <c r="A147" s="12" t="s">
        <v>461</v>
      </c>
      <c r="B147" s="8">
        <f t="shared" si="2"/>
        <v>2.5</v>
      </c>
      <c r="C147" s="20">
        <v>2.5</v>
      </c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  <c r="AE147" s="8"/>
      <c r="AF147" s="8"/>
      <c r="AG147" s="8"/>
      <c r="AH147" s="8"/>
      <c r="AI147" s="8"/>
      <c r="AJ147" s="8"/>
      <c r="AK147" s="8"/>
      <c r="AL147" s="8"/>
      <c r="AM147" s="8"/>
      <c r="AN147" s="8"/>
      <c r="AO147" s="8"/>
      <c r="AP147" s="8"/>
      <c r="AQ147" s="8"/>
      <c r="AR147" s="8"/>
      <c r="AS147" s="8"/>
      <c r="AT147" s="8"/>
      <c r="AU147" s="8"/>
      <c r="AV147" s="8"/>
      <c r="AW147" s="8"/>
      <c r="AX147" s="8"/>
      <c r="AY147" s="8"/>
      <c r="AZ147" s="8"/>
      <c r="BA147" s="8"/>
      <c r="BB147" s="8"/>
    </row>
    <row r="148" ht="15.75" customHeight="1">
      <c r="A148" s="12" t="s">
        <v>185</v>
      </c>
      <c r="B148" s="8">
        <f t="shared" si="2"/>
        <v>3.5</v>
      </c>
      <c r="C148" s="20"/>
      <c r="D148" s="20">
        <v>2.0</v>
      </c>
      <c r="E148" s="8"/>
      <c r="F148" s="21">
        <v>1.5</v>
      </c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  <c r="AC148" s="8"/>
      <c r="AD148" s="8"/>
      <c r="AE148" s="8"/>
      <c r="AF148" s="8"/>
      <c r="AG148" s="8"/>
      <c r="AH148" s="8"/>
      <c r="AI148" s="8"/>
      <c r="AJ148" s="8"/>
      <c r="AK148" s="8"/>
      <c r="AL148" s="8"/>
      <c r="AM148" s="8"/>
      <c r="AN148" s="8"/>
      <c r="AO148" s="8"/>
      <c r="AP148" s="8"/>
      <c r="AQ148" s="8"/>
      <c r="AR148" s="8"/>
      <c r="AS148" s="8"/>
      <c r="AT148" s="8"/>
      <c r="AU148" s="8"/>
      <c r="AV148" s="8"/>
      <c r="AW148" s="8"/>
      <c r="AX148" s="8"/>
      <c r="AY148" s="8"/>
      <c r="AZ148" s="8"/>
      <c r="BA148" s="8"/>
      <c r="BB148" s="8"/>
    </row>
    <row r="149" ht="15.75" customHeight="1">
      <c r="A149" s="30" t="s">
        <v>462</v>
      </c>
      <c r="B149" s="8">
        <f t="shared" si="2"/>
        <v>22.75</v>
      </c>
      <c r="C149" s="8"/>
      <c r="D149" s="8"/>
      <c r="E149" s="21">
        <v>3.0</v>
      </c>
      <c r="F149" s="8"/>
      <c r="G149" s="20">
        <v>2.75</v>
      </c>
      <c r="H149" s="20">
        <v>2.0</v>
      </c>
      <c r="I149" s="20">
        <v>2.25</v>
      </c>
      <c r="J149" s="20">
        <v>2.75</v>
      </c>
      <c r="K149" s="8"/>
      <c r="L149" s="20">
        <v>2.0</v>
      </c>
      <c r="M149" s="20">
        <v>3.0</v>
      </c>
      <c r="N149" s="20">
        <v>2.5</v>
      </c>
      <c r="O149" s="20">
        <v>2.5</v>
      </c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  <c r="AE149" s="8"/>
      <c r="AF149" s="8"/>
      <c r="AG149" s="8"/>
      <c r="AH149" s="8"/>
      <c r="AI149" s="8"/>
      <c r="AJ149" s="8"/>
      <c r="AK149" s="8"/>
      <c r="AL149" s="8"/>
      <c r="AM149" s="8"/>
      <c r="AN149" s="8"/>
      <c r="AO149" s="8"/>
      <c r="AP149" s="8"/>
      <c r="AQ149" s="8"/>
      <c r="AR149" s="8"/>
      <c r="AS149" s="8"/>
      <c r="AT149" s="8"/>
      <c r="AU149" s="8"/>
      <c r="AV149" s="8"/>
      <c r="AW149" s="8"/>
      <c r="AX149" s="8"/>
      <c r="AY149" s="8"/>
      <c r="AZ149" s="8"/>
      <c r="BA149" s="8"/>
      <c r="BB149" s="8"/>
    </row>
    <row r="150" ht="15.75" customHeight="1">
      <c r="A150" s="30" t="s">
        <v>372</v>
      </c>
      <c r="B150" s="8">
        <f t="shared" si="2"/>
        <v>3</v>
      </c>
      <c r="C150" s="8"/>
      <c r="D150" s="8"/>
      <c r="E150" s="21">
        <v>3.0</v>
      </c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  <c r="AD150" s="8"/>
      <c r="AE150" s="8"/>
      <c r="AF150" s="8"/>
      <c r="AG150" s="8"/>
      <c r="AH150" s="8"/>
      <c r="AI150" s="8"/>
      <c r="AJ150" s="8"/>
      <c r="AK150" s="8"/>
      <c r="AL150" s="8"/>
      <c r="AM150" s="8"/>
      <c r="AN150" s="8"/>
      <c r="AO150" s="8"/>
      <c r="AP150" s="8"/>
      <c r="AQ150" s="8"/>
      <c r="AR150" s="8"/>
      <c r="AS150" s="8"/>
      <c r="AT150" s="8"/>
      <c r="AU150" s="8"/>
      <c r="AV150" s="8"/>
      <c r="AW150" s="8"/>
      <c r="AX150" s="8"/>
      <c r="AY150" s="8"/>
      <c r="AZ150" s="8"/>
      <c r="BA150" s="8"/>
      <c r="BB150" s="8"/>
    </row>
    <row r="151" ht="15.75" customHeight="1">
      <c r="A151" s="30" t="s">
        <v>362</v>
      </c>
      <c r="B151" s="8">
        <f t="shared" si="2"/>
        <v>1.5</v>
      </c>
      <c r="C151" s="8"/>
      <c r="D151" s="8"/>
      <c r="E151" s="8"/>
      <c r="F151" s="21">
        <v>1.5</v>
      </c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  <c r="AC151" s="8"/>
      <c r="AD151" s="8"/>
      <c r="AE151" s="8"/>
      <c r="AF151" s="8"/>
      <c r="AG151" s="8"/>
      <c r="AH151" s="8"/>
      <c r="AI151" s="8"/>
      <c r="AJ151" s="8"/>
      <c r="AK151" s="8"/>
      <c r="AL151" s="8"/>
      <c r="AM151" s="8"/>
      <c r="AN151" s="8"/>
      <c r="AO151" s="8"/>
      <c r="AP151" s="8"/>
      <c r="AQ151" s="8"/>
      <c r="AR151" s="8"/>
      <c r="AS151" s="8"/>
      <c r="AT151" s="8"/>
      <c r="AU151" s="8"/>
      <c r="AV151" s="8"/>
      <c r="AW151" s="8"/>
      <c r="AX151" s="8"/>
      <c r="AY151" s="8"/>
      <c r="AZ151" s="8"/>
      <c r="BA151" s="8"/>
      <c r="BB151" s="8"/>
    </row>
    <row r="152" ht="15.75" customHeight="1">
      <c r="A152" s="30" t="s">
        <v>84</v>
      </c>
      <c r="B152" s="8">
        <f t="shared" si="2"/>
        <v>1.5</v>
      </c>
      <c r="C152" s="8"/>
      <c r="D152" s="8"/>
      <c r="E152" s="8"/>
      <c r="F152" s="21">
        <v>1.5</v>
      </c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  <c r="AC152" s="8"/>
      <c r="AD152" s="8"/>
      <c r="AE152" s="8"/>
      <c r="AF152" s="8"/>
      <c r="AG152" s="8"/>
      <c r="AH152" s="8"/>
      <c r="AI152" s="8"/>
      <c r="AJ152" s="8"/>
      <c r="AK152" s="8"/>
      <c r="AL152" s="8"/>
      <c r="AM152" s="8"/>
      <c r="AN152" s="8"/>
      <c r="AO152" s="8"/>
      <c r="AP152" s="8"/>
      <c r="AQ152" s="8"/>
      <c r="AR152" s="8"/>
      <c r="AS152" s="8"/>
      <c r="AT152" s="8"/>
      <c r="AU152" s="8"/>
      <c r="AV152" s="8"/>
      <c r="AW152" s="8"/>
      <c r="AX152" s="8"/>
      <c r="AY152" s="8"/>
      <c r="AZ152" s="8"/>
      <c r="BA152" s="8"/>
      <c r="BB152" s="8"/>
    </row>
    <row r="153" ht="15.75" customHeight="1">
      <c r="A153" s="30" t="s">
        <v>231</v>
      </c>
      <c r="B153" s="8">
        <f t="shared" si="2"/>
        <v>1.5</v>
      </c>
      <c r="C153" s="8"/>
      <c r="D153" s="8"/>
      <c r="E153" s="8"/>
      <c r="F153" s="21">
        <v>1.5</v>
      </c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  <c r="AC153" s="8"/>
      <c r="AD153" s="8"/>
      <c r="AE153" s="8"/>
      <c r="AF153" s="8"/>
      <c r="AG153" s="8"/>
      <c r="AH153" s="8"/>
      <c r="AI153" s="8"/>
      <c r="AJ153" s="8"/>
      <c r="AK153" s="8"/>
      <c r="AL153" s="8"/>
      <c r="AM153" s="8"/>
      <c r="AN153" s="8"/>
      <c r="AO153" s="8"/>
      <c r="AP153" s="8"/>
      <c r="AQ153" s="8"/>
      <c r="AR153" s="8"/>
      <c r="AS153" s="8"/>
      <c r="AT153" s="8"/>
      <c r="AU153" s="8"/>
      <c r="AV153" s="8"/>
      <c r="AW153" s="8"/>
      <c r="AX153" s="8"/>
      <c r="AY153" s="8"/>
      <c r="AZ153" s="8"/>
      <c r="BA153" s="8"/>
      <c r="BB153" s="8"/>
    </row>
    <row r="154" ht="15.75" customHeight="1">
      <c r="A154" s="30" t="s">
        <v>122</v>
      </c>
      <c r="B154" s="8">
        <f t="shared" si="2"/>
        <v>1.5</v>
      </c>
      <c r="C154" s="8"/>
      <c r="D154" s="8"/>
      <c r="E154" s="8"/>
      <c r="F154" s="21">
        <v>1.5</v>
      </c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  <c r="AC154" s="8"/>
      <c r="AD154" s="8"/>
      <c r="AE154" s="8"/>
      <c r="AF154" s="8"/>
      <c r="AG154" s="8"/>
      <c r="AH154" s="8"/>
      <c r="AI154" s="8"/>
      <c r="AJ154" s="8"/>
      <c r="AK154" s="8"/>
      <c r="AL154" s="8"/>
      <c r="AM154" s="8"/>
      <c r="AN154" s="8"/>
      <c r="AO154" s="8"/>
      <c r="AP154" s="8"/>
      <c r="AQ154" s="8"/>
      <c r="AR154" s="8"/>
      <c r="AS154" s="8"/>
      <c r="AT154" s="8"/>
      <c r="AU154" s="8"/>
      <c r="AV154" s="8"/>
      <c r="AW154" s="8"/>
      <c r="AX154" s="8"/>
      <c r="AY154" s="8"/>
      <c r="AZ154" s="8"/>
      <c r="BA154" s="8"/>
      <c r="BB154" s="8"/>
    </row>
    <row r="155" ht="15.75" customHeight="1">
      <c r="A155" s="12" t="s">
        <v>377</v>
      </c>
      <c r="B155" s="8">
        <f t="shared" si="2"/>
        <v>2.75</v>
      </c>
      <c r="C155" s="8"/>
      <c r="D155" s="8"/>
      <c r="E155" s="8"/>
      <c r="F155" s="8"/>
      <c r="G155" s="20">
        <v>2.75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  <c r="AC155" s="8"/>
      <c r="AD155" s="8"/>
      <c r="AE155" s="8"/>
      <c r="AF155" s="8"/>
      <c r="AG155" s="8"/>
      <c r="AH155" s="8"/>
      <c r="AI155" s="8"/>
      <c r="AJ155" s="8"/>
      <c r="AK155" s="8"/>
      <c r="AL155" s="8"/>
      <c r="AM155" s="8"/>
      <c r="AN155" s="8"/>
      <c r="AO155" s="8"/>
      <c r="AP155" s="8"/>
      <c r="AQ155" s="8"/>
      <c r="AR155" s="8"/>
      <c r="AS155" s="8"/>
      <c r="AT155" s="8"/>
      <c r="AU155" s="8"/>
      <c r="AV155" s="8"/>
      <c r="AW155" s="8"/>
      <c r="AX155" s="8"/>
      <c r="AY155" s="8"/>
      <c r="AZ155" s="8"/>
      <c r="BA155" s="8"/>
      <c r="BB155" s="8"/>
    </row>
    <row r="156" ht="15.75" customHeight="1">
      <c r="A156" s="12" t="s">
        <v>218</v>
      </c>
      <c r="B156" s="8">
        <f t="shared" si="2"/>
        <v>2.5</v>
      </c>
      <c r="C156" s="8"/>
      <c r="D156" s="8"/>
      <c r="E156" s="8"/>
      <c r="F156" s="8"/>
      <c r="G156" s="20">
        <v>2.5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  <c r="AC156" s="8"/>
      <c r="AD156" s="8"/>
      <c r="AE156" s="8"/>
      <c r="AF156" s="8"/>
      <c r="AG156" s="8"/>
      <c r="AH156" s="8"/>
      <c r="AI156" s="8"/>
      <c r="AJ156" s="8"/>
      <c r="AK156" s="8"/>
      <c r="AL156" s="8"/>
      <c r="AM156" s="8"/>
      <c r="AN156" s="8"/>
      <c r="AO156" s="8"/>
      <c r="AP156" s="8"/>
      <c r="AQ156" s="8"/>
      <c r="AR156" s="8"/>
      <c r="AS156" s="8"/>
      <c r="AT156" s="8"/>
      <c r="AU156" s="8"/>
      <c r="AV156" s="8"/>
      <c r="AW156" s="8"/>
      <c r="AX156" s="8"/>
      <c r="AY156" s="8"/>
      <c r="AZ156" s="8"/>
      <c r="BA156" s="8"/>
      <c r="BB156" s="8"/>
    </row>
    <row r="157" ht="15.75" customHeight="1">
      <c r="A157" s="12" t="s">
        <v>463</v>
      </c>
      <c r="B157" s="8">
        <f t="shared" si="2"/>
        <v>2</v>
      </c>
      <c r="C157" s="8"/>
      <c r="D157" s="8"/>
      <c r="E157" s="8"/>
      <c r="F157" s="8"/>
      <c r="G157" s="8"/>
      <c r="H157" s="20">
        <v>2.0</v>
      </c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  <c r="AE157" s="8"/>
      <c r="AF157" s="8"/>
      <c r="AG157" s="8"/>
      <c r="AH157" s="8"/>
      <c r="AI157" s="8"/>
      <c r="AJ157" s="8"/>
      <c r="AK157" s="8"/>
      <c r="AL157" s="8"/>
      <c r="AM157" s="8"/>
      <c r="AN157" s="8"/>
      <c r="AO157" s="8"/>
      <c r="AP157" s="8"/>
      <c r="AQ157" s="8"/>
      <c r="AR157" s="8"/>
      <c r="AS157" s="8"/>
      <c r="AT157" s="8"/>
      <c r="AU157" s="8"/>
      <c r="AV157" s="8"/>
      <c r="AW157" s="8"/>
      <c r="AX157" s="8"/>
      <c r="AY157" s="8"/>
      <c r="AZ157" s="8"/>
      <c r="BA157" s="8"/>
      <c r="BB157" s="8"/>
    </row>
    <row r="158" ht="15.75" customHeight="1">
      <c r="A158" s="12" t="s">
        <v>464</v>
      </c>
      <c r="B158" s="8">
        <f t="shared" si="2"/>
        <v>2</v>
      </c>
      <c r="C158" s="8"/>
      <c r="D158" s="8"/>
      <c r="E158" s="8"/>
      <c r="F158" s="8"/>
      <c r="G158" s="8"/>
      <c r="H158" s="20">
        <v>2.0</v>
      </c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  <c r="AD158" s="8"/>
      <c r="AE158" s="8"/>
      <c r="AF158" s="8"/>
      <c r="AG158" s="8"/>
      <c r="AH158" s="8"/>
      <c r="AI158" s="8"/>
      <c r="AJ158" s="8"/>
      <c r="AK158" s="8"/>
      <c r="AL158" s="8"/>
      <c r="AM158" s="8"/>
      <c r="AN158" s="8"/>
      <c r="AO158" s="8"/>
      <c r="AP158" s="8"/>
      <c r="AQ158" s="8"/>
      <c r="AR158" s="8"/>
      <c r="AS158" s="8"/>
      <c r="AT158" s="8"/>
      <c r="AU158" s="8"/>
      <c r="AV158" s="8"/>
      <c r="AW158" s="8"/>
      <c r="AX158" s="8"/>
      <c r="AY158" s="8"/>
      <c r="AZ158" s="8"/>
      <c r="BA158" s="8"/>
      <c r="BB158" s="8"/>
    </row>
    <row r="159" ht="15.75" customHeight="1">
      <c r="A159" s="12" t="s">
        <v>465</v>
      </c>
      <c r="B159" s="8">
        <f t="shared" si="2"/>
        <v>2</v>
      </c>
      <c r="C159" s="8"/>
      <c r="D159" s="8"/>
      <c r="E159" s="8"/>
      <c r="F159" s="8"/>
      <c r="G159" s="8"/>
      <c r="H159" s="20">
        <v>2.0</v>
      </c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  <c r="AC159" s="8"/>
      <c r="AD159" s="8"/>
      <c r="AE159" s="8"/>
      <c r="AF159" s="8"/>
      <c r="AG159" s="8"/>
      <c r="AH159" s="8"/>
      <c r="AI159" s="8"/>
      <c r="AJ159" s="8"/>
      <c r="AK159" s="8"/>
      <c r="AL159" s="8"/>
      <c r="AM159" s="8"/>
      <c r="AN159" s="8"/>
      <c r="AO159" s="8"/>
      <c r="AP159" s="8"/>
      <c r="AQ159" s="8"/>
      <c r="AR159" s="8"/>
      <c r="AS159" s="8"/>
      <c r="AT159" s="8"/>
      <c r="AU159" s="8"/>
      <c r="AV159" s="8"/>
      <c r="AW159" s="8"/>
      <c r="AX159" s="8"/>
      <c r="AY159" s="8"/>
      <c r="AZ159" s="8"/>
      <c r="BA159" s="8"/>
      <c r="BB159" s="8"/>
    </row>
    <row r="160" ht="15.75" customHeight="1">
      <c r="A160" s="12" t="s">
        <v>466</v>
      </c>
      <c r="B160" s="8">
        <f t="shared" si="2"/>
        <v>4.5</v>
      </c>
      <c r="C160" s="8"/>
      <c r="D160" s="8"/>
      <c r="E160" s="8"/>
      <c r="F160" s="8"/>
      <c r="G160" s="8"/>
      <c r="H160" s="20">
        <v>2.0</v>
      </c>
      <c r="I160" s="8"/>
      <c r="J160" s="8"/>
      <c r="K160" s="8"/>
      <c r="L160" s="8"/>
      <c r="M160" s="8"/>
      <c r="N160" s="20">
        <v>2.5</v>
      </c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  <c r="AC160" s="8"/>
      <c r="AD160" s="8"/>
      <c r="AE160" s="8"/>
      <c r="AF160" s="8"/>
      <c r="AG160" s="8"/>
      <c r="AH160" s="8"/>
      <c r="AI160" s="8"/>
      <c r="AJ160" s="8"/>
      <c r="AK160" s="8"/>
      <c r="AL160" s="8"/>
      <c r="AM160" s="8"/>
      <c r="AN160" s="8"/>
      <c r="AO160" s="8"/>
      <c r="AP160" s="8"/>
      <c r="AQ160" s="8"/>
      <c r="AR160" s="8"/>
      <c r="AS160" s="8"/>
      <c r="AT160" s="8"/>
      <c r="AU160" s="8"/>
      <c r="AV160" s="8"/>
      <c r="AW160" s="8"/>
      <c r="AX160" s="8"/>
      <c r="AY160" s="8"/>
      <c r="AZ160" s="8"/>
      <c r="BA160" s="8"/>
      <c r="BB160" s="8"/>
    </row>
    <row r="161" ht="15.75" customHeight="1">
      <c r="A161" s="12" t="s">
        <v>467</v>
      </c>
      <c r="B161" s="8">
        <f t="shared" si="2"/>
        <v>2.25</v>
      </c>
      <c r="C161" s="8"/>
      <c r="D161" s="8"/>
      <c r="E161" s="8"/>
      <c r="F161" s="8"/>
      <c r="G161" s="8"/>
      <c r="H161" s="8"/>
      <c r="I161" s="20">
        <v>2.25</v>
      </c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  <c r="AC161" s="8"/>
      <c r="AD161" s="8"/>
      <c r="AE161" s="8"/>
      <c r="AF161" s="8"/>
      <c r="AG161" s="8"/>
      <c r="AH161" s="8"/>
      <c r="AI161" s="8"/>
      <c r="AJ161" s="8"/>
      <c r="AK161" s="8"/>
      <c r="AL161" s="8"/>
      <c r="AM161" s="8"/>
      <c r="AN161" s="8"/>
      <c r="AO161" s="8"/>
      <c r="AP161" s="8"/>
      <c r="AQ161" s="8"/>
      <c r="AR161" s="8"/>
      <c r="AS161" s="8"/>
      <c r="AT161" s="8"/>
      <c r="AU161" s="8"/>
      <c r="AV161" s="8"/>
      <c r="AW161" s="8"/>
      <c r="AX161" s="8"/>
      <c r="AY161" s="8"/>
      <c r="AZ161" s="8"/>
      <c r="BA161" s="8"/>
      <c r="BB161" s="8"/>
    </row>
    <row r="162" ht="15.75" customHeight="1">
      <c r="A162" s="12" t="s">
        <v>468</v>
      </c>
      <c r="B162" s="8">
        <f t="shared" si="2"/>
        <v>15.25</v>
      </c>
      <c r="C162" s="8"/>
      <c r="D162" s="8"/>
      <c r="E162" s="8"/>
      <c r="F162" s="8"/>
      <c r="G162" s="8"/>
      <c r="H162" s="8"/>
      <c r="I162" s="20">
        <v>2.25</v>
      </c>
      <c r="J162" s="8"/>
      <c r="K162" s="8"/>
      <c r="L162" s="20">
        <v>2.0</v>
      </c>
      <c r="M162" s="20">
        <v>3.0</v>
      </c>
      <c r="N162" s="20">
        <v>2.25</v>
      </c>
      <c r="O162" s="20">
        <v>2.5</v>
      </c>
      <c r="P162" s="20">
        <v>3.25</v>
      </c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8"/>
      <c r="AC162" s="8"/>
      <c r="AD162" s="8"/>
      <c r="AE162" s="8"/>
      <c r="AF162" s="8"/>
      <c r="AG162" s="8"/>
      <c r="AH162" s="8"/>
      <c r="AI162" s="8"/>
      <c r="AJ162" s="8"/>
      <c r="AK162" s="8"/>
      <c r="AL162" s="8"/>
      <c r="AM162" s="8"/>
      <c r="AN162" s="8"/>
      <c r="AO162" s="8"/>
      <c r="AP162" s="8"/>
      <c r="AQ162" s="8"/>
      <c r="AR162" s="8"/>
      <c r="AS162" s="8"/>
      <c r="AT162" s="8"/>
      <c r="AU162" s="8"/>
      <c r="AV162" s="8"/>
      <c r="AW162" s="8"/>
      <c r="AX162" s="8"/>
      <c r="AY162" s="8"/>
      <c r="AZ162" s="8"/>
      <c r="BA162" s="8"/>
      <c r="BB162" s="8"/>
    </row>
    <row r="163" ht="15.75" customHeight="1">
      <c r="A163" s="12" t="s">
        <v>423</v>
      </c>
      <c r="B163" s="8">
        <f t="shared" si="2"/>
        <v>2.25</v>
      </c>
      <c r="C163" s="8"/>
      <c r="D163" s="8"/>
      <c r="E163" s="8"/>
      <c r="F163" s="8"/>
      <c r="G163" s="8"/>
      <c r="H163" s="8"/>
      <c r="I163" s="20">
        <v>2.25</v>
      </c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  <c r="AB163" s="8"/>
      <c r="AC163" s="8"/>
      <c r="AD163" s="8"/>
      <c r="AE163" s="8"/>
      <c r="AF163" s="8"/>
      <c r="AG163" s="8"/>
      <c r="AH163" s="8"/>
      <c r="AI163" s="8"/>
      <c r="AJ163" s="8"/>
      <c r="AK163" s="8"/>
      <c r="AL163" s="8"/>
      <c r="AM163" s="8"/>
      <c r="AN163" s="8"/>
      <c r="AO163" s="8"/>
      <c r="AP163" s="8"/>
      <c r="AQ163" s="8"/>
      <c r="AR163" s="8"/>
      <c r="AS163" s="8"/>
      <c r="AT163" s="8"/>
      <c r="AU163" s="8"/>
      <c r="AV163" s="8"/>
      <c r="AW163" s="8"/>
      <c r="AX163" s="8"/>
      <c r="AY163" s="8"/>
      <c r="AZ163" s="8"/>
      <c r="BA163" s="8"/>
      <c r="BB163" s="8"/>
    </row>
    <row r="164" ht="15.75" customHeight="1">
      <c r="A164" s="12" t="s">
        <v>422</v>
      </c>
      <c r="B164" s="8">
        <f t="shared" si="2"/>
        <v>2.25</v>
      </c>
      <c r="C164" s="8"/>
      <c r="D164" s="8"/>
      <c r="E164" s="8"/>
      <c r="F164" s="8"/>
      <c r="G164" s="8"/>
      <c r="H164" s="8"/>
      <c r="I164" s="20">
        <v>2.25</v>
      </c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  <c r="AB164" s="8"/>
      <c r="AC164" s="8"/>
      <c r="AD164" s="8"/>
      <c r="AE164" s="8"/>
      <c r="AF164" s="8"/>
      <c r="AG164" s="8"/>
      <c r="AH164" s="8"/>
      <c r="AI164" s="8"/>
      <c r="AJ164" s="8"/>
      <c r="AK164" s="8"/>
      <c r="AL164" s="8"/>
      <c r="AM164" s="8"/>
      <c r="AN164" s="8"/>
      <c r="AO164" s="8"/>
      <c r="AP164" s="8"/>
      <c r="AQ164" s="8"/>
      <c r="AR164" s="8"/>
      <c r="AS164" s="8"/>
      <c r="AT164" s="8"/>
      <c r="AU164" s="8"/>
      <c r="AV164" s="8"/>
      <c r="AW164" s="8"/>
      <c r="AX164" s="8"/>
      <c r="AY164" s="8"/>
      <c r="AZ164" s="8"/>
      <c r="BA164" s="8"/>
      <c r="BB164" s="8"/>
    </row>
    <row r="165" ht="15.75" customHeight="1">
      <c r="A165" s="12" t="s">
        <v>428</v>
      </c>
      <c r="B165" s="8">
        <f t="shared" si="2"/>
        <v>4.75</v>
      </c>
      <c r="C165" s="8"/>
      <c r="D165" s="8"/>
      <c r="E165" s="8"/>
      <c r="F165" s="8"/>
      <c r="G165" s="8"/>
      <c r="H165" s="8"/>
      <c r="I165" s="8"/>
      <c r="J165" s="20">
        <v>2.75</v>
      </c>
      <c r="K165" s="8"/>
      <c r="L165" s="20">
        <v>2.0</v>
      </c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  <c r="AB165" s="8"/>
      <c r="AC165" s="8"/>
      <c r="AD165" s="8"/>
      <c r="AE165" s="8"/>
      <c r="AF165" s="8"/>
      <c r="AG165" s="8"/>
      <c r="AH165" s="8"/>
      <c r="AI165" s="8"/>
      <c r="AJ165" s="8"/>
      <c r="AK165" s="8"/>
      <c r="AL165" s="8"/>
      <c r="AM165" s="8"/>
      <c r="AN165" s="8"/>
      <c r="AO165" s="8"/>
      <c r="AP165" s="8"/>
      <c r="AQ165" s="8"/>
      <c r="AR165" s="8"/>
      <c r="AS165" s="8"/>
      <c r="AT165" s="8"/>
      <c r="AU165" s="8"/>
      <c r="AV165" s="8"/>
      <c r="AW165" s="8"/>
      <c r="AX165" s="8"/>
      <c r="AY165" s="8"/>
      <c r="AZ165" s="8"/>
      <c r="BA165" s="8"/>
      <c r="BB165" s="8"/>
    </row>
    <row r="166" ht="15.75" customHeight="1">
      <c r="A166" s="12" t="s">
        <v>469</v>
      </c>
      <c r="B166" s="8">
        <f t="shared" si="2"/>
        <v>2.75</v>
      </c>
      <c r="C166" s="8"/>
      <c r="D166" s="8"/>
      <c r="E166" s="8"/>
      <c r="F166" s="8"/>
      <c r="G166" s="8"/>
      <c r="H166" s="8"/>
      <c r="I166" s="8"/>
      <c r="J166" s="20">
        <v>2.75</v>
      </c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  <c r="AB166" s="8"/>
      <c r="AC166" s="8"/>
      <c r="AD166" s="8"/>
      <c r="AE166" s="8"/>
      <c r="AF166" s="8"/>
      <c r="AG166" s="8"/>
      <c r="AH166" s="8"/>
      <c r="AI166" s="8"/>
      <c r="AJ166" s="8"/>
      <c r="AK166" s="8"/>
      <c r="AL166" s="8"/>
      <c r="AM166" s="8"/>
      <c r="AN166" s="8"/>
      <c r="AO166" s="8"/>
      <c r="AP166" s="8"/>
      <c r="AQ166" s="8"/>
      <c r="AR166" s="8"/>
      <c r="AS166" s="8"/>
      <c r="AT166" s="8"/>
      <c r="AU166" s="8"/>
      <c r="AV166" s="8"/>
      <c r="AW166" s="8"/>
      <c r="AX166" s="8"/>
      <c r="AY166" s="8"/>
      <c r="AZ166" s="8"/>
      <c r="BA166" s="8"/>
      <c r="BB166" s="8"/>
    </row>
    <row r="167" ht="15.75" customHeight="1">
      <c r="A167" s="12" t="s">
        <v>135</v>
      </c>
      <c r="B167" s="8">
        <f t="shared" si="2"/>
        <v>1.5</v>
      </c>
      <c r="C167" s="8"/>
      <c r="D167" s="8"/>
      <c r="E167" s="8"/>
      <c r="F167" s="8"/>
      <c r="G167" s="8"/>
      <c r="H167" s="8"/>
      <c r="I167" s="8"/>
      <c r="J167" s="20">
        <v>1.5</v>
      </c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  <c r="AC167" s="8"/>
      <c r="AD167" s="8"/>
      <c r="AE167" s="8"/>
      <c r="AF167" s="8"/>
      <c r="AG167" s="8"/>
      <c r="AH167" s="8"/>
      <c r="AI167" s="8"/>
      <c r="AJ167" s="8"/>
      <c r="AK167" s="8"/>
      <c r="AL167" s="8"/>
      <c r="AM167" s="8"/>
      <c r="AN167" s="8"/>
      <c r="AO167" s="8"/>
      <c r="AP167" s="8"/>
      <c r="AQ167" s="8"/>
      <c r="AR167" s="8"/>
      <c r="AS167" s="8"/>
      <c r="AT167" s="8"/>
      <c r="AU167" s="8"/>
      <c r="AV167" s="8"/>
      <c r="AW167" s="8"/>
      <c r="AX167" s="8"/>
      <c r="AY167" s="8"/>
      <c r="AZ167" s="8"/>
      <c r="BA167" s="8"/>
      <c r="BB167" s="8"/>
    </row>
    <row r="168" ht="15.75" customHeight="1">
      <c r="A168" s="12" t="s">
        <v>470</v>
      </c>
      <c r="B168" s="8">
        <f t="shared" si="2"/>
        <v>4</v>
      </c>
      <c r="C168" s="8"/>
      <c r="D168" s="8"/>
      <c r="E168" s="8"/>
      <c r="F168" s="8"/>
      <c r="G168" s="8"/>
      <c r="H168" s="8"/>
      <c r="I168" s="8"/>
      <c r="J168" s="8"/>
      <c r="K168" s="8"/>
      <c r="L168" s="20">
        <v>2.0</v>
      </c>
      <c r="M168" s="8"/>
      <c r="N168" s="8"/>
      <c r="O168" s="8"/>
      <c r="P168" s="8"/>
      <c r="Q168" s="20">
        <v>2.0</v>
      </c>
      <c r="R168" s="8"/>
      <c r="S168" s="8"/>
      <c r="T168" s="8"/>
      <c r="U168" s="8"/>
      <c r="V168" s="8"/>
      <c r="W168" s="8"/>
      <c r="X168" s="8"/>
      <c r="Y168" s="8"/>
      <c r="Z168" s="8"/>
      <c r="AA168" s="8"/>
      <c r="AB168" s="8"/>
      <c r="AC168" s="8"/>
      <c r="AD168" s="8"/>
      <c r="AE168" s="8"/>
      <c r="AF168" s="8"/>
      <c r="AG168" s="8"/>
      <c r="AH168" s="8"/>
      <c r="AI168" s="8"/>
      <c r="AJ168" s="8"/>
      <c r="AK168" s="8"/>
      <c r="AL168" s="8"/>
      <c r="AM168" s="8"/>
      <c r="AN168" s="8"/>
      <c r="AO168" s="8"/>
      <c r="AP168" s="8"/>
      <c r="AQ168" s="8"/>
      <c r="AR168" s="8"/>
      <c r="AS168" s="8"/>
      <c r="AT168" s="8"/>
      <c r="AU168" s="8"/>
      <c r="AV168" s="8"/>
      <c r="AW168" s="8"/>
      <c r="AX168" s="8"/>
      <c r="AY168" s="8"/>
      <c r="AZ168" s="8"/>
      <c r="BA168" s="8"/>
      <c r="BB168" s="8"/>
    </row>
    <row r="169" ht="15.75" customHeight="1">
      <c r="A169" s="12" t="s">
        <v>471</v>
      </c>
      <c r="B169" s="8">
        <f t="shared" si="2"/>
        <v>2</v>
      </c>
      <c r="C169" s="8"/>
      <c r="D169" s="8"/>
      <c r="E169" s="8"/>
      <c r="F169" s="8"/>
      <c r="G169" s="8"/>
      <c r="H169" s="8"/>
      <c r="I169" s="8"/>
      <c r="J169" s="8"/>
      <c r="K169" s="8"/>
      <c r="L169" s="20">
        <v>2.0</v>
      </c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8"/>
      <c r="AC169" s="8"/>
      <c r="AD169" s="8"/>
      <c r="AE169" s="8"/>
      <c r="AF169" s="8"/>
      <c r="AG169" s="8"/>
      <c r="AH169" s="8"/>
      <c r="AI169" s="8"/>
      <c r="AJ169" s="8"/>
      <c r="AK169" s="8"/>
      <c r="AL169" s="8"/>
      <c r="AM169" s="8"/>
      <c r="AN169" s="8"/>
      <c r="AO169" s="8"/>
      <c r="AP169" s="8"/>
      <c r="AQ169" s="8"/>
      <c r="AR169" s="8"/>
      <c r="AS169" s="8"/>
      <c r="AT169" s="8"/>
      <c r="AU169" s="8"/>
      <c r="AV169" s="8"/>
      <c r="AW169" s="8"/>
      <c r="AX169" s="8"/>
      <c r="AY169" s="8"/>
      <c r="AZ169" s="8"/>
      <c r="BA169" s="8"/>
      <c r="BB169" s="8"/>
    </row>
    <row r="170" ht="15.75" customHeight="1">
      <c r="A170" s="12" t="s">
        <v>472</v>
      </c>
      <c r="B170" s="8">
        <f t="shared" si="2"/>
        <v>2</v>
      </c>
      <c r="C170" s="8"/>
      <c r="D170" s="8"/>
      <c r="E170" s="8"/>
      <c r="F170" s="8"/>
      <c r="G170" s="8"/>
      <c r="H170" s="8"/>
      <c r="I170" s="8"/>
      <c r="J170" s="8"/>
      <c r="K170" s="8"/>
      <c r="L170" s="20">
        <v>2.0</v>
      </c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8"/>
      <c r="AC170" s="8"/>
      <c r="AD170" s="8"/>
      <c r="AE170" s="8"/>
      <c r="AF170" s="8"/>
      <c r="AG170" s="8"/>
      <c r="AH170" s="8"/>
      <c r="AI170" s="8"/>
      <c r="AJ170" s="8"/>
      <c r="AK170" s="8"/>
      <c r="AL170" s="8"/>
      <c r="AM170" s="8"/>
      <c r="AN170" s="8"/>
      <c r="AO170" s="8"/>
      <c r="AP170" s="8"/>
      <c r="AQ170" s="8"/>
      <c r="AR170" s="8"/>
      <c r="AS170" s="8"/>
      <c r="AT170" s="8"/>
      <c r="AU170" s="8"/>
      <c r="AV170" s="8"/>
      <c r="AW170" s="8"/>
      <c r="AX170" s="8"/>
      <c r="AY170" s="8"/>
      <c r="AZ170" s="8"/>
      <c r="BA170" s="8"/>
      <c r="BB170" s="8"/>
    </row>
    <row r="171" ht="15.75" customHeight="1">
      <c r="A171" s="12" t="s">
        <v>431</v>
      </c>
      <c r="B171" s="8">
        <f t="shared" si="2"/>
        <v>5</v>
      </c>
      <c r="C171" s="8"/>
      <c r="D171" s="8"/>
      <c r="E171" s="8"/>
      <c r="F171" s="8"/>
      <c r="G171" s="8"/>
      <c r="H171" s="8"/>
      <c r="I171" s="8"/>
      <c r="J171" s="8"/>
      <c r="K171" s="8"/>
      <c r="L171" s="20">
        <v>2.0</v>
      </c>
      <c r="M171" s="20">
        <v>3.0</v>
      </c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  <c r="AC171" s="8"/>
      <c r="AD171" s="8"/>
      <c r="AE171" s="8"/>
      <c r="AF171" s="8"/>
      <c r="AG171" s="8"/>
      <c r="AH171" s="8"/>
      <c r="AI171" s="8"/>
      <c r="AJ171" s="8"/>
      <c r="AK171" s="8"/>
      <c r="AL171" s="8"/>
      <c r="AM171" s="8"/>
      <c r="AN171" s="8"/>
      <c r="AO171" s="8"/>
      <c r="AP171" s="8"/>
      <c r="AQ171" s="8"/>
      <c r="AR171" s="8"/>
      <c r="AS171" s="8"/>
      <c r="AT171" s="8"/>
      <c r="AU171" s="8"/>
      <c r="AV171" s="8"/>
      <c r="AW171" s="8"/>
      <c r="AX171" s="8"/>
      <c r="AY171" s="8"/>
      <c r="AZ171" s="8"/>
      <c r="BA171" s="8"/>
      <c r="BB171" s="8"/>
    </row>
    <row r="172" ht="15.75" customHeight="1">
      <c r="A172" s="12" t="s">
        <v>473</v>
      </c>
      <c r="B172" s="8">
        <f t="shared" si="2"/>
        <v>4.5</v>
      </c>
      <c r="C172" s="8"/>
      <c r="D172" s="8"/>
      <c r="E172" s="8"/>
      <c r="F172" s="8"/>
      <c r="G172" s="8"/>
      <c r="H172" s="8"/>
      <c r="I172" s="8"/>
      <c r="J172" s="8"/>
      <c r="K172" s="8"/>
      <c r="L172" s="20">
        <v>2.0</v>
      </c>
      <c r="M172" s="8"/>
      <c r="N172" s="20">
        <v>2.5</v>
      </c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  <c r="AC172" s="8"/>
      <c r="AD172" s="8"/>
      <c r="AE172" s="8"/>
      <c r="AF172" s="8"/>
      <c r="AG172" s="8"/>
      <c r="AH172" s="8"/>
      <c r="AI172" s="8"/>
      <c r="AJ172" s="8"/>
      <c r="AK172" s="8"/>
      <c r="AL172" s="8"/>
      <c r="AM172" s="8"/>
      <c r="AN172" s="8"/>
      <c r="AO172" s="8"/>
      <c r="AP172" s="8"/>
      <c r="AQ172" s="8"/>
      <c r="AR172" s="8"/>
      <c r="AS172" s="8"/>
      <c r="AT172" s="8"/>
      <c r="AU172" s="8"/>
      <c r="AV172" s="8"/>
      <c r="AW172" s="8"/>
      <c r="AX172" s="8"/>
      <c r="AY172" s="8"/>
      <c r="AZ172" s="8"/>
      <c r="BA172" s="8"/>
      <c r="BB172" s="8"/>
    </row>
    <row r="173" ht="15.75" customHeight="1">
      <c r="A173" s="12" t="s">
        <v>474</v>
      </c>
      <c r="B173" s="8">
        <f t="shared" si="2"/>
        <v>7.75</v>
      </c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20">
        <v>3.25</v>
      </c>
      <c r="N173" s="8"/>
      <c r="O173" s="20">
        <v>2.5</v>
      </c>
      <c r="P173" s="8"/>
      <c r="Q173" s="20">
        <v>2.0</v>
      </c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  <c r="AC173" s="8"/>
      <c r="AD173" s="8"/>
      <c r="AE173" s="8"/>
      <c r="AF173" s="8"/>
      <c r="AG173" s="8"/>
      <c r="AH173" s="8"/>
      <c r="AI173" s="8"/>
      <c r="AJ173" s="8"/>
      <c r="AK173" s="8"/>
      <c r="AL173" s="8"/>
      <c r="AM173" s="8"/>
      <c r="AN173" s="8"/>
      <c r="AO173" s="8"/>
      <c r="AP173" s="8"/>
      <c r="AQ173" s="8"/>
      <c r="AR173" s="8"/>
      <c r="AS173" s="8"/>
      <c r="AT173" s="8"/>
      <c r="AU173" s="8"/>
      <c r="AV173" s="8"/>
      <c r="AW173" s="8"/>
      <c r="AX173" s="8"/>
      <c r="AY173" s="8"/>
      <c r="AZ173" s="8"/>
      <c r="BA173" s="8"/>
      <c r="BB173" s="8"/>
    </row>
    <row r="174" ht="15.75" customHeight="1">
      <c r="A174" s="12" t="s">
        <v>475</v>
      </c>
      <c r="B174" s="8">
        <f t="shared" si="2"/>
        <v>2.5</v>
      </c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20">
        <v>2.5</v>
      </c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  <c r="AC174" s="8"/>
      <c r="AD174" s="8"/>
      <c r="AE174" s="8"/>
      <c r="AF174" s="8"/>
      <c r="AG174" s="8"/>
      <c r="AH174" s="8"/>
      <c r="AI174" s="8"/>
      <c r="AJ174" s="8"/>
      <c r="AK174" s="8"/>
      <c r="AL174" s="8"/>
      <c r="AM174" s="8"/>
      <c r="AN174" s="8"/>
      <c r="AO174" s="8"/>
      <c r="AP174" s="8"/>
      <c r="AQ174" s="8"/>
      <c r="AR174" s="8"/>
      <c r="AS174" s="8"/>
      <c r="AT174" s="8"/>
      <c r="AU174" s="8"/>
      <c r="AV174" s="8"/>
      <c r="AW174" s="8"/>
      <c r="AX174" s="8"/>
      <c r="AY174" s="8"/>
      <c r="AZ174" s="8"/>
      <c r="BA174" s="8"/>
      <c r="BB174" s="8"/>
    </row>
    <row r="175" ht="15.75" customHeight="1">
      <c r="A175" s="12" t="s">
        <v>476</v>
      </c>
      <c r="B175" s="8">
        <f t="shared" si="2"/>
        <v>2.5</v>
      </c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20">
        <v>2.5</v>
      </c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  <c r="AC175" s="8"/>
      <c r="AD175" s="8"/>
      <c r="AE175" s="8"/>
      <c r="AF175" s="8"/>
      <c r="AG175" s="8"/>
      <c r="AH175" s="8"/>
      <c r="AI175" s="8"/>
      <c r="AJ175" s="8"/>
      <c r="AK175" s="8"/>
      <c r="AL175" s="8"/>
      <c r="AM175" s="8"/>
      <c r="AN175" s="8"/>
      <c r="AO175" s="8"/>
      <c r="AP175" s="8"/>
      <c r="AQ175" s="8"/>
      <c r="AR175" s="8"/>
      <c r="AS175" s="8"/>
      <c r="AT175" s="8"/>
      <c r="AU175" s="8"/>
      <c r="AV175" s="8"/>
      <c r="AW175" s="8"/>
      <c r="AX175" s="8"/>
      <c r="AY175" s="8"/>
      <c r="AZ175" s="8"/>
      <c r="BA175" s="8"/>
      <c r="BB175" s="8"/>
    </row>
    <row r="176" ht="15.75" customHeight="1">
      <c r="A176" s="12" t="s">
        <v>477</v>
      </c>
      <c r="B176" s="8">
        <f t="shared" si="2"/>
        <v>2.5</v>
      </c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20">
        <v>2.5</v>
      </c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  <c r="AC176" s="8"/>
      <c r="AD176" s="8"/>
      <c r="AE176" s="8"/>
      <c r="AF176" s="8"/>
      <c r="AG176" s="8"/>
      <c r="AH176" s="8"/>
      <c r="AI176" s="8"/>
      <c r="AJ176" s="8"/>
      <c r="AK176" s="8"/>
      <c r="AL176" s="8"/>
      <c r="AM176" s="8"/>
      <c r="AN176" s="8"/>
      <c r="AO176" s="8"/>
      <c r="AP176" s="8"/>
      <c r="AQ176" s="8"/>
      <c r="AR176" s="8"/>
      <c r="AS176" s="8"/>
      <c r="AT176" s="8"/>
      <c r="AU176" s="8"/>
      <c r="AV176" s="8"/>
      <c r="AW176" s="8"/>
      <c r="AX176" s="8"/>
      <c r="AY176" s="8"/>
      <c r="AZ176" s="8"/>
      <c r="BA176" s="8"/>
      <c r="BB176" s="8"/>
    </row>
    <row r="177" ht="15.75" customHeight="1">
      <c r="A177" s="12" t="s">
        <v>478</v>
      </c>
      <c r="B177" s="8">
        <f t="shared" si="2"/>
        <v>1.25</v>
      </c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20">
        <v>1.25</v>
      </c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  <c r="AC177" s="8"/>
      <c r="AD177" s="8"/>
      <c r="AE177" s="8"/>
      <c r="AF177" s="8"/>
      <c r="AG177" s="8"/>
      <c r="AH177" s="8"/>
      <c r="AI177" s="8"/>
      <c r="AJ177" s="8"/>
      <c r="AK177" s="8"/>
      <c r="AL177" s="8"/>
      <c r="AM177" s="8"/>
      <c r="AN177" s="8"/>
      <c r="AO177" s="8"/>
      <c r="AP177" s="8"/>
      <c r="AQ177" s="8"/>
      <c r="AR177" s="8"/>
      <c r="AS177" s="8"/>
      <c r="AT177" s="8"/>
      <c r="AU177" s="8"/>
      <c r="AV177" s="8"/>
      <c r="AW177" s="8"/>
      <c r="AX177" s="8"/>
      <c r="AY177" s="8"/>
      <c r="AZ177" s="8"/>
      <c r="BA177" s="8"/>
      <c r="BB177" s="8"/>
    </row>
    <row r="178" ht="15.75" customHeight="1">
      <c r="A178" s="12" t="s">
        <v>479</v>
      </c>
      <c r="B178" s="8">
        <f t="shared" si="2"/>
        <v>2.5</v>
      </c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20">
        <v>2.5</v>
      </c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  <c r="AC178" s="8"/>
      <c r="AD178" s="8"/>
      <c r="AE178" s="8"/>
      <c r="AF178" s="8"/>
      <c r="AG178" s="8"/>
      <c r="AH178" s="8"/>
      <c r="AI178" s="8"/>
      <c r="AJ178" s="8"/>
      <c r="AK178" s="8"/>
      <c r="AL178" s="8"/>
      <c r="AM178" s="8"/>
      <c r="AN178" s="8"/>
      <c r="AO178" s="8"/>
      <c r="AP178" s="8"/>
      <c r="AQ178" s="8"/>
      <c r="AR178" s="8"/>
      <c r="AS178" s="8"/>
      <c r="AT178" s="8"/>
      <c r="AU178" s="8"/>
      <c r="AV178" s="8"/>
      <c r="AW178" s="8"/>
      <c r="AX178" s="8"/>
      <c r="AY178" s="8"/>
      <c r="AZ178" s="8"/>
      <c r="BA178" s="8"/>
      <c r="BB178" s="8"/>
    </row>
    <row r="179" ht="15.75" customHeight="1">
      <c r="A179" s="12" t="s">
        <v>480</v>
      </c>
      <c r="B179" s="8">
        <f t="shared" si="2"/>
        <v>2.5</v>
      </c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20">
        <v>2.5</v>
      </c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  <c r="AC179" s="8"/>
      <c r="AD179" s="8"/>
      <c r="AE179" s="8"/>
      <c r="AF179" s="8"/>
      <c r="AG179" s="8"/>
      <c r="AH179" s="8"/>
      <c r="AI179" s="8"/>
      <c r="AJ179" s="8"/>
      <c r="AK179" s="8"/>
      <c r="AL179" s="8"/>
      <c r="AM179" s="8"/>
      <c r="AN179" s="8"/>
      <c r="AO179" s="8"/>
      <c r="AP179" s="8"/>
      <c r="AQ179" s="8"/>
      <c r="AR179" s="8"/>
      <c r="AS179" s="8"/>
      <c r="AT179" s="8"/>
      <c r="AU179" s="8"/>
      <c r="AV179" s="8"/>
      <c r="AW179" s="8"/>
      <c r="AX179" s="8"/>
      <c r="AY179" s="8"/>
      <c r="AZ179" s="8"/>
      <c r="BA179" s="8"/>
      <c r="BB179" s="8"/>
    </row>
    <row r="180" ht="15.75" customHeight="1">
      <c r="A180" s="12" t="s">
        <v>481</v>
      </c>
      <c r="B180" s="8">
        <f t="shared" si="2"/>
        <v>2.75</v>
      </c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20">
        <v>2.75</v>
      </c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  <c r="AC180" s="8"/>
      <c r="AD180" s="8"/>
      <c r="AE180" s="8"/>
      <c r="AF180" s="8"/>
      <c r="AG180" s="8"/>
      <c r="AH180" s="8"/>
      <c r="AI180" s="8"/>
      <c r="AJ180" s="8"/>
      <c r="AK180" s="8"/>
      <c r="AL180" s="8"/>
      <c r="AM180" s="8"/>
      <c r="AN180" s="8"/>
      <c r="AO180" s="8"/>
      <c r="AP180" s="8"/>
      <c r="AQ180" s="8"/>
      <c r="AR180" s="8"/>
      <c r="AS180" s="8"/>
      <c r="AT180" s="8"/>
      <c r="AU180" s="8"/>
      <c r="AV180" s="8"/>
      <c r="AW180" s="8"/>
      <c r="AX180" s="8"/>
      <c r="AY180" s="8"/>
      <c r="AZ180" s="8"/>
      <c r="BA180" s="8"/>
      <c r="BB180" s="8"/>
    </row>
    <row r="181" ht="15.75" customHeight="1">
      <c r="A181" s="12" t="s">
        <v>482</v>
      </c>
      <c r="B181" s="8">
        <f t="shared" si="2"/>
        <v>2</v>
      </c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20">
        <v>2.0</v>
      </c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  <c r="AC181" s="8"/>
      <c r="AD181" s="8"/>
      <c r="AE181" s="8"/>
      <c r="AF181" s="8"/>
      <c r="AG181" s="8"/>
      <c r="AH181" s="8"/>
      <c r="AI181" s="8"/>
      <c r="AJ181" s="8"/>
      <c r="AK181" s="8"/>
      <c r="AL181" s="8"/>
      <c r="AM181" s="8"/>
      <c r="AN181" s="8"/>
      <c r="AO181" s="8"/>
      <c r="AP181" s="8"/>
      <c r="AQ181" s="8"/>
      <c r="AR181" s="8"/>
      <c r="AS181" s="8"/>
      <c r="AT181" s="8"/>
      <c r="AU181" s="8"/>
      <c r="AV181" s="8"/>
      <c r="AW181" s="8"/>
      <c r="AX181" s="8"/>
      <c r="AY181" s="8"/>
      <c r="AZ181" s="8"/>
      <c r="BA181" s="8"/>
      <c r="BB181" s="8"/>
    </row>
    <row r="182" ht="15.75" customHeight="1">
      <c r="A182" s="11"/>
      <c r="B182" s="8">
        <f t="shared" si="2"/>
        <v>0</v>
      </c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  <c r="AC182" s="8"/>
      <c r="AD182" s="8"/>
      <c r="AE182" s="8"/>
      <c r="AF182" s="8"/>
      <c r="AG182" s="8"/>
      <c r="AH182" s="8"/>
      <c r="AI182" s="8"/>
      <c r="AJ182" s="8"/>
      <c r="AK182" s="8"/>
      <c r="AL182" s="8"/>
      <c r="AM182" s="8"/>
      <c r="AN182" s="8"/>
      <c r="AO182" s="8"/>
      <c r="AP182" s="8"/>
      <c r="AQ182" s="8"/>
      <c r="AR182" s="8"/>
      <c r="AS182" s="8"/>
      <c r="AT182" s="8"/>
      <c r="AU182" s="8"/>
      <c r="AV182" s="8"/>
      <c r="AW182" s="8"/>
      <c r="AX182" s="8"/>
      <c r="AY182" s="8"/>
      <c r="AZ182" s="8"/>
      <c r="BA182" s="8"/>
      <c r="BB182" s="8"/>
    </row>
    <row r="183" ht="15.75" customHeight="1">
      <c r="A183" s="11"/>
      <c r="B183" s="8">
        <f t="shared" si="2"/>
        <v>0</v>
      </c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  <c r="AC183" s="8"/>
      <c r="AD183" s="8"/>
      <c r="AE183" s="8"/>
      <c r="AF183" s="8"/>
      <c r="AG183" s="8"/>
      <c r="AH183" s="8"/>
      <c r="AI183" s="8"/>
      <c r="AJ183" s="8"/>
      <c r="AK183" s="8"/>
      <c r="AL183" s="8"/>
      <c r="AM183" s="8"/>
      <c r="AN183" s="8"/>
      <c r="AO183" s="8"/>
      <c r="AP183" s="8"/>
      <c r="AQ183" s="8"/>
      <c r="AR183" s="8"/>
      <c r="AS183" s="8"/>
      <c r="AT183" s="8"/>
      <c r="AU183" s="8"/>
      <c r="AV183" s="8"/>
      <c r="AW183" s="8"/>
      <c r="AX183" s="8"/>
      <c r="AY183" s="8"/>
      <c r="AZ183" s="8"/>
      <c r="BA183" s="8"/>
      <c r="BB183" s="8"/>
    </row>
    <row r="184" ht="15.75" customHeight="1">
      <c r="A184" s="11"/>
      <c r="B184" s="8">
        <f t="shared" si="2"/>
        <v>0</v>
      </c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  <c r="AC184" s="8"/>
      <c r="AD184" s="8"/>
      <c r="AE184" s="8"/>
      <c r="AF184" s="8"/>
      <c r="AG184" s="8"/>
      <c r="AH184" s="8"/>
      <c r="AI184" s="8"/>
      <c r="AJ184" s="8"/>
      <c r="AK184" s="8"/>
      <c r="AL184" s="8"/>
      <c r="AM184" s="8"/>
      <c r="AN184" s="8"/>
      <c r="AO184" s="8"/>
      <c r="AP184" s="8"/>
      <c r="AQ184" s="8"/>
      <c r="AR184" s="8"/>
      <c r="AS184" s="8"/>
      <c r="AT184" s="8"/>
      <c r="AU184" s="8"/>
      <c r="AV184" s="8"/>
      <c r="AW184" s="8"/>
      <c r="AX184" s="8"/>
      <c r="AY184" s="8"/>
      <c r="AZ184" s="8"/>
      <c r="BA184" s="8"/>
      <c r="BB184" s="8"/>
    </row>
    <row r="185" ht="15.75" customHeight="1">
      <c r="A185" s="11"/>
      <c r="B185" s="8">
        <f t="shared" si="2"/>
        <v>0</v>
      </c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  <c r="AC185" s="8"/>
      <c r="AD185" s="8"/>
      <c r="AE185" s="8"/>
      <c r="AF185" s="8"/>
      <c r="AG185" s="8"/>
      <c r="AH185" s="8"/>
      <c r="AI185" s="8"/>
      <c r="AJ185" s="8"/>
      <c r="AK185" s="8"/>
      <c r="AL185" s="8"/>
      <c r="AM185" s="8"/>
      <c r="AN185" s="8"/>
      <c r="AO185" s="8"/>
      <c r="AP185" s="8"/>
      <c r="AQ185" s="8"/>
      <c r="AR185" s="8"/>
      <c r="AS185" s="8"/>
      <c r="AT185" s="8"/>
      <c r="AU185" s="8"/>
      <c r="AV185" s="8"/>
      <c r="AW185" s="8"/>
      <c r="AX185" s="8"/>
      <c r="AY185" s="8"/>
      <c r="AZ185" s="8"/>
      <c r="BA185" s="8"/>
      <c r="BB185" s="8"/>
    </row>
    <row r="186" ht="15.75" customHeight="1">
      <c r="A186" s="11"/>
      <c r="B186" s="8">
        <f t="shared" si="2"/>
        <v>0</v>
      </c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  <c r="AC186" s="8"/>
      <c r="AD186" s="8"/>
      <c r="AE186" s="8"/>
      <c r="AF186" s="8"/>
      <c r="AG186" s="8"/>
      <c r="AH186" s="8"/>
      <c r="AI186" s="8"/>
      <c r="AJ186" s="8"/>
      <c r="AK186" s="8"/>
      <c r="AL186" s="8"/>
      <c r="AM186" s="8"/>
      <c r="AN186" s="8"/>
      <c r="AO186" s="8"/>
      <c r="AP186" s="8"/>
      <c r="AQ186" s="8"/>
      <c r="AR186" s="8"/>
      <c r="AS186" s="8"/>
      <c r="AT186" s="8"/>
      <c r="AU186" s="8"/>
      <c r="AV186" s="8"/>
      <c r="AW186" s="8"/>
      <c r="AX186" s="8"/>
      <c r="AY186" s="8"/>
      <c r="AZ186" s="8"/>
      <c r="BA186" s="8"/>
      <c r="BB186" s="8"/>
    </row>
    <row r="187" ht="15.75" customHeight="1">
      <c r="A187" s="11"/>
      <c r="B187" s="8">
        <f t="shared" si="2"/>
        <v>0</v>
      </c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8"/>
      <c r="AD187" s="8"/>
      <c r="AE187" s="8"/>
      <c r="AF187" s="8"/>
      <c r="AG187" s="8"/>
      <c r="AH187" s="8"/>
      <c r="AI187" s="8"/>
      <c r="AJ187" s="8"/>
      <c r="AK187" s="8"/>
      <c r="AL187" s="8"/>
      <c r="AM187" s="8"/>
      <c r="AN187" s="8"/>
      <c r="AO187" s="8"/>
      <c r="AP187" s="8"/>
      <c r="AQ187" s="8"/>
      <c r="AR187" s="8"/>
      <c r="AS187" s="8"/>
      <c r="AT187" s="8"/>
      <c r="AU187" s="8"/>
      <c r="AV187" s="8"/>
      <c r="AW187" s="8"/>
      <c r="AX187" s="8"/>
      <c r="AY187" s="8"/>
      <c r="AZ187" s="8"/>
      <c r="BA187" s="8"/>
      <c r="BB187" s="8"/>
    </row>
    <row r="188" ht="15.75" customHeight="1">
      <c r="A188" s="11"/>
      <c r="B188" s="8">
        <f t="shared" si="2"/>
        <v>0</v>
      </c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  <c r="AD188" s="8"/>
      <c r="AE188" s="8"/>
      <c r="AF188" s="8"/>
      <c r="AG188" s="8"/>
      <c r="AH188" s="8"/>
      <c r="AI188" s="8"/>
      <c r="AJ188" s="8"/>
      <c r="AK188" s="8"/>
      <c r="AL188" s="8"/>
      <c r="AM188" s="8"/>
      <c r="AN188" s="8"/>
      <c r="AO188" s="8"/>
      <c r="AP188" s="8"/>
      <c r="AQ188" s="8"/>
      <c r="AR188" s="8"/>
      <c r="AS188" s="8"/>
      <c r="AT188" s="8"/>
      <c r="AU188" s="8"/>
      <c r="AV188" s="8"/>
      <c r="AW188" s="8"/>
      <c r="AX188" s="8"/>
      <c r="AY188" s="8"/>
      <c r="AZ188" s="8"/>
      <c r="BA188" s="8"/>
      <c r="BB188" s="8"/>
    </row>
    <row r="189" ht="15.75" customHeight="1">
      <c r="A189" s="11"/>
      <c r="B189" s="8">
        <f t="shared" si="2"/>
        <v>0</v>
      </c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  <c r="AC189" s="8"/>
      <c r="AD189" s="8"/>
      <c r="AE189" s="8"/>
      <c r="AF189" s="8"/>
      <c r="AG189" s="8"/>
      <c r="AH189" s="8"/>
      <c r="AI189" s="8"/>
      <c r="AJ189" s="8"/>
      <c r="AK189" s="8"/>
      <c r="AL189" s="8"/>
      <c r="AM189" s="8"/>
      <c r="AN189" s="8"/>
      <c r="AO189" s="8"/>
      <c r="AP189" s="8"/>
      <c r="AQ189" s="8"/>
      <c r="AR189" s="8"/>
      <c r="AS189" s="8"/>
      <c r="AT189" s="8"/>
      <c r="AU189" s="8"/>
      <c r="AV189" s="8"/>
      <c r="AW189" s="8"/>
      <c r="AX189" s="8"/>
      <c r="AY189" s="8"/>
      <c r="AZ189" s="8"/>
      <c r="BA189" s="8"/>
      <c r="BB189" s="8"/>
    </row>
    <row r="190" ht="15.75" customHeight="1">
      <c r="A190" s="11"/>
      <c r="B190" s="8">
        <f t="shared" si="2"/>
        <v>0</v>
      </c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  <c r="AC190" s="8"/>
      <c r="AD190" s="8"/>
      <c r="AE190" s="8"/>
      <c r="AF190" s="8"/>
      <c r="AG190" s="8"/>
      <c r="AH190" s="8"/>
      <c r="AI190" s="8"/>
      <c r="AJ190" s="8"/>
      <c r="AK190" s="8"/>
      <c r="AL190" s="8"/>
      <c r="AM190" s="8"/>
      <c r="AN190" s="8"/>
      <c r="AO190" s="8"/>
      <c r="AP190" s="8"/>
      <c r="AQ190" s="8"/>
      <c r="AR190" s="8"/>
      <c r="AS190" s="8"/>
      <c r="AT190" s="8"/>
      <c r="AU190" s="8"/>
      <c r="AV190" s="8"/>
      <c r="AW190" s="8"/>
      <c r="AX190" s="8"/>
      <c r="AY190" s="8"/>
      <c r="AZ190" s="8"/>
      <c r="BA190" s="8"/>
      <c r="BB190" s="8"/>
    </row>
    <row r="191" ht="15.75" customHeight="1">
      <c r="A191" s="11"/>
      <c r="B191" s="8">
        <f t="shared" si="2"/>
        <v>0</v>
      </c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  <c r="AC191" s="8"/>
      <c r="AD191" s="8"/>
      <c r="AE191" s="8"/>
      <c r="AF191" s="8"/>
      <c r="AG191" s="8"/>
      <c r="AH191" s="8"/>
      <c r="AI191" s="8"/>
      <c r="AJ191" s="8"/>
      <c r="AK191" s="8"/>
      <c r="AL191" s="8"/>
      <c r="AM191" s="8"/>
      <c r="AN191" s="8"/>
      <c r="AO191" s="8"/>
      <c r="AP191" s="8"/>
      <c r="AQ191" s="8"/>
      <c r="AR191" s="8"/>
      <c r="AS191" s="8"/>
      <c r="AT191" s="8"/>
      <c r="AU191" s="8"/>
      <c r="AV191" s="8"/>
      <c r="AW191" s="8"/>
      <c r="AX191" s="8"/>
      <c r="AY191" s="8"/>
      <c r="AZ191" s="8"/>
      <c r="BA191" s="8"/>
      <c r="BB191" s="8"/>
    </row>
    <row r="192" ht="15.75" customHeight="1">
      <c r="A192" s="11"/>
      <c r="B192" s="8">
        <f t="shared" si="2"/>
        <v>0</v>
      </c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8"/>
      <c r="AD192" s="8"/>
      <c r="AE192" s="8"/>
      <c r="AF192" s="8"/>
      <c r="AG192" s="8"/>
      <c r="AH192" s="8"/>
      <c r="AI192" s="8"/>
      <c r="AJ192" s="8"/>
      <c r="AK192" s="8"/>
      <c r="AL192" s="8"/>
      <c r="AM192" s="8"/>
      <c r="AN192" s="8"/>
      <c r="AO192" s="8"/>
      <c r="AP192" s="8"/>
      <c r="AQ192" s="8"/>
      <c r="AR192" s="8"/>
      <c r="AS192" s="8"/>
      <c r="AT192" s="8"/>
      <c r="AU192" s="8"/>
      <c r="AV192" s="8"/>
      <c r="AW192" s="8"/>
      <c r="AX192" s="8"/>
      <c r="AY192" s="8"/>
      <c r="AZ192" s="8"/>
      <c r="BA192" s="8"/>
      <c r="BB192" s="8"/>
    </row>
    <row r="193" ht="15.75" customHeight="1">
      <c r="A193" s="11"/>
      <c r="B193" s="8">
        <f t="shared" si="2"/>
        <v>0</v>
      </c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  <c r="AD193" s="8"/>
      <c r="AE193" s="8"/>
      <c r="AF193" s="8"/>
      <c r="AG193" s="8"/>
      <c r="AH193" s="8"/>
      <c r="AI193" s="8"/>
      <c r="AJ193" s="8"/>
      <c r="AK193" s="8"/>
      <c r="AL193" s="8"/>
      <c r="AM193" s="8"/>
      <c r="AN193" s="8"/>
      <c r="AO193" s="8"/>
      <c r="AP193" s="8"/>
      <c r="AQ193" s="8"/>
      <c r="AR193" s="8"/>
      <c r="AS193" s="8"/>
      <c r="AT193" s="8"/>
      <c r="AU193" s="8"/>
      <c r="AV193" s="8"/>
      <c r="AW193" s="8"/>
      <c r="AX193" s="8"/>
      <c r="AY193" s="8"/>
      <c r="AZ193" s="8"/>
      <c r="BA193" s="8"/>
      <c r="BB193" s="8"/>
    </row>
    <row r="194" ht="15.75" customHeight="1">
      <c r="A194" s="11"/>
      <c r="B194" s="8">
        <f t="shared" si="2"/>
        <v>0</v>
      </c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  <c r="AD194" s="8"/>
      <c r="AE194" s="8"/>
      <c r="AF194" s="8"/>
      <c r="AG194" s="8"/>
      <c r="AH194" s="8"/>
      <c r="AI194" s="8"/>
      <c r="AJ194" s="8"/>
      <c r="AK194" s="8"/>
      <c r="AL194" s="8"/>
      <c r="AM194" s="8"/>
      <c r="AN194" s="8"/>
      <c r="AO194" s="8"/>
      <c r="AP194" s="8"/>
      <c r="AQ194" s="8"/>
      <c r="AR194" s="8"/>
      <c r="AS194" s="8"/>
      <c r="AT194" s="8"/>
      <c r="AU194" s="8"/>
      <c r="AV194" s="8"/>
      <c r="AW194" s="8"/>
      <c r="AX194" s="8"/>
      <c r="AY194" s="8"/>
      <c r="AZ194" s="8"/>
      <c r="BA194" s="8"/>
      <c r="BB194" s="8"/>
    </row>
    <row r="195" ht="15.75" customHeight="1">
      <c r="A195" s="11"/>
      <c r="B195" s="8">
        <f t="shared" si="2"/>
        <v>0</v>
      </c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  <c r="AC195" s="8"/>
      <c r="AD195" s="8"/>
      <c r="AE195" s="8"/>
      <c r="AF195" s="8"/>
      <c r="AG195" s="8"/>
      <c r="AH195" s="8"/>
      <c r="AI195" s="8"/>
      <c r="AJ195" s="8"/>
      <c r="AK195" s="8"/>
      <c r="AL195" s="8"/>
      <c r="AM195" s="8"/>
      <c r="AN195" s="8"/>
      <c r="AO195" s="8"/>
      <c r="AP195" s="8"/>
      <c r="AQ195" s="8"/>
      <c r="AR195" s="8"/>
      <c r="AS195" s="8"/>
      <c r="AT195" s="8"/>
      <c r="AU195" s="8"/>
      <c r="AV195" s="8"/>
      <c r="AW195" s="8"/>
      <c r="AX195" s="8"/>
      <c r="AY195" s="8"/>
      <c r="AZ195" s="8"/>
      <c r="BA195" s="8"/>
      <c r="BB195" s="8"/>
    </row>
    <row r="196" ht="15.75" customHeight="1">
      <c r="A196" s="11"/>
      <c r="B196" s="8">
        <f t="shared" si="2"/>
        <v>0</v>
      </c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  <c r="AC196" s="8"/>
      <c r="AD196" s="8"/>
      <c r="AE196" s="8"/>
      <c r="AF196" s="8"/>
      <c r="AG196" s="8"/>
      <c r="AH196" s="8"/>
      <c r="AI196" s="8"/>
      <c r="AJ196" s="8"/>
      <c r="AK196" s="8"/>
      <c r="AL196" s="8"/>
      <c r="AM196" s="8"/>
      <c r="AN196" s="8"/>
      <c r="AO196" s="8"/>
      <c r="AP196" s="8"/>
      <c r="AQ196" s="8"/>
      <c r="AR196" s="8"/>
      <c r="AS196" s="8"/>
      <c r="AT196" s="8"/>
      <c r="AU196" s="8"/>
      <c r="AV196" s="8"/>
      <c r="AW196" s="8"/>
      <c r="AX196" s="8"/>
      <c r="AY196" s="8"/>
      <c r="AZ196" s="8"/>
      <c r="BA196" s="8"/>
      <c r="BB196" s="8"/>
    </row>
    <row r="197" ht="15.75" customHeight="1">
      <c r="A197" s="11"/>
      <c r="B197" s="8">
        <f t="shared" si="2"/>
        <v>0</v>
      </c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  <c r="AD197" s="8"/>
      <c r="AE197" s="8"/>
      <c r="AF197" s="8"/>
      <c r="AG197" s="8"/>
      <c r="AH197" s="8"/>
      <c r="AI197" s="8"/>
      <c r="AJ197" s="8"/>
      <c r="AK197" s="8"/>
      <c r="AL197" s="8"/>
      <c r="AM197" s="8"/>
      <c r="AN197" s="8"/>
      <c r="AO197" s="8"/>
      <c r="AP197" s="8"/>
      <c r="AQ197" s="8"/>
      <c r="AR197" s="8"/>
      <c r="AS197" s="8"/>
      <c r="AT197" s="8"/>
      <c r="AU197" s="8"/>
      <c r="AV197" s="8"/>
      <c r="AW197" s="8"/>
      <c r="AX197" s="8"/>
      <c r="AY197" s="8"/>
      <c r="AZ197" s="8"/>
      <c r="BA197" s="8"/>
      <c r="BB197" s="8"/>
    </row>
    <row r="198" ht="15.75" customHeight="1">
      <c r="A198" s="11"/>
      <c r="B198" s="8">
        <f t="shared" si="2"/>
        <v>0</v>
      </c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  <c r="AC198" s="8"/>
      <c r="AD198" s="8"/>
      <c r="AE198" s="8"/>
      <c r="AF198" s="8"/>
      <c r="AG198" s="8"/>
      <c r="AH198" s="8"/>
      <c r="AI198" s="8"/>
      <c r="AJ198" s="8"/>
      <c r="AK198" s="8"/>
      <c r="AL198" s="8"/>
      <c r="AM198" s="8"/>
      <c r="AN198" s="8"/>
      <c r="AO198" s="8"/>
      <c r="AP198" s="8"/>
      <c r="AQ198" s="8"/>
      <c r="AR198" s="8"/>
      <c r="AS198" s="8"/>
      <c r="AT198" s="8"/>
      <c r="AU198" s="8"/>
      <c r="AV198" s="8"/>
      <c r="AW198" s="8"/>
      <c r="AX198" s="8"/>
      <c r="AY198" s="8"/>
      <c r="AZ198" s="8"/>
      <c r="BA198" s="8"/>
      <c r="BB198" s="8"/>
    </row>
    <row r="199" ht="15.75" customHeight="1">
      <c r="A199" s="11"/>
      <c r="B199" s="8">
        <f t="shared" si="2"/>
        <v>0</v>
      </c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  <c r="AC199" s="8"/>
      <c r="AD199" s="8"/>
      <c r="AE199" s="8"/>
      <c r="AF199" s="8"/>
      <c r="AG199" s="8"/>
      <c r="AH199" s="8"/>
      <c r="AI199" s="8"/>
      <c r="AJ199" s="8"/>
      <c r="AK199" s="8"/>
      <c r="AL199" s="8"/>
      <c r="AM199" s="8"/>
      <c r="AN199" s="8"/>
      <c r="AO199" s="8"/>
      <c r="AP199" s="8"/>
      <c r="AQ199" s="8"/>
      <c r="AR199" s="8"/>
      <c r="AS199" s="8"/>
      <c r="AT199" s="8"/>
      <c r="AU199" s="8"/>
      <c r="AV199" s="8"/>
      <c r="AW199" s="8"/>
      <c r="AX199" s="8"/>
      <c r="AY199" s="8"/>
      <c r="AZ199" s="8"/>
      <c r="BA199" s="8"/>
      <c r="BB199" s="8"/>
    </row>
    <row r="200" ht="15.75" customHeight="1">
      <c r="A200" s="11"/>
      <c r="B200" s="8">
        <f t="shared" si="2"/>
        <v>0</v>
      </c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  <c r="AD200" s="8"/>
      <c r="AE200" s="8"/>
      <c r="AF200" s="8"/>
      <c r="AG200" s="8"/>
      <c r="AH200" s="8"/>
      <c r="AI200" s="8"/>
      <c r="AJ200" s="8"/>
      <c r="AK200" s="8"/>
      <c r="AL200" s="8"/>
      <c r="AM200" s="8"/>
      <c r="AN200" s="8"/>
      <c r="AO200" s="8"/>
      <c r="AP200" s="8"/>
      <c r="AQ200" s="8"/>
      <c r="AR200" s="8"/>
      <c r="AS200" s="8"/>
      <c r="AT200" s="8"/>
      <c r="AU200" s="8"/>
      <c r="AV200" s="8"/>
      <c r="AW200" s="8"/>
      <c r="AX200" s="8"/>
      <c r="AY200" s="8"/>
      <c r="AZ200" s="8"/>
      <c r="BA200" s="8"/>
      <c r="BB200" s="8"/>
    </row>
    <row r="201" ht="15.75" customHeight="1">
      <c r="A201" s="11"/>
      <c r="B201" s="8">
        <f t="shared" si="2"/>
        <v>0</v>
      </c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8"/>
      <c r="AC201" s="8"/>
      <c r="AD201" s="8"/>
      <c r="AE201" s="8"/>
      <c r="AF201" s="8"/>
      <c r="AG201" s="8"/>
      <c r="AH201" s="8"/>
      <c r="AI201" s="8"/>
      <c r="AJ201" s="8"/>
      <c r="AK201" s="8"/>
      <c r="AL201" s="8"/>
      <c r="AM201" s="8"/>
      <c r="AN201" s="8"/>
      <c r="AO201" s="8"/>
      <c r="AP201" s="8"/>
      <c r="AQ201" s="8"/>
      <c r="AR201" s="8"/>
      <c r="AS201" s="8"/>
      <c r="AT201" s="8"/>
      <c r="AU201" s="8"/>
      <c r="AV201" s="8"/>
      <c r="AW201" s="8"/>
      <c r="AX201" s="8"/>
      <c r="AY201" s="8"/>
      <c r="AZ201" s="8"/>
      <c r="BA201" s="8"/>
      <c r="BB201" s="8"/>
    </row>
    <row r="202" ht="15.75" customHeight="1">
      <c r="A202" s="11"/>
      <c r="B202" s="8">
        <f t="shared" si="2"/>
        <v>0</v>
      </c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  <c r="AB202" s="8"/>
      <c r="AC202" s="8"/>
      <c r="AD202" s="8"/>
      <c r="AE202" s="8"/>
      <c r="AF202" s="8"/>
      <c r="AG202" s="8"/>
      <c r="AH202" s="8"/>
      <c r="AI202" s="8"/>
      <c r="AJ202" s="8"/>
      <c r="AK202" s="8"/>
      <c r="AL202" s="8"/>
      <c r="AM202" s="8"/>
      <c r="AN202" s="8"/>
      <c r="AO202" s="8"/>
      <c r="AP202" s="8"/>
      <c r="AQ202" s="8"/>
      <c r="AR202" s="8"/>
      <c r="AS202" s="8"/>
      <c r="AT202" s="8"/>
      <c r="AU202" s="8"/>
      <c r="AV202" s="8"/>
      <c r="AW202" s="8"/>
      <c r="AX202" s="8"/>
      <c r="AY202" s="8"/>
      <c r="AZ202" s="8"/>
      <c r="BA202" s="8"/>
      <c r="BB202" s="8"/>
    </row>
    <row r="203" ht="15.75" customHeight="1">
      <c r="A203" s="11"/>
      <c r="B203" s="8">
        <f t="shared" si="2"/>
        <v>0</v>
      </c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  <c r="AC203" s="8"/>
      <c r="AD203" s="8"/>
      <c r="AE203" s="8"/>
      <c r="AF203" s="8"/>
      <c r="AG203" s="8"/>
      <c r="AH203" s="8"/>
      <c r="AI203" s="8"/>
      <c r="AJ203" s="8"/>
      <c r="AK203" s="8"/>
      <c r="AL203" s="8"/>
      <c r="AM203" s="8"/>
      <c r="AN203" s="8"/>
      <c r="AO203" s="8"/>
      <c r="AP203" s="8"/>
      <c r="AQ203" s="8"/>
      <c r="AR203" s="8"/>
      <c r="AS203" s="8"/>
      <c r="AT203" s="8"/>
      <c r="AU203" s="8"/>
      <c r="AV203" s="8"/>
      <c r="AW203" s="8"/>
      <c r="AX203" s="8"/>
      <c r="AY203" s="8"/>
      <c r="AZ203" s="8"/>
      <c r="BA203" s="8"/>
      <c r="BB203" s="8"/>
    </row>
    <row r="204" ht="15.75" customHeight="1">
      <c r="A204" s="11"/>
      <c r="B204" s="8">
        <f t="shared" si="2"/>
        <v>0</v>
      </c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  <c r="AC204" s="8"/>
      <c r="AD204" s="8"/>
      <c r="AE204" s="8"/>
      <c r="AF204" s="8"/>
      <c r="AG204" s="8"/>
      <c r="AH204" s="8"/>
      <c r="AI204" s="8"/>
      <c r="AJ204" s="8"/>
      <c r="AK204" s="8"/>
      <c r="AL204" s="8"/>
      <c r="AM204" s="8"/>
      <c r="AN204" s="8"/>
      <c r="AO204" s="8"/>
      <c r="AP204" s="8"/>
      <c r="AQ204" s="8"/>
      <c r="AR204" s="8"/>
      <c r="AS204" s="8"/>
      <c r="AT204" s="8"/>
      <c r="AU204" s="8"/>
      <c r="AV204" s="8"/>
      <c r="AW204" s="8"/>
      <c r="AX204" s="8"/>
      <c r="AY204" s="8"/>
      <c r="AZ204" s="8"/>
      <c r="BA204" s="8"/>
      <c r="BB204" s="8"/>
    </row>
    <row r="205" ht="15.75" customHeight="1">
      <c r="A205" s="11"/>
      <c r="B205" s="8">
        <f t="shared" si="2"/>
        <v>0</v>
      </c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  <c r="AC205" s="8"/>
      <c r="AD205" s="8"/>
      <c r="AE205" s="8"/>
      <c r="AF205" s="8"/>
      <c r="AG205" s="8"/>
      <c r="AH205" s="8"/>
      <c r="AI205" s="8"/>
      <c r="AJ205" s="8"/>
      <c r="AK205" s="8"/>
      <c r="AL205" s="8"/>
      <c r="AM205" s="8"/>
      <c r="AN205" s="8"/>
      <c r="AO205" s="8"/>
      <c r="AP205" s="8"/>
      <c r="AQ205" s="8"/>
      <c r="AR205" s="8"/>
      <c r="AS205" s="8"/>
      <c r="AT205" s="8"/>
      <c r="AU205" s="8"/>
      <c r="AV205" s="8"/>
      <c r="AW205" s="8"/>
      <c r="AX205" s="8"/>
      <c r="AY205" s="8"/>
      <c r="AZ205" s="8"/>
      <c r="BA205" s="8"/>
      <c r="BB205" s="8"/>
    </row>
    <row r="206" ht="15.75" customHeight="1">
      <c r="A206" s="11"/>
      <c r="B206" s="8">
        <f t="shared" si="2"/>
        <v>0</v>
      </c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  <c r="AC206" s="8"/>
      <c r="AD206" s="8"/>
      <c r="AE206" s="8"/>
      <c r="AF206" s="8"/>
      <c r="AG206" s="8"/>
      <c r="AH206" s="8"/>
      <c r="AI206" s="8"/>
      <c r="AJ206" s="8"/>
      <c r="AK206" s="8"/>
      <c r="AL206" s="8"/>
      <c r="AM206" s="8"/>
      <c r="AN206" s="8"/>
      <c r="AO206" s="8"/>
      <c r="AP206" s="8"/>
      <c r="AQ206" s="8"/>
      <c r="AR206" s="8"/>
      <c r="AS206" s="8"/>
      <c r="AT206" s="8"/>
      <c r="AU206" s="8"/>
      <c r="AV206" s="8"/>
      <c r="AW206" s="8"/>
      <c r="AX206" s="8"/>
      <c r="AY206" s="8"/>
      <c r="AZ206" s="8"/>
      <c r="BA206" s="8"/>
      <c r="BB206" s="8"/>
    </row>
    <row r="207" ht="15.75" customHeight="1">
      <c r="A207" s="11"/>
      <c r="B207" s="8">
        <f t="shared" si="2"/>
        <v>0</v>
      </c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  <c r="AC207" s="8"/>
      <c r="AD207" s="8"/>
      <c r="AE207" s="8"/>
      <c r="AF207" s="8"/>
      <c r="AG207" s="8"/>
      <c r="AH207" s="8"/>
      <c r="AI207" s="8"/>
      <c r="AJ207" s="8"/>
      <c r="AK207" s="8"/>
      <c r="AL207" s="8"/>
      <c r="AM207" s="8"/>
      <c r="AN207" s="8"/>
      <c r="AO207" s="8"/>
      <c r="AP207" s="8"/>
      <c r="AQ207" s="8"/>
      <c r="AR207" s="8"/>
      <c r="AS207" s="8"/>
      <c r="AT207" s="8"/>
      <c r="AU207" s="8"/>
      <c r="AV207" s="8"/>
      <c r="AW207" s="8"/>
      <c r="AX207" s="8"/>
      <c r="AY207" s="8"/>
      <c r="AZ207" s="8"/>
      <c r="BA207" s="8"/>
      <c r="BB207" s="8"/>
    </row>
    <row r="208" ht="15.75" customHeight="1">
      <c r="A208" s="11"/>
      <c r="B208" s="8">
        <f t="shared" si="2"/>
        <v>0</v>
      </c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  <c r="AC208" s="8"/>
      <c r="AD208" s="8"/>
      <c r="AE208" s="8"/>
      <c r="AF208" s="8"/>
      <c r="AG208" s="8"/>
      <c r="AH208" s="8"/>
      <c r="AI208" s="8"/>
      <c r="AJ208" s="8"/>
      <c r="AK208" s="8"/>
      <c r="AL208" s="8"/>
      <c r="AM208" s="8"/>
      <c r="AN208" s="8"/>
      <c r="AO208" s="8"/>
      <c r="AP208" s="8"/>
      <c r="AQ208" s="8"/>
      <c r="AR208" s="8"/>
      <c r="AS208" s="8"/>
      <c r="AT208" s="8"/>
      <c r="AU208" s="8"/>
      <c r="AV208" s="8"/>
      <c r="AW208" s="8"/>
      <c r="AX208" s="8"/>
      <c r="AY208" s="8"/>
      <c r="AZ208" s="8"/>
      <c r="BA208" s="8"/>
      <c r="BB208" s="8"/>
    </row>
    <row r="209" ht="15.75" customHeight="1">
      <c r="A209" s="11"/>
      <c r="B209" s="8">
        <f t="shared" si="2"/>
        <v>0</v>
      </c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  <c r="AC209" s="8"/>
      <c r="AD209" s="8"/>
      <c r="AE209" s="8"/>
      <c r="AF209" s="8"/>
      <c r="AG209" s="8"/>
      <c r="AH209" s="8"/>
      <c r="AI209" s="8"/>
      <c r="AJ209" s="8"/>
      <c r="AK209" s="8"/>
      <c r="AL209" s="8"/>
      <c r="AM209" s="8"/>
      <c r="AN209" s="8"/>
      <c r="AO209" s="8"/>
      <c r="AP209" s="8"/>
      <c r="AQ209" s="8"/>
      <c r="AR209" s="8"/>
      <c r="AS209" s="8"/>
      <c r="AT209" s="8"/>
      <c r="AU209" s="8"/>
      <c r="AV209" s="8"/>
      <c r="AW209" s="8"/>
      <c r="AX209" s="8"/>
      <c r="AY209" s="8"/>
      <c r="AZ209" s="8"/>
      <c r="BA209" s="8"/>
      <c r="BB209" s="8"/>
    </row>
    <row r="210" ht="15.75" customHeight="1">
      <c r="A210" s="11"/>
      <c r="B210" s="8">
        <f t="shared" si="2"/>
        <v>0</v>
      </c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  <c r="AC210" s="8"/>
      <c r="AD210" s="8"/>
      <c r="AE210" s="8"/>
      <c r="AF210" s="8"/>
      <c r="AG210" s="8"/>
      <c r="AH210" s="8"/>
      <c r="AI210" s="8"/>
      <c r="AJ210" s="8"/>
      <c r="AK210" s="8"/>
      <c r="AL210" s="8"/>
      <c r="AM210" s="8"/>
      <c r="AN210" s="8"/>
      <c r="AO210" s="8"/>
      <c r="AP210" s="8"/>
      <c r="AQ210" s="8"/>
      <c r="AR210" s="8"/>
      <c r="AS210" s="8"/>
      <c r="AT210" s="8"/>
      <c r="AU210" s="8"/>
      <c r="AV210" s="8"/>
      <c r="AW210" s="8"/>
      <c r="AX210" s="8"/>
      <c r="AY210" s="8"/>
      <c r="AZ210" s="8"/>
      <c r="BA210" s="8"/>
      <c r="BB210" s="8"/>
    </row>
    <row r="211" ht="15.75" customHeight="1">
      <c r="A211" s="11"/>
      <c r="B211" s="8">
        <f t="shared" si="2"/>
        <v>0</v>
      </c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  <c r="AC211" s="8"/>
      <c r="AD211" s="8"/>
      <c r="AE211" s="8"/>
      <c r="AF211" s="8"/>
      <c r="AG211" s="8"/>
      <c r="AH211" s="8"/>
      <c r="AI211" s="8"/>
      <c r="AJ211" s="8"/>
      <c r="AK211" s="8"/>
      <c r="AL211" s="8"/>
      <c r="AM211" s="8"/>
      <c r="AN211" s="8"/>
      <c r="AO211" s="8"/>
      <c r="AP211" s="8"/>
      <c r="AQ211" s="8"/>
      <c r="AR211" s="8"/>
      <c r="AS211" s="8"/>
      <c r="AT211" s="8"/>
      <c r="AU211" s="8"/>
      <c r="AV211" s="8"/>
      <c r="AW211" s="8"/>
      <c r="AX211" s="8"/>
      <c r="AY211" s="8"/>
      <c r="AZ211" s="8"/>
      <c r="BA211" s="8"/>
      <c r="BB211" s="8"/>
    </row>
    <row r="212" ht="15.75" customHeight="1">
      <c r="A212" s="11"/>
      <c r="B212" s="8">
        <f t="shared" si="2"/>
        <v>0</v>
      </c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  <c r="AB212" s="8"/>
      <c r="AC212" s="8"/>
      <c r="AD212" s="8"/>
      <c r="AE212" s="8"/>
      <c r="AF212" s="8"/>
      <c r="AG212" s="8"/>
      <c r="AH212" s="8"/>
      <c r="AI212" s="8"/>
      <c r="AJ212" s="8"/>
      <c r="AK212" s="8"/>
      <c r="AL212" s="8"/>
      <c r="AM212" s="8"/>
      <c r="AN212" s="8"/>
      <c r="AO212" s="8"/>
      <c r="AP212" s="8"/>
      <c r="AQ212" s="8"/>
      <c r="AR212" s="8"/>
      <c r="AS212" s="8"/>
      <c r="AT212" s="8"/>
      <c r="AU212" s="8"/>
      <c r="AV212" s="8"/>
      <c r="AW212" s="8"/>
      <c r="AX212" s="8"/>
      <c r="AY212" s="8"/>
      <c r="AZ212" s="8"/>
      <c r="BA212" s="8"/>
      <c r="BB212" s="8"/>
    </row>
    <row r="213" ht="15.75" customHeight="1">
      <c r="A213" s="11"/>
      <c r="B213" s="8">
        <f t="shared" si="2"/>
        <v>0</v>
      </c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  <c r="AB213" s="8"/>
      <c r="AC213" s="8"/>
      <c r="AD213" s="8"/>
      <c r="AE213" s="8"/>
      <c r="AF213" s="8"/>
      <c r="AG213" s="8"/>
      <c r="AH213" s="8"/>
      <c r="AI213" s="8"/>
      <c r="AJ213" s="8"/>
      <c r="AK213" s="8"/>
      <c r="AL213" s="8"/>
      <c r="AM213" s="8"/>
      <c r="AN213" s="8"/>
      <c r="AO213" s="8"/>
      <c r="AP213" s="8"/>
      <c r="AQ213" s="8"/>
      <c r="AR213" s="8"/>
      <c r="AS213" s="8"/>
      <c r="AT213" s="8"/>
      <c r="AU213" s="8"/>
      <c r="AV213" s="8"/>
      <c r="AW213" s="8"/>
      <c r="AX213" s="8"/>
      <c r="AY213" s="8"/>
      <c r="AZ213" s="8"/>
      <c r="BA213" s="8"/>
      <c r="BB213" s="8"/>
    </row>
    <row r="214" ht="15.75" customHeight="1">
      <c r="A214" s="11"/>
      <c r="B214" s="8">
        <f t="shared" si="2"/>
        <v>0</v>
      </c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  <c r="AB214" s="8"/>
      <c r="AC214" s="8"/>
      <c r="AD214" s="8"/>
      <c r="AE214" s="8"/>
      <c r="AF214" s="8"/>
      <c r="AG214" s="8"/>
      <c r="AH214" s="8"/>
      <c r="AI214" s="8"/>
      <c r="AJ214" s="8"/>
      <c r="AK214" s="8"/>
      <c r="AL214" s="8"/>
      <c r="AM214" s="8"/>
      <c r="AN214" s="8"/>
      <c r="AO214" s="8"/>
      <c r="AP214" s="8"/>
      <c r="AQ214" s="8"/>
      <c r="AR214" s="8"/>
      <c r="AS214" s="8"/>
      <c r="AT214" s="8"/>
      <c r="AU214" s="8"/>
      <c r="AV214" s="8"/>
      <c r="AW214" s="8"/>
      <c r="AX214" s="8"/>
      <c r="AY214" s="8"/>
      <c r="AZ214" s="8"/>
      <c r="BA214" s="8"/>
      <c r="BB214" s="8"/>
    </row>
    <row r="215" ht="15.75" customHeight="1">
      <c r="A215" s="11"/>
      <c r="B215" s="8">
        <f t="shared" si="2"/>
        <v>0</v>
      </c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  <c r="AC215" s="8"/>
      <c r="AD215" s="8"/>
      <c r="AE215" s="8"/>
      <c r="AF215" s="8"/>
      <c r="AG215" s="8"/>
      <c r="AH215" s="8"/>
      <c r="AI215" s="8"/>
      <c r="AJ215" s="8"/>
      <c r="AK215" s="8"/>
      <c r="AL215" s="8"/>
      <c r="AM215" s="8"/>
      <c r="AN215" s="8"/>
      <c r="AO215" s="8"/>
      <c r="AP215" s="8"/>
      <c r="AQ215" s="8"/>
      <c r="AR215" s="8"/>
      <c r="AS215" s="8"/>
      <c r="AT215" s="8"/>
      <c r="AU215" s="8"/>
      <c r="AV215" s="8"/>
      <c r="AW215" s="8"/>
      <c r="AX215" s="8"/>
      <c r="AY215" s="8"/>
      <c r="AZ215" s="8"/>
      <c r="BA215" s="8"/>
      <c r="BB215" s="8"/>
    </row>
    <row r="216" ht="15.75" customHeight="1">
      <c r="A216" s="11"/>
      <c r="B216" s="8">
        <f t="shared" si="2"/>
        <v>0</v>
      </c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  <c r="AC216" s="8"/>
      <c r="AD216" s="8"/>
      <c r="AE216" s="8"/>
      <c r="AF216" s="8"/>
      <c r="AG216" s="8"/>
      <c r="AH216" s="8"/>
      <c r="AI216" s="8"/>
      <c r="AJ216" s="8"/>
      <c r="AK216" s="8"/>
      <c r="AL216" s="8"/>
      <c r="AM216" s="8"/>
      <c r="AN216" s="8"/>
      <c r="AO216" s="8"/>
      <c r="AP216" s="8"/>
      <c r="AQ216" s="8"/>
      <c r="AR216" s="8"/>
      <c r="AS216" s="8"/>
      <c r="AT216" s="8"/>
      <c r="AU216" s="8"/>
      <c r="AV216" s="8"/>
      <c r="AW216" s="8"/>
      <c r="AX216" s="8"/>
      <c r="AY216" s="8"/>
      <c r="AZ216" s="8"/>
      <c r="BA216" s="8"/>
      <c r="BB216" s="8"/>
    </row>
    <row r="217" ht="15.75" customHeight="1">
      <c r="A217" s="11"/>
      <c r="B217" s="8">
        <f t="shared" si="2"/>
        <v>0</v>
      </c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  <c r="AC217" s="8"/>
      <c r="AD217" s="8"/>
      <c r="AE217" s="8"/>
      <c r="AF217" s="8"/>
      <c r="AG217" s="8"/>
      <c r="AH217" s="8"/>
      <c r="AI217" s="8"/>
      <c r="AJ217" s="8"/>
      <c r="AK217" s="8"/>
      <c r="AL217" s="8"/>
      <c r="AM217" s="8"/>
      <c r="AN217" s="8"/>
      <c r="AO217" s="8"/>
      <c r="AP217" s="8"/>
      <c r="AQ217" s="8"/>
      <c r="AR217" s="8"/>
      <c r="AS217" s="8"/>
      <c r="AT217" s="8"/>
      <c r="AU217" s="8"/>
      <c r="AV217" s="8"/>
      <c r="AW217" s="8"/>
      <c r="AX217" s="8"/>
      <c r="AY217" s="8"/>
      <c r="AZ217" s="8"/>
      <c r="BA217" s="8"/>
      <c r="BB217" s="8"/>
    </row>
    <row r="218" ht="15.75" customHeight="1">
      <c r="A218" s="11"/>
      <c r="B218" s="8">
        <f t="shared" si="2"/>
        <v>0</v>
      </c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  <c r="AE218" s="8"/>
      <c r="AF218" s="8"/>
      <c r="AG218" s="8"/>
      <c r="AH218" s="8"/>
      <c r="AI218" s="8"/>
      <c r="AJ218" s="8"/>
      <c r="AK218" s="8"/>
      <c r="AL218" s="8"/>
      <c r="AM218" s="8"/>
      <c r="AN218" s="8"/>
      <c r="AO218" s="8"/>
      <c r="AP218" s="8"/>
      <c r="AQ218" s="8"/>
      <c r="AR218" s="8"/>
      <c r="AS218" s="8"/>
      <c r="AT218" s="8"/>
      <c r="AU218" s="8"/>
      <c r="AV218" s="8"/>
      <c r="AW218" s="8"/>
      <c r="AX218" s="8"/>
      <c r="AY218" s="8"/>
      <c r="AZ218" s="8"/>
      <c r="BA218" s="8"/>
      <c r="BB218" s="8"/>
    </row>
    <row r="219" ht="15.75" customHeight="1">
      <c r="A219" s="11"/>
      <c r="B219" s="8">
        <f t="shared" si="2"/>
        <v>0</v>
      </c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  <c r="AE219" s="8"/>
      <c r="AF219" s="8"/>
      <c r="AG219" s="8"/>
      <c r="AH219" s="8"/>
      <c r="AI219" s="8"/>
      <c r="AJ219" s="8"/>
      <c r="AK219" s="8"/>
      <c r="AL219" s="8"/>
      <c r="AM219" s="8"/>
      <c r="AN219" s="8"/>
      <c r="AO219" s="8"/>
      <c r="AP219" s="8"/>
      <c r="AQ219" s="8"/>
      <c r="AR219" s="8"/>
      <c r="AS219" s="8"/>
      <c r="AT219" s="8"/>
      <c r="AU219" s="8"/>
      <c r="AV219" s="8"/>
      <c r="AW219" s="8"/>
      <c r="AX219" s="8"/>
      <c r="AY219" s="8"/>
      <c r="AZ219" s="8"/>
      <c r="BA219" s="8"/>
      <c r="BB219" s="8"/>
    </row>
    <row r="220" ht="15.75" customHeight="1">
      <c r="A220" s="11"/>
      <c r="B220" s="8">
        <f t="shared" si="2"/>
        <v>0</v>
      </c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  <c r="AE220" s="8"/>
      <c r="AF220" s="8"/>
      <c r="AG220" s="8"/>
      <c r="AH220" s="8"/>
      <c r="AI220" s="8"/>
      <c r="AJ220" s="8"/>
      <c r="AK220" s="8"/>
      <c r="AL220" s="8"/>
      <c r="AM220" s="8"/>
      <c r="AN220" s="8"/>
      <c r="AO220" s="8"/>
      <c r="AP220" s="8"/>
      <c r="AQ220" s="8"/>
      <c r="AR220" s="8"/>
      <c r="AS220" s="8"/>
      <c r="AT220" s="8"/>
      <c r="AU220" s="8"/>
      <c r="AV220" s="8"/>
      <c r="AW220" s="8"/>
      <c r="AX220" s="8"/>
      <c r="AY220" s="8"/>
      <c r="AZ220" s="8"/>
      <c r="BA220" s="8"/>
      <c r="BB220" s="8"/>
    </row>
    <row r="221" ht="15.75" customHeight="1">
      <c r="A221" s="11"/>
      <c r="B221" s="8">
        <f t="shared" si="2"/>
        <v>0</v>
      </c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  <c r="AE221" s="8"/>
      <c r="AF221" s="8"/>
      <c r="AG221" s="8"/>
      <c r="AH221" s="8"/>
      <c r="AI221" s="8"/>
      <c r="AJ221" s="8"/>
      <c r="AK221" s="8"/>
      <c r="AL221" s="8"/>
      <c r="AM221" s="8"/>
      <c r="AN221" s="8"/>
      <c r="AO221" s="8"/>
      <c r="AP221" s="8"/>
      <c r="AQ221" s="8"/>
      <c r="AR221" s="8"/>
      <c r="AS221" s="8"/>
      <c r="AT221" s="8"/>
      <c r="AU221" s="8"/>
      <c r="AV221" s="8"/>
      <c r="AW221" s="8"/>
      <c r="AX221" s="8"/>
      <c r="AY221" s="8"/>
      <c r="AZ221" s="8"/>
      <c r="BA221" s="8"/>
      <c r="BB221" s="8"/>
    </row>
    <row r="222" ht="15.75" customHeight="1">
      <c r="A222" s="11"/>
      <c r="B222" s="8">
        <f t="shared" si="2"/>
        <v>0</v>
      </c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  <c r="AE222" s="8"/>
      <c r="AF222" s="8"/>
      <c r="AG222" s="8"/>
      <c r="AH222" s="8"/>
      <c r="AI222" s="8"/>
      <c r="AJ222" s="8"/>
      <c r="AK222" s="8"/>
      <c r="AL222" s="8"/>
      <c r="AM222" s="8"/>
      <c r="AN222" s="8"/>
      <c r="AO222" s="8"/>
      <c r="AP222" s="8"/>
      <c r="AQ222" s="8"/>
      <c r="AR222" s="8"/>
      <c r="AS222" s="8"/>
      <c r="AT222" s="8"/>
      <c r="AU222" s="8"/>
      <c r="AV222" s="8"/>
      <c r="AW222" s="8"/>
      <c r="AX222" s="8"/>
      <c r="AY222" s="8"/>
      <c r="AZ222" s="8"/>
      <c r="BA222" s="8"/>
      <c r="BB222" s="8"/>
    </row>
    <row r="223" ht="15.75" customHeight="1">
      <c r="A223" s="11"/>
      <c r="B223" s="8">
        <f t="shared" si="2"/>
        <v>0</v>
      </c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  <c r="AE223" s="8"/>
      <c r="AF223" s="8"/>
      <c r="AG223" s="8"/>
      <c r="AH223" s="8"/>
      <c r="AI223" s="8"/>
      <c r="AJ223" s="8"/>
      <c r="AK223" s="8"/>
      <c r="AL223" s="8"/>
      <c r="AM223" s="8"/>
      <c r="AN223" s="8"/>
      <c r="AO223" s="8"/>
      <c r="AP223" s="8"/>
      <c r="AQ223" s="8"/>
      <c r="AR223" s="8"/>
      <c r="AS223" s="8"/>
      <c r="AT223" s="8"/>
      <c r="AU223" s="8"/>
      <c r="AV223" s="8"/>
      <c r="AW223" s="8"/>
      <c r="AX223" s="8"/>
      <c r="AY223" s="8"/>
      <c r="AZ223" s="8"/>
      <c r="BA223" s="8"/>
      <c r="BB223" s="8"/>
    </row>
    <row r="224" ht="15.75" customHeight="1">
      <c r="A224" s="11"/>
      <c r="B224" s="8">
        <f t="shared" si="2"/>
        <v>0</v>
      </c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  <c r="AE224" s="8"/>
      <c r="AF224" s="8"/>
      <c r="AG224" s="8"/>
      <c r="AH224" s="8"/>
      <c r="AI224" s="8"/>
      <c r="AJ224" s="8"/>
      <c r="AK224" s="8"/>
      <c r="AL224" s="8"/>
      <c r="AM224" s="8"/>
      <c r="AN224" s="8"/>
      <c r="AO224" s="8"/>
      <c r="AP224" s="8"/>
      <c r="AQ224" s="8"/>
      <c r="AR224" s="8"/>
      <c r="AS224" s="8"/>
      <c r="AT224" s="8"/>
      <c r="AU224" s="8"/>
      <c r="AV224" s="8"/>
      <c r="AW224" s="8"/>
      <c r="AX224" s="8"/>
      <c r="AY224" s="8"/>
      <c r="AZ224" s="8"/>
      <c r="BA224" s="8"/>
      <c r="BB224" s="8"/>
    </row>
    <row r="225" ht="15.75" customHeight="1">
      <c r="A225" s="11"/>
      <c r="B225" s="8">
        <f t="shared" si="2"/>
        <v>0</v>
      </c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  <c r="AE225" s="8"/>
      <c r="AF225" s="8"/>
      <c r="AG225" s="8"/>
      <c r="AH225" s="8"/>
      <c r="AI225" s="8"/>
      <c r="AJ225" s="8"/>
      <c r="AK225" s="8"/>
      <c r="AL225" s="8"/>
      <c r="AM225" s="8"/>
      <c r="AN225" s="8"/>
      <c r="AO225" s="8"/>
      <c r="AP225" s="8"/>
      <c r="AQ225" s="8"/>
      <c r="AR225" s="8"/>
      <c r="AS225" s="8"/>
      <c r="AT225" s="8"/>
      <c r="AU225" s="8"/>
      <c r="AV225" s="8"/>
      <c r="AW225" s="8"/>
      <c r="AX225" s="8"/>
      <c r="AY225" s="8"/>
      <c r="AZ225" s="8"/>
      <c r="BA225" s="8"/>
      <c r="BB225" s="8"/>
    </row>
    <row r="226" ht="15.75" customHeight="1">
      <c r="A226" s="11"/>
      <c r="B226" s="8">
        <f t="shared" si="2"/>
        <v>0</v>
      </c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  <c r="AE226" s="8"/>
      <c r="AF226" s="8"/>
      <c r="AG226" s="8"/>
      <c r="AH226" s="8"/>
      <c r="AI226" s="8"/>
      <c r="AJ226" s="8"/>
      <c r="AK226" s="8"/>
      <c r="AL226" s="8"/>
      <c r="AM226" s="8"/>
      <c r="AN226" s="8"/>
      <c r="AO226" s="8"/>
      <c r="AP226" s="8"/>
      <c r="AQ226" s="8"/>
      <c r="AR226" s="8"/>
      <c r="AS226" s="8"/>
      <c r="AT226" s="8"/>
      <c r="AU226" s="8"/>
      <c r="AV226" s="8"/>
      <c r="AW226" s="8"/>
      <c r="AX226" s="8"/>
      <c r="AY226" s="8"/>
      <c r="AZ226" s="8"/>
      <c r="BA226" s="8"/>
      <c r="BB226" s="8"/>
    </row>
    <row r="227" ht="15.75" customHeight="1">
      <c r="A227" s="11"/>
      <c r="B227" s="8">
        <f t="shared" si="2"/>
        <v>0</v>
      </c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  <c r="AE227" s="8"/>
      <c r="AF227" s="8"/>
      <c r="AG227" s="8"/>
      <c r="AH227" s="8"/>
      <c r="AI227" s="8"/>
      <c r="AJ227" s="8"/>
      <c r="AK227" s="8"/>
      <c r="AL227" s="8"/>
      <c r="AM227" s="8"/>
      <c r="AN227" s="8"/>
      <c r="AO227" s="8"/>
      <c r="AP227" s="8"/>
      <c r="AQ227" s="8"/>
      <c r="AR227" s="8"/>
      <c r="AS227" s="8"/>
      <c r="AT227" s="8"/>
      <c r="AU227" s="8"/>
      <c r="AV227" s="8"/>
      <c r="AW227" s="8"/>
      <c r="AX227" s="8"/>
      <c r="AY227" s="8"/>
      <c r="AZ227" s="8"/>
      <c r="BA227" s="8"/>
      <c r="BB227" s="8"/>
    </row>
    <row r="228" ht="15.75" customHeight="1">
      <c r="A228" s="11"/>
      <c r="B228" s="8">
        <f t="shared" si="2"/>
        <v>0</v>
      </c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  <c r="AE228" s="8"/>
      <c r="AF228" s="8"/>
      <c r="AG228" s="8"/>
      <c r="AH228" s="8"/>
      <c r="AI228" s="8"/>
      <c r="AJ228" s="8"/>
      <c r="AK228" s="8"/>
      <c r="AL228" s="8"/>
      <c r="AM228" s="8"/>
      <c r="AN228" s="8"/>
      <c r="AO228" s="8"/>
      <c r="AP228" s="8"/>
      <c r="AQ228" s="8"/>
      <c r="AR228" s="8"/>
      <c r="AS228" s="8"/>
      <c r="AT228" s="8"/>
      <c r="AU228" s="8"/>
      <c r="AV228" s="8"/>
      <c r="AW228" s="8"/>
      <c r="AX228" s="8"/>
      <c r="AY228" s="8"/>
      <c r="AZ228" s="8"/>
      <c r="BA228" s="8"/>
      <c r="BB228" s="8"/>
    </row>
    <row r="229" ht="15.75" customHeight="1">
      <c r="A229" s="11"/>
      <c r="B229" s="8">
        <f t="shared" si="2"/>
        <v>0</v>
      </c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  <c r="AE229" s="8"/>
      <c r="AF229" s="8"/>
      <c r="AG229" s="8"/>
      <c r="AH229" s="8"/>
      <c r="AI229" s="8"/>
      <c r="AJ229" s="8"/>
      <c r="AK229" s="8"/>
      <c r="AL229" s="8"/>
      <c r="AM229" s="8"/>
      <c r="AN229" s="8"/>
      <c r="AO229" s="8"/>
      <c r="AP229" s="8"/>
      <c r="AQ229" s="8"/>
      <c r="AR229" s="8"/>
      <c r="AS229" s="8"/>
      <c r="AT229" s="8"/>
      <c r="AU229" s="8"/>
      <c r="AV229" s="8"/>
      <c r="AW229" s="8"/>
      <c r="AX229" s="8"/>
      <c r="AY229" s="8"/>
      <c r="AZ229" s="8"/>
      <c r="BA229" s="8"/>
      <c r="BB229" s="8"/>
    </row>
    <row r="230" ht="15.75" customHeight="1">
      <c r="A230" s="11"/>
      <c r="B230" s="8">
        <f t="shared" si="2"/>
        <v>0</v>
      </c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  <c r="AE230" s="8"/>
      <c r="AF230" s="8"/>
      <c r="AG230" s="8"/>
      <c r="AH230" s="8"/>
      <c r="AI230" s="8"/>
      <c r="AJ230" s="8"/>
      <c r="AK230" s="8"/>
      <c r="AL230" s="8"/>
      <c r="AM230" s="8"/>
      <c r="AN230" s="8"/>
      <c r="AO230" s="8"/>
      <c r="AP230" s="8"/>
      <c r="AQ230" s="8"/>
      <c r="AR230" s="8"/>
      <c r="AS230" s="8"/>
      <c r="AT230" s="8"/>
      <c r="AU230" s="8"/>
      <c r="AV230" s="8"/>
      <c r="AW230" s="8"/>
      <c r="AX230" s="8"/>
      <c r="AY230" s="8"/>
      <c r="AZ230" s="8"/>
      <c r="BA230" s="8"/>
      <c r="BB230" s="8"/>
    </row>
    <row r="231" ht="15.75" customHeight="1">
      <c r="A231" s="11"/>
      <c r="B231" s="8">
        <f t="shared" si="2"/>
        <v>0</v>
      </c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  <c r="AE231" s="8"/>
      <c r="AF231" s="8"/>
      <c r="AG231" s="8"/>
      <c r="AH231" s="8"/>
      <c r="AI231" s="8"/>
      <c r="AJ231" s="8"/>
      <c r="AK231" s="8"/>
      <c r="AL231" s="8"/>
      <c r="AM231" s="8"/>
      <c r="AN231" s="8"/>
      <c r="AO231" s="8"/>
      <c r="AP231" s="8"/>
      <c r="AQ231" s="8"/>
      <c r="AR231" s="8"/>
      <c r="AS231" s="8"/>
      <c r="AT231" s="8"/>
      <c r="AU231" s="8"/>
      <c r="AV231" s="8"/>
      <c r="AW231" s="8"/>
      <c r="AX231" s="8"/>
      <c r="AY231" s="8"/>
      <c r="AZ231" s="8"/>
      <c r="BA231" s="8"/>
      <c r="BB231" s="8"/>
    </row>
    <row r="232" ht="15.75" customHeight="1">
      <c r="A232" s="11"/>
      <c r="B232" s="8">
        <f t="shared" si="2"/>
        <v>0</v>
      </c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  <c r="AE232" s="8"/>
      <c r="AF232" s="8"/>
      <c r="AG232" s="8"/>
      <c r="AH232" s="8"/>
      <c r="AI232" s="8"/>
      <c r="AJ232" s="8"/>
      <c r="AK232" s="8"/>
      <c r="AL232" s="8"/>
      <c r="AM232" s="8"/>
      <c r="AN232" s="8"/>
      <c r="AO232" s="8"/>
      <c r="AP232" s="8"/>
      <c r="AQ232" s="8"/>
      <c r="AR232" s="8"/>
      <c r="AS232" s="8"/>
      <c r="AT232" s="8"/>
      <c r="AU232" s="8"/>
      <c r="AV232" s="8"/>
      <c r="AW232" s="8"/>
      <c r="AX232" s="8"/>
      <c r="AY232" s="8"/>
      <c r="AZ232" s="8"/>
      <c r="BA232" s="8"/>
      <c r="BB232" s="8"/>
    </row>
    <row r="233" ht="15.75" customHeight="1">
      <c r="A233" s="11"/>
      <c r="B233" s="8">
        <f t="shared" si="2"/>
        <v>0</v>
      </c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  <c r="AE233" s="8"/>
      <c r="AF233" s="8"/>
      <c r="AG233" s="8"/>
      <c r="AH233" s="8"/>
      <c r="AI233" s="8"/>
      <c r="AJ233" s="8"/>
      <c r="AK233" s="8"/>
      <c r="AL233" s="8"/>
      <c r="AM233" s="8"/>
      <c r="AN233" s="8"/>
      <c r="AO233" s="8"/>
      <c r="AP233" s="8"/>
      <c r="AQ233" s="8"/>
      <c r="AR233" s="8"/>
      <c r="AS233" s="8"/>
      <c r="AT233" s="8"/>
      <c r="AU233" s="8"/>
      <c r="AV233" s="8"/>
      <c r="AW233" s="8"/>
      <c r="AX233" s="8"/>
      <c r="AY233" s="8"/>
      <c r="AZ233" s="8"/>
      <c r="BA233" s="8"/>
      <c r="BB233" s="8"/>
    </row>
    <row r="234" ht="15.75" customHeight="1">
      <c r="A234" s="11"/>
      <c r="B234" s="8">
        <f t="shared" si="2"/>
        <v>0</v>
      </c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  <c r="AE234" s="8"/>
      <c r="AF234" s="8"/>
      <c r="AG234" s="8"/>
      <c r="AH234" s="8"/>
      <c r="AI234" s="8"/>
      <c r="AJ234" s="8"/>
      <c r="AK234" s="8"/>
      <c r="AL234" s="8"/>
      <c r="AM234" s="8"/>
      <c r="AN234" s="8"/>
      <c r="AO234" s="8"/>
      <c r="AP234" s="8"/>
      <c r="AQ234" s="8"/>
      <c r="AR234" s="8"/>
      <c r="AS234" s="8"/>
      <c r="AT234" s="8"/>
      <c r="AU234" s="8"/>
      <c r="AV234" s="8"/>
      <c r="AW234" s="8"/>
      <c r="AX234" s="8"/>
      <c r="AY234" s="8"/>
      <c r="AZ234" s="8"/>
      <c r="BA234" s="8"/>
      <c r="BB234" s="8"/>
    </row>
    <row r="235" ht="15.75" customHeight="1">
      <c r="A235" s="11"/>
      <c r="B235" s="8">
        <f t="shared" si="2"/>
        <v>0</v>
      </c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  <c r="AE235" s="8"/>
      <c r="AF235" s="8"/>
      <c r="AG235" s="8"/>
      <c r="AH235" s="8"/>
      <c r="AI235" s="8"/>
      <c r="AJ235" s="8"/>
      <c r="AK235" s="8"/>
      <c r="AL235" s="8"/>
      <c r="AM235" s="8"/>
      <c r="AN235" s="8"/>
      <c r="AO235" s="8"/>
      <c r="AP235" s="8"/>
      <c r="AQ235" s="8"/>
      <c r="AR235" s="8"/>
      <c r="AS235" s="8"/>
      <c r="AT235" s="8"/>
      <c r="AU235" s="8"/>
      <c r="AV235" s="8"/>
      <c r="AW235" s="8"/>
      <c r="AX235" s="8"/>
      <c r="AY235" s="8"/>
      <c r="AZ235" s="8"/>
      <c r="BA235" s="8"/>
      <c r="BB235" s="8"/>
    </row>
    <row r="236" ht="15.75" customHeight="1">
      <c r="A236" s="11"/>
      <c r="B236" s="8">
        <f t="shared" si="2"/>
        <v>0</v>
      </c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  <c r="AE236" s="8"/>
      <c r="AF236" s="8"/>
      <c r="AG236" s="8"/>
      <c r="AH236" s="8"/>
      <c r="AI236" s="8"/>
      <c r="AJ236" s="8"/>
      <c r="AK236" s="8"/>
      <c r="AL236" s="8"/>
      <c r="AM236" s="8"/>
      <c r="AN236" s="8"/>
      <c r="AO236" s="8"/>
      <c r="AP236" s="8"/>
      <c r="AQ236" s="8"/>
      <c r="AR236" s="8"/>
      <c r="AS236" s="8"/>
      <c r="AT236" s="8"/>
      <c r="AU236" s="8"/>
      <c r="AV236" s="8"/>
      <c r="AW236" s="8"/>
      <c r="AX236" s="8"/>
      <c r="AY236" s="8"/>
      <c r="AZ236" s="8"/>
      <c r="BA236" s="8"/>
      <c r="BB236" s="8"/>
    </row>
    <row r="237" ht="15.75" customHeight="1">
      <c r="A237" s="11"/>
      <c r="B237" s="8">
        <f t="shared" si="2"/>
        <v>0</v>
      </c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  <c r="AE237" s="8"/>
      <c r="AF237" s="8"/>
      <c r="AG237" s="8"/>
      <c r="AH237" s="8"/>
      <c r="AI237" s="8"/>
      <c r="AJ237" s="8"/>
      <c r="AK237" s="8"/>
      <c r="AL237" s="8"/>
      <c r="AM237" s="8"/>
      <c r="AN237" s="8"/>
      <c r="AO237" s="8"/>
      <c r="AP237" s="8"/>
      <c r="AQ237" s="8"/>
      <c r="AR237" s="8"/>
      <c r="AS237" s="8"/>
      <c r="AT237" s="8"/>
      <c r="AU237" s="8"/>
      <c r="AV237" s="8"/>
      <c r="AW237" s="8"/>
      <c r="AX237" s="8"/>
      <c r="AY237" s="8"/>
      <c r="AZ237" s="8"/>
      <c r="BA237" s="8"/>
      <c r="BB237" s="8"/>
    </row>
    <row r="238" ht="15.75" customHeight="1">
      <c r="A238" s="11"/>
      <c r="B238" s="8">
        <f t="shared" si="2"/>
        <v>0</v>
      </c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  <c r="AE238" s="8"/>
      <c r="AF238" s="8"/>
      <c r="AG238" s="8"/>
      <c r="AH238" s="8"/>
      <c r="AI238" s="8"/>
      <c r="AJ238" s="8"/>
      <c r="AK238" s="8"/>
      <c r="AL238" s="8"/>
      <c r="AM238" s="8"/>
      <c r="AN238" s="8"/>
      <c r="AO238" s="8"/>
      <c r="AP238" s="8"/>
      <c r="AQ238" s="8"/>
      <c r="AR238" s="8"/>
      <c r="AS238" s="8"/>
      <c r="AT238" s="8"/>
      <c r="AU238" s="8"/>
      <c r="AV238" s="8"/>
      <c r="AW238" s="8"/>
      <c r="AX238" s="8"/>
      <c r="AY238" s="8"/>
      <c r="AZ238" s="8"/>
      <c r="BA238" s="8"/>
      <c r="BB238" s="8"/>
    </row>
    <row r="239" ht="15.75" customHeight="1">
      <c r="A239" s="11"/>
      <c r="B239" s="8">
        <f t="shared" si="2"/>
        <v>0</v>
      </c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  <c r="AE239" s="8"/>
      <c r="AF239" s="8"/>
      <c r="AG239" s="8"/>
      <c r="AH239" s="8"/>
      <c r="AI239" s="8"/>
      <c r="AJ239" s="8"/>
      <c r="AK239" s="8"/>
      <c r="AL239" s="8"/>
      <c r="AM239" s="8"/>
      <c r="AN239" s="8"/>
      <c r="AO239" s="8"/>
      <c r="AP239" s="8"/>
      <c r="AQ239" s="8"/>
      <c r="AR239" s="8"/>
      <c r="AS239" s="8"/>
      <c r="AT239" s="8"/>
      <c r="AU239" s="8"/>
      <c r="AV239" s="8"/>
      <c r="AW239" s="8"/>
      <c r="AX239" s="8"/>
      <c r="AY239" s="8"/>
      <c r="AZ239" s="8"/>
      <c r="BA239" s="8"/>
      <c r="BB239" s="8"/>
    </row>
    <row r="240" ht="15.75" customHeight="1">
      <c r="A240" s="11"/>
      <c r="B240" s="8">
        <f t="shared" si="2"/>
        <v>0</v>
      </c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  <c r="AE240" s="8"/>
      <c r="AF240" s="8"/>
      <c r="AG240" s="8"/>
      <c r="AH240" s="8"/>
      <c r="AI240" s="8"/>
      <c r="AJ240" s="8"/>
      <c r="AK240" s="8"/>
      <c r="AL240" s="8"/>
      <c r="AM240" s="8"/>
      <c r="AN240" s="8"/>
      <c r="AO240" s="8"/>
      <c r="AP240" s="8"/>
      <c r="AQ240" s="8"/>
      <c r="AR240" s="8"/>
      <c r="AS240" s="8"/>
      <c r="AT240" s="8"/>
      <c r="AU240" s="8"/>
      <c r="AV240" s="8"/>
      <c r="AW240" s="8"/>
      <c r="AX240" s="8"/>
      <c r="AY240" s="8"/>
      <c r="AZ240" s="8"/>
      <c r="BA240" s="8"/>
      <c r="BB240" s="8"/>
    </row>
    <row r="241" ht="15.75" customHeight="1">
      <c r="A241" s="11"/>
      <c r="B241" s="8">
        <f t="shared" si="2"/>
        <v>0</v>
      </c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  <c r="AE241" s="8"/>
      <c r="AF241" s="8"/>
      <c r="AG241" s="8"/>
      <c r="AH241" s="8"/>
      <c r="AI241" s="8"/>
      <c r="AJ241" s="8"/>
      <c r="AK241" s="8"/>
      <c r="AL241" s="8"/>
      <c r="AM241" s="8"/>
      <c r="AN241" s="8"/>
      <c r="AO241" s="8"/>
      <c r="AP241" s="8"/>
      <c r="AQ241" s="8"/>
      <c r="AR241" s="8"/>
      <c r="AS241" s="8"/>
      <c r="AT241" s="8"/>
      <c r="AU241" s="8"/>
      <c r="AV241" s="8"/>
      <c r="AW241" s="8"/>
      <c r="AX241" s="8"/>
      <c r="AY241" s="8"/>
      <c r="AZ241" s="8"/>
      <c r="BA241" s="8"/>
      <c r="BB241" s="8"/>
    </row>
    <row r="242" ht="15.75" customHeight="1">
      <c r="A242" s="11"/>
      <c r="B242" s="8">
        <f t="shared" si="2"/>
        <v>0</v>
      </c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  <c r="AE242" s="8"/>
      <c r="AF242" s="8"/>
      <c r="AG242" s="8"/>
      <c r="AH242" s="8"/>
      <c r="AI242" s="8"/>
      <c r="AJ242" s="8"/>
      <c r="AK242" s="8"/>
      <c r="AL242" s="8"/>
      <c r="AM242" s="8"/>
      <c r="AN242" s="8"/>
      <c r="AO242" s="8"/>
      <c r="AP242" s="8"/>
      <c r="AQ242" s="8"/>
      <c r="AR242" s="8"/>
      <c r="AS242" s="8"/>
      <c r="AT242" s="8"/>
      <c r="AU242" s="8"/>
      <c r="AV242" s="8"/>
      <c r="AW242" s="8"/>
      <c r="AX242" s="8"/>
      <c r="AY242" s="8"/>
      <c r="AZ242" s="8"/>
      <c r="BA242" s="8"/>
      <c r="BB242" s="8"/>
    </row>
    <row r="243" ht="15.75" customHeight="1">
      <c r="A243" s="11"/>
      <c r="B243" s="8">
        <f t="shared" si="2"/>
        <v>0</v>
      </c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  <c r="AE243" s="8"/>
      <c r="AF243" s="8"/>
      <c r="AG243" s="8"/>
      <c r="AH243" s="8"/>
      <c r="AI243" s="8"/>
      <c r="AJ243" s="8"/>
      <c r="AK243" s="8"/>
      <c r="AL243" s="8"/>
      <c r="AM243" s="8"/>
      <c r="AN243" s="8"/>
      <c r="AO243" s="8"/>
      <c r="AP243" s="8"/>
      <c r="AQ243" s="8"/>
      <c r="AR243" s="8"/>
      <c r="AS243" s="8"/>
      <c r="AT243" s="8"/>
      <c r="AU243" s="8"/>
      <c r="AV243" s="8"/>
      <c r="AW243" s="8"/>
      <c r="AX243" s="8"/>
      <c r="AY243" s="8"/>
      <c r="AZ243" s="8"/>
      <c r="BA243" s="8"/>
      <c r="BB243" s="8"/>
    </row>
    <row r="244" ht="15.75" customHeight="1">
      <c r="A244" s="11"/>
      <c r="B244" s="8">
        <f t="shared" si="2"/>
        <v>0</v>
      </c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  <c r="AE244" s="8"/>
      <c r="AF244" s="8"/>
      <c r="AG244" s="8"/>
      <c r="AH244" s="8"/>
      <c r="AI244" s="8"/>
      <c r="AJ244" s="8"/>
      <c r="AK244" s="8"/>
      <c r="AL244" s="8"/>
      <c r="AM244" s="8"/>
      <c r="AN244" s="8"/>
      <c r="AO244" s="8"/>
      <c r="AP244" s="8"/>
      <c r="AQ244" s="8"/>
      <c r="AR244" s="8"/>
      <c r="AS244" s="8"/>
      <c r="AT244" s="8"/>
      <c r="AU244" s="8"/>
      <c r="AV244" s="8"/>
      <c r="AW244" s="8"/>
      <c r="AX244" s="8"/>
      <c r="AY244" s="8"/>
      <c r="AZ244" s="8"/>
      <c r="BA244" s="8"/>
      <c r="BB244" s="8"/>
    </row>
    <row r="245" ht="15.75" customHeight="1">
      <c r="A245" s="11"/>
      <c r="B245" s="8">
        <f t="shared" si="2"/>
        <v>0</v>
      </c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  <c r="AE245" s="8"/>
      <c r="AF245" s="8"/>
      <c r="AG245" s="8"/>
      <c r="AH245" s="8"/>
      <c r="AI245" s="8"/>
      <c r="AJ245" s="8"/>
      <c r="AK245" s="8"/>
      <c r="AL245" s="8"/>
      <c r="AM245" s="8"/>
      <c r="AN245" s="8"/>
      <c r="AO245" s="8"/>
      <c r="AP245" s="8"/>
      <c r="AQ245" s="8"/>
      <c r="AR245" s="8"/>
      <c r="AS245" s="8"/>
      <c r="AT245" s="8"/>
      <c r="AU245" s="8"/>
      <c r="AV245" s="8"/>
      <c r="AW245" s="8"/>
      <c r="AX245" s="8"/>
      <c r="AY245" s="8"/>
      <c r="AZ245" s="8"/>
      <c r="BA245" s="8"/>
      <c r="BB245" s="8"/>
    </row>
    <row r="246" ht="15.75" customHeight="1">
      <c r="A246" s="11"/>
      <c r="B246" s="8">
        <f t="shared" si="2"/>
        <v>0</v>
      </c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  <c r="AE246" s="8"/>
      <c r="AF246" s="8"/>
      <c r="AG246" s="8"/>
      <c r="AH246" s="8"/>
      <c r="AI246" s="8"/>
      <c r="AJ246" s="8"/>
      <c r="AK246" s="8"/>
      <c r="AL246" s="8"/>
      <c r="AM246" s="8"/>
      <c r="AN246" s="8"/>
      <c r="AO246" s="8"/>
      <c r="AP246" s="8"/>
      <c r="AQ246" s="8"/>
      <c r="AR246" s="8"/>
      <c r="AS246" s="8"/>
      <c r="AT246" s="8"/>
      <c r="AU246" s="8"/>
      <c r="AV246" s="8"/>
      <c r="AW246" s="8"/>
      <c r="AX246" s="8"/>
      <c r="AY246" s="8"/>
      <c r="AZ246" s="8"/>
      <c r="BA246" s="8"/>
      <c r="BB246" s="8"/>
    </row>
    <row r="247" ht="15.75" customHeight="1">
      <c r="A247" s="11"/>
      <c r="B247" s="8">
        <f t="shared" si="2"/>
        <v>0</v>
      </c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  <c r="AE247" s="8"/>
      <c r="AF247" s="8"/>
      <c r="AG247" s="8"/>
      <c r="AH247" s="8"/>
      <c r="AI247" s="8"/>
      <c r="AJ247" s="8"/>
      <c r="AK247" s="8"/>
      <c r="AL247" s="8"/>
      <c r="AM247" s="8"/>
      <c r="AN247" s="8"/>
      <c r="AO247" s="8"/>
      <c r="AP247" s="8"/>
      <c r="AQ247" s="8"/>
      <c r="AR247" s="8"/>
      <c r="AS247" s="8"/>
      <c r="AT247" s="8"/>
      <c r="AU247" s="8"/>
      <c r="AV247" s="8"/>
      <c r="AW247" s="8"/>
      <c r="AX247" s="8"/>
      <c r="AY247" s="8"/>
      <c r="AZ247" s="8"/>
      <c r="BA247" s="8"/>
      <c r="BB247" s="8"/>
    </row>
    <row r="248" ht="15.75" customHeight="1">
      <c r="A248" s="11"/>
      <c r="B248" s="8">
        <f t="shared" si="2"/>
        <v>0</v>
      </c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  <c r="AE248" s="8"/>
      <c r="AF248" s="8"/>
      <c r="AG248" s="8"/>
      <c r="AH248" s="8"/>
      <c r="AI248" s="8"/>
      <c r="AJ248" s="8"/>
      <c r="AK248" s="8"/>
      <c r="AL248" s="8"/>
      <c r="AM248" s="8"/>
      <c r="AN248" s="8"/>
      <c r="AO248" s="8"/>
      <c r="AP248" s="8"/>
      <c r="AQ248" s="8"/>
      <c r="AR248" s="8"/>
      <c r="AS248" s="8"/>
      <c r="AT248" s="8"/>
      <c r="AU248" s="8"/>
      <c r="AV248" s="8"/>
      <c r="AW248" s="8"/>
      <c r="AX248" s="8"/>
      <c r="AY248" s="8"/>
      <c r="AZ248" s="8"/>
      <c r="BA248" s="8"/>
      <c r="BB248" s="8"/>
    </row>
    <row r="249" ht="15.75" customHeight="1">
      <c r="A249" s="11"/>
      <c r="B249" s="8">
        <f t="shared" si="2"/>
        <v>0</v>
      </c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  <c r="AE249" s="8"/>
      <c r="AF249" s="8"/>
      <c r="AG249" s="8"/>
      <c r="AH249" s="8"/>
      <c r="AI249" s="8"/>
      <c r="AJ249" s="8"/>
      <c r="AK249" s="8"/>
      <c r="AL249" s="8"/>
      <c r="AM249" s="8"/>
      <c r="AN249" s="8"/>
      <c r="AO249" s="8"/>
      <c r="AP249" s="8"/>
      <c r="AQ249" s="8"/>
      <c r="AR249" s="8"/>
      <c r="AS249" s="8"/>
      <c r="AT249" s="8"/>
      <c r="AU249" s="8"/>
      <c r="AV249" s="8"/>
      <c r="AW249" s="8"/>
      <c r="AX249" s="8"/>
      <c r="AY249" s="8"/>
      <c r="AZ249" s="8"/>
      <c r="BA249" s="8"/>
      <c r="BB249" s="8"/>
    </row>
    <row r="250" ht="15.75" customHeight="1">
      <c r="A250" s="11"/>
      <c r="B250" s="8">
        <f t="shared" si="2"/>
        <v>0</v>
      </c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  <c r="AE250" s="8"/>
      <c r="AF250" s="8"/>
      <c r="AG250" s="8"/>
      <c r="AH250" s="8"/>
      <c r="AI250" s="8"/>
      <c r="AJ250" s="8"/>
      <c r="AK250" s="8"/>
      <c r="AL250" s="8"/>
      <c r="AM250" s="8"/>
      <c r="AN250" s="8"/>
      <c r="AO250" s="8"/>
      <c r="AP250" s="8"/>
      <c r="AQ250" s="8"/>
      <c r="AR250" s="8"/>
      <c r="AS250" s="8"/>
      <c r="AT250" s="8"/>
      <c r="AU250" s="8"/>
      <c r="AV250" s="8"/>
      <c r="AW250" s="8"/>
      <c r="AX250" s="8"/>
      <c r="AY250" s="8"/>
      <c r="AZ250" s="8"/>
      <c r="BA250" s="8"/>
      <c r="BB250" s="8"/>
    </row>
    <row r="251" ht="15.75" customHeight="1">
      <c r="A251" s="11"/>
      <c r="B251" s="8">
        <f t="shared" si="2"/>
        <v>0</v>
      </c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  <c r="AE251" s="8"/>
      <c r="AF251" s="8"/>
      <c r="AG251" s="8"/>
      <c r="AH251" s="8"/>
      <c r="AI251" s="8"/>
      <c r="AJ251" s="8"/>
      <c r="AK251" s="8"/>
      <c r="AL251" s="8"/>
      <c r="AM251" s="8"/>
      <c r="AN251" s="8"/>
      <c r="AO251" s="8"/>
      <c r="AP251" s="8"/>
      <c r="AQ251" s="8"/>
      <c r="AR251" s="8"/>
      <c r="AS251" s="8"/>
      <c r="AT251" s="8"/>
      <c r="AU251" s="8"/>
      <c r="AV251" s="8"/>
      <c r="AW251" s="8"/>
      <c r="AX251" s="8"/>
      <c r="AY251" s="8"/>
      <c r="AZ251" s="8"/>
      <c r="BA251" s="8"/>
      <c r="BB251" s="8"/>
    </row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19.0"/>
    <col customWidth="1" min="2" max="2" width="18.63"/>
    <col customWidth="1" min="3" max="3" width="14.75"/>
    <col customWidth="1" min="4" max="4" width="9.38"/>
    <col customWidth="1" min="5" max="7" width="10.25"/>
    <col customWidth="1" min="8" max="42" width="8.63"/>
    <col customWidth="1" min="43" max="45" width="10.25"/>
    <col customWidth="1" min="46" max="47" width="8.63"/>
    <col customWidth="1" min="48" max="50" width="10.38"/>
    <col customWidth="1" min="51" max="51" width="8.63"/>
    <col customWidth="1" min="52" max="54" width="10.38"/>
  </cols>
  <sheetData>
    <row r="1">
      <c r="A1" s="31" t="s">
        <v>0</v>
      </c>
      <c r="B1" s="32" t="s">
        <v>1</v>
      </c>
      <c r="C1" s="5">
        <v>46025.0</v>
      </c>
      <c r="D1" s="5">
        <v>46032.0</v>
      </c>
      <c r="E1" s="5">
        <v>46039.0</v>
      </c>
      <c r="F1" s="5">
        <v>46046.0</v>
      </c>
      <c r="G1" s="5">
        <v>46053.0</v>
      </c>
      <c r="H1" s="5">
        <v>46060.0</v>
      </c>
      <c r="I1" s="5">
        <v>46067.0</v>
      </c>
      <c r="J1" s="5">
        <v>46074.0</v>
      </c>
      <c r="K1" s="5">
        <v>46081.0</v>
      </c>
      <c r="L1" s="5">
        <v>46088.0</v>
      </c>
      <c r="M1" s="5">
        <v>46095.0</v>
      </c>
      <c r="N1" s="5">
        <v>46102.0</v>
      </c>
      <c r="O1" s="5">
        <v>46109.0</v>
      </c>
      <c r="P1" s="5">
        <v>46116.0</v>
      </c>
      <c r="Q1" s="5">
        <v>46123.0</v>
      </c>
      <c r="R1" s="5">
        <v>46130.0</v>
      </c>
      <c r="S1" s="5">
        <v>46137.0</v>
      </c>
      <c r="T1" s="5">
        <v>46144.0</v>
      </c>
      <c r="U1" s="5">
        <v>46151.0</v>
      </c>
      <c r="V1" s="5">
        <v>46158.0</v>
      </c>
      <c r="W1" s="5">
        <v>46165.0</v>
      </c>
      <c r="X1" s="5">
        <v>46172.0</v>
      </c>
      <c r="Y1" s="5">
        <v>46179.0</v>
      </c>
      <c r="Z1" s="5">
        <v>46186.0</v>
      </c>
      <c r="AA1" s="5">
        <v>46193.0</v>
      </c>
      <c r="AB1" s="5">
        <v>46200.0</v>
      </c>
      <c r="AC1" s="5">
        <v>46207.0</v>
      </c>
      <c r="AD1" s="5">
        <v>46214.0</v>
      </c>
      <c r="AE1" s="5">
        <v>46221.0</v>
      </c>
      <c r="AF1" s="5">
        <v>46228.0</v>
      </c>
      <c r="AG1" s="5">
        <v>46235.0</v>
      </c>
      <c r="AH1" s="5">
        <v>46242.0</v>
      </c>
      <c r="AI1" s="5">
        <v>46249.0</v>
      </c>
      <c r="AJ1" s="5">
        <v>46256.0</v>
      </c>
      <c r="AK1" s="5">
        <v>46263.0</v>
      </c>
      <c r="AL1" s="5">
        <v>46270.0</v>
      </c>
      <c r="AM1" s="5">
        <v>46277.0</v>
      </c>
      <c r="AN1" s="5">
        <v>46284.0</v>
      </c>
      <c r="AO1" s="5">
        <v>46291.0</v>
      </c>
      <c r="AP1" s="5">
        <v>46298.0</v>
      </c>
      <c r="AQ1" s="5">
        <v>46305.0</v>
      </c>
      <c r="AR1" s="5">
        <v>46312.0</v>
      </c>
      <c r="AS1" s="5">
        <v>46319.0</v>
      </c>
      <c r="AT1" s="5">
        <v>46326.0</v>
      </c>
      <c r="AU1" s="5">
        <v>46333.0</v>
      </c>
      <c r="AV1" s="5">
        <v>46340.0</v>
      </c>
      <c r="AW1" s="5">
        <v>46347.0</v>
      </c>
      <c r="AX1" s="5">
        <v>46354.0</v>
      </c>
      <c r="AY1" s="5">
        <v>46361.0</v>
      </c>
      <c r="AZ1" s="5">
        <v>46368.0</v>
      </c>
      <c r="BA1" s="5">
        <v>46375.0</v>
      </c>
      <c r="BB1" s="5">
        <v>46382.0</v>
      </c>
    </row>
    <row r="2">
      <c r="A2" s="33">
        <v>5.0</v>
      </c>
      <c r="B2" s="34">
        <f>SUM(B3:B335)</f>
        <v>386.75</v>
      </c>
      <c r="C2" s="20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10"/>
      <c r="AT2" s="8"/>
      <c r="AU2" s="8"/>
      <c r="AV2" s="10"/>
      <c r="AW2" s="8"/>
      <c r="AX2" s="8"/>
      <c r="AY2" s="10"/>
      <c r="AZ2" s="8"/>
      <c r="BA2" s="8"/>
      <c r="BB2" s="10"/>
    </row>
    <row r="3">
      <c r="A3" s="35" t="s">
        <v>3</v>
      </c>
      <c r="B3" s="36">
        <f t="shared" ref="B3:B244" si="1">SUM(C3:CA3)</f>
        <v>0</v>
      </c>
      <c r="C3" s="20" t="s">
        <v>483</v>
      </c>
      <c r="D3" s="20" t="s">
        <v>484</v>
      </c>
      <c r="E3" s="21" t="s">
        <v>312</v>
      </c>
      <c r="F3" s="21" t="s">
        <v>485</v>
      </c>
      <c r="G3" s="8"/>
      <c r="H3" s="20" t="s">
        <v>486</v>
      </c>
      <c r="I3" s="20" t="s">
        <v>484</v>
      </c>
      <c r="J3" s="20" t="s">
        <v>487</v>
      </c>
      <c r="K3" s="21" t="s">
        <v>310</v>
      </c>
      <c r="L3" s="8"/>
      <c r="M3" s="20" t="s">
        <v>485</v>
      </c>
      <c r="N3" s="20" t="s">
        <v>488</v>
      </c>
      <c r="O3" s="20" t="s">
        <v>483</v>
      </c>
      <c r="P3" s="20" t="s">
        <v>310</v>
      </c>
      <c r="Q3" s="20" t="s">
        <v>489</v>
      </c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  <c r="AQ3" s="20"/>
      <c r="AR3" s="20"/>
      <c r="AS3" s="37"/>
      <c r="AT3" s="20"/>
      <c r="AU3" s="20"/>
      <c r="AV3" s="38"/>
      <c r="AW3" s="20"/>
      <c r="AX3" s="20"/>
      <c r="AY3" s="37"/>
      <c r="AZ3" s="20"/>
      <c r="BA3" s="20"/>
      <c r="BB3" s="37"/>
    </row>
    <row r="4">
      <c r="A4" s="35" t="s">
        <v>6</v>
      </c>
      <c r="B4" s="36">
        <f t="shared" si="1"/>
        <v>0</v>
      </c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8"/>
      <c r="AR4" s="8"/>
      <c r="AS4" s="10"/>
      <c r="AT4" s="8"/>
      <c r="AU4" s="8"/>
      <c r="AV4" s="38"/>
      <c r="AW4" s="8"/>
      <c r="AX4" s="8"/>
      <c r="AY4" s="10"/>
      <c r="AZ4" s="8"/>
      <c r="BA4" s="8"/>
      <c r="BB4" s="10"/>
    </row>
    <row r="5">
      <c r="A5" s="35" t="s">
        <v>7</v>
      </c>
      <c r="B5" s="36">
        <f t="shared" si="1"/>
        <v>4</v>
      </c>
      <c r="C5" s="8"/>
      <c r="D5" s="8"/>
      <c r="E5" s="8"/>
      <c r="F5" s="8"/>
      <c r="G5" s="20">
        <v>3.5</v>
      </c>
      <c r="H5" s="8"/>
      <c r="I5" s="20">
        <v>0.5</v>
      </c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8"/>
      <c r="AN5" s="8"/>
      <c r="AO5" s="8"/>
      <c r="AP5" s="8"/>
      <c r="AQ5" s="20"/>
      <c r="AR5" s="20"/>
      <c r="AS5" s="37"/>
      <c r="AT5" s="8"/>
      <c r="AU5" s="8"/>
      <c r="AV5" s="38"/>
      <c r="AW5" s="20"/>
      <c r="AX5" s="8"/>
      <c r="AY5" s="10"/>
      <c r="AZ5" s="8"/>
      <c r="BA5" s="20"/>
      <c r="BB5" s="37"/>
    </row>
    <row r="6">
      <c r="A6" s="35" t="s">
        <v>55</v>
      </c>
      <c r="B6" s="36">
        <f t="shared" si="1"/>
        <v>0</v>
      </c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20"/>
      <c r="AS6" s="10"/>
      <c r="AT6" s="8"/>
      <c r="AU6" s="8"/>
      <c r="AV6" s="10"/>
      <c r="AW6" s="8"/>
      <c r="AX6" s="8"/>
      <c r="AY6" s="10"/>
      <c r="AZ6" s="8"/>
      <c r="BA6" s="8"/>
      <c r="BB6" s="10"/>
    </row>
    <row r="7">
      <c r="A7" s="35" t="s">
        <v>17</v>
      </c>
      <c r="B7" s="36">
        <f t="shared" si="1"/>
        <v>0</v>
      </c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  <c r="AJ7" s="8"/>
      <c r="AK7" s="8"/>
      <c r="AL7" s="8"/>
      <c r="AM7" s="8"/>
      <c r="AN7" s="8"/>
      <c r="AO7" s="8"/>
      <c r="AP7" s="8"/>
      <c r="AQ7" s="8"/>
      <c r="AR7" s="20"/>
      <c r="AS7" s="10"/>
      <c r="AT7" s="8"/>
      <c r="AU7" s="8"/>
      <c r="AV7" s="10"/>
      <c r="AW7" s="8"/>
      <c r="AX7" s="8"/>
      <c r="AY7" s="10"/>
      <c r="AZ7" s="8"/>
      <c r="BA7" s="8"/>
      <c r="BB7" s="10"/>
    </row>
    <row r="8">
      <c r="A8" s="35" t="s">
        <v>52</v>
      </c>
      <c r="B8" s="36">
        <f t="shared" si="1"/>
        <v>0</v>
      </c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  <c r="AO8" s="8"/>
      <c r="AP8" s="8"/>
      <c r="AQ8" s="8"/>
      <c r="AR8" s="8"/>
      <c r="AS8" s="10"/>
      <c r="AT8" s="8"/>
      <c r="AU8" s="8"/>
      <c r="AV8" s="10"/>
      <c r="AW8" s="8"/>
      <c r="AX8" s="8"/>
      <c r="AY8" s="10"/>
      <c r="AZ8" s="8"/>
      <c r="BA8" s="8"/>
      <c r="BB8" s="10"/>
    </row>
    <row r="9">
      <c r="A9" s="35" t="s">
        <v>46</v>
      </c>
      <c r="B9" s="36">
        <f t="shared" si="1"/>
        <v>0</v>
      </c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8"/>
      <c r="AM9" s="8"/>
      <c r="AN9" s="8"/>
      <c r="AO9" s="8"/>
      <c r="AP9" s="8"/>
      <c r="AQ9" s="8"/>
      <c r="AR9" s="8"/>
      <c r="AS9" s="10"/>
      <c r="AT9" s="8"/>
      <c r="AU9" s="8"/>
      <c r="AV9" s="10"/>
      <c r="AW9" s="20"/>
      <c r="AX9" s="8"/>
      <c r="AY9" s="10"/>
      <c r="AZ9" s="8"/>
      <c r="BA9" s="8"/>
      <c r="BB9" s="10"/>
    </row>
    <row r="10">
      <c r="A10" s="35" t="s">
        <v>74</v>
      </c>
      <c r="B10" s="36">
        <f t="shared" si="1"/>
        <v>0</v>
      </c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  <c r="AJ10" s="8"/>
      <c r="AK10" s="8"/>
      <c r="AL10" s="8"/>
      <c r="AM10" s="8"/>
      <c r="AN10" s="8"/>
      <c r="AO10" s="8"/>
      <c r="AP10" s="8"/>
      <c r="AQ10" s="8"/>
      <c r="AR10" s="8"/>
      <c r="AS10" s="10"/>
      <c r="AT10" s="8"/>
      <c r="AU10" s="8"/>
      <c r="AV10" s="10"/>
      <c r="AW10" s="8"/>
      <c r="AX10" s="8"/>
      <c r="AY10" s="10"/>
      <c r="AZ10" s="8"/>
      <c r="BA10" s="8"/>
      <c r="BB10" s="10"/>
    </row>
    <row r="11">
      <c r="A11" s="35" t="s">
        <v>313</v>
      </c>
      <c r="B11" s="36">
        <f t="shared" si="1"/>
        <v>4.5</v>
      </c>
      <c r="C11" s="8"/>
      <c r="D11" s="8"/>
      <c r="E11" s="8"/>
      <c r="F11" s="8"/>
      <c r="G11" s="8"/>
      <c r="H11" s="8"/>
      <c r="I11" s="8"/>
      <c r="J11" s="8"/>
      <c r="K11" s="8"/>
      <c r="L11" s="8"/>
      <c r="M11" s="20">
        <v>2.25</v>
      </c>
      <c r="N11" s="20">
        <v>2.25</v>
      </c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  <c r="AN11" s="8"/>
      <c r="AO11" s="8"/>
      <c r="AP11" s="8"/>
      <c r="AQ11" s="8"/>
      <c r="AR11" s="8"/>
      <c r="AS11" s="10"/>
      <c r="AT11" s="8"/>
      <c r="AU11" s="8"/>
      <c r="AV11" s="10"/>
      <c r="AW11" s="20"/>
      <c r="AX11" s="8"/>
      <c r="AY11" s="10"/>
      <c r="AZ11" s="8"/>
      <c r="BA11" s="8"/>
      <c r="BB11" s="10"/>
    </row>
    <row r="12">
      <c r="A12" s="35" t="s">
        <v>314</v>
      </c>
      <c r="B12" s="36">
        <f t="shared" si="1"/>
        <v>0</v>
      </c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  <c r="AO12" s="8"/>
      <c r="AP12" s="8"/>
      <c r="AQ12" s="8"/>
      <c r="AR12" s="8"/>
      <c r="AS12" s="10"/>
      <c r="AT12" s="8"/>
      <c r="AU12" s="8"/>
      <c r="AV12" s="10"/>
      <c r="AW12" s="8"/>
      <c r="AX12" s="8"/>
      <c r="AY12" s="10"/>
      <c r="AZ12" s="8"/>
      <c r="BA12" s="8"/>
      <c r="BB12" s="10"/>
    </row>
    <row r="13">
      <c r="A13" s="35" t="s">
        <v>315</v>
      </c>
      <c r="B13" s="36">
        <f t="shared" si="1"/>
        <v>0</v>
      </c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  <c r="AO13" s="8"/>
      <c r="AP13" s="8"/>
      <c r="AQ13" s="8"/>
      <c r="AR13" s="8"/>
      <c r="AS13" s="10"/>
      <c r="AT13" s="8"/>
      <c r="AU13" s="8"/>
      <c r="AV13" s="10"/>
      <c r="AW13" s="8"/>
      <c r="AX13" s="8"/>
      <c r="AY13" s="10"/>
      <c r="AZ13" s="8"/>
      <c r="BA13" s="8"/>
      <c r="BB13" s="10"/>
    </row>
    <row r="14">
      <c r="A14" s="35" t="s">
        <v>54</v>
      </c>
      <c r="B14" s="36">
        <f t="shared" si="1"/>
        <v>0</v>
      </c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10"/>
      <c r="AT14" s="8"/>
      <c r="AU14" s="8"/>
      <c r="AV14" s="10"/>
      <c r="AW14" s="8"/>
      <c r="AX14" s="8"/>
      <c r="AY14" s="10"/>
      <c r="AZ14" s="8"/>
      <c r="BA14" s="8"/>
      <c r="BB14" s="10"/>
    </row>
    <row r="15">
      <c r="A15" s="35" t="s">
        <v>79</v>
      </c>
      <c r="B15" s="36">
        <f t="shared" si="1"/>
        <v>0</v>
      </c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  <c r="AO15" s="8"/>
      <c r="AP15" s="8"/>
      <c r="AQ15" s="8"/>
      <c r="AR15" s="8"/>
      <c r="AS15" s="10"/>
      <c r="AT15" s="8"/>
      <c r="AU15" s="8"/>
      <c r="AV15" s="10"/>
      <c r="AW15" s="8"/>
      <c r="AX15" s="8"/>
      <c r="AY15" s="10"/>
      <c r="AZ15" s="8"/>
      <c r="BA15" s="8"/>
      <c r="BB15" s="10"/>
    </row>
    <row r="16">
      <c r="A16" s="35" t="s">
        <v>69</v>
      </c>
      <c r="B16" s="36">
        <f t="shared" si="1"/>
        <v>0</v>
      </c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10"/>
      <c r="AT16" s="8"/>
      <c r="AU16" s="8"/>
      <c r="AV16" s="10"/>
      <c r="AW16" s="8"/>
      <c r="AX16" s="8"/>
      <c r="AY16" s="10"/>
      <c r="AZ16" s="8"/>
      <c r="BA16" s="8"/>
      <c r="BB16" s="10"/>
    </row>
    <row r="17">
      <c r="A17" s="35" t="s">
        <v>237</v>
      </c>
      <c r="B17" s="36">
        <f t="shared" si="1"/>
        <v>0</v>
      </c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  <c r="AL17" s="8"/>
      <c r="AM17" s="8"/>
      <c r="AN17" s="8"/>
      <c r="AO17" s="8"/>
      <c r="AP17" s="8"/>
      <c r="AQ17" s="8"/>
      <c r="AR17" s="8"/>
      <c r="AS17" s="10"/>
      <c r="AT17" s="8"/>
      <c r="AU17" s="8"/>
      <c r="AV17" s="10"/>
      <c r="AW17" s="8"/>
      <c r="AX17" s="8"/>
      <c r="AY17" s="10"/>
      <c r="AZ17" s="8"/>
      <c r="BA17" s="8"/>
      <c r="BB17" s="10"/>
    </row>
    <row r="18">
      <c r="A18" s="35" t="s">
        <v>10</v>
      </c>
      <c r="B18" s="36">
        <f t="shared" si="1"/>
        <v>0</v>
      </c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37"/>
      <c r="AT18" s="8"/>
      <c r="AU18" s="8"/>
      <c r="AV18" s="10"/>
      <c r="AW18" s="8"/>
      <c r="AX18" s="8"/>
      <c r="AY18" s="10"/>
      <c r="AZ18" s="8"/>
      <c r="BA18" s="8"/>
      <c r="BB18" s="37"/>
    </row>
    <row r="19">
      <c r="A19" s="35" t="s">
        <v>9</v>
      </c>
      <c r="B19" s="36">
        <f t="shared" si="1"/>
        <v>0</v>
      </c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S19" s="10"/>
      <c r="AT19" s="8"/>
      <c r="AU19" s="8"/>
      <c r="AV19" s="10"/>
      <c r="AW19" s="8"/>
      <c r="AX19" s="8"/>
      <c r="AY19" s="10"/>
      <c r="AZ19" s="8"/>
      <c r="BA19" s="8"/>
      <c r="BB19" s="10"/>
    </row>
    <row r="20">
      <c r="A20" s="35" t="s">
        <v>117</v>
      </c>
      <c r="B20" s="36">
        <f t="shared" si="1"/>
        <v>0</v>
      </c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  <c r="AO20" s="8"/>
      <c r="AP20" s="8"/>
      <c r="AQ20" s="8"/>
      <c r="AR20" s="8"/>
      <c r="AS20" s="10"/>
      <c r="AT20" s="8"/>
      <c r="AU20" s="8"/>
      <c r="AV20" s="10"/>
      <c r="AW20" s="8"/>
      <c r="AX20" s="8"/>
      <c r="AY20" s="10"/>
      <c r="AZ20" s="8"/>
      <c r="BA20" s="8"/>
      <c r="BB20" s="10"/>
    </row>
    <row r="21" ht="15.75" customHeight="1">
      <c r="A21" s="35" t="s">
        <v>48</v>
      </c>
      <c r="B21" s="36">
        <f t="shared" si="1"/>
        <v>0</v>
      </c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  <c r="AJ21" s="8"/>
      <c r="AK21" s="8"/>
      <c r="AL21" s="8"/>
      <c r="AM21" s="8"/>
      <c r="AN21" s="8"/>
      <c r="AO21" s="8"/>
      <c r="AP21" s="8"/>
      <c r="AQ21" s="8"/>
      <c r="AR21" s="8"/>
      <c r="AS21" s="10"/>
      <c r="AT21" s="8"/>
      <c r="AU21" s="8"/>
      <c r="AV21" s="10"/>
      <c r="AW21" s="8"/>
      <c r="AX21" s="8"/>
      <c r="AY21" s="10"/>
      <c r="AZ21" s="8"/>
      <c r="BA21" s="8"/>
      <c r="BB21" s="10"/>
    </row>
    <row r="22" ht="15.75" customHeight="1">
      <c r="A22" s="35" t="s">
        <v>18</v>
      </c>
      <c r="B22" s="36">
        <f t="shared" si="1"/>
        <v>0</v>
      </c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  <c r="AO22" s="8"/>
      <c r="AP22" s="8"/>
      <c r="AQ22" s="8"/>
      <c r="AR22" s="8"/>
      <c r="AS22" s="10"/>
      <c r="AT22" s="8"/>
      <c r="AU22" s="8"/>
      <c r="AV22" s="10"/>
      <c r="AW22" s="8"/>
      <c r="AX22" s="8"/>
      <c r="AY22" s="10"/>
      <c r="AZ22" s="8"/>
      <c r="BA22" s="8"/>
      <c r="BB22" s="10"/>
    </row>
    <row r="23" ht="15.75" customHeight="1">
      <c r="A23" s="35" t="s">
        <v>113</v>
      </c>
      <c r="B23" s="36">
        <f t="shared" si="1"/>
        <v>0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  <c r="AJ23" s="8"/>
      <c r="AK23" s="8"/>
      <c r="AL23" s="8"/>
      <c r="AM23" s="8"/>
      <c r="AN23" s="8"/>
      <c r="AO23" s="8"/>
      <c r="AP23" s="8"/>
      <c r="AQ23" s="8"/>
      <c r="AR23" s="8"/>
      <c r="AS23" s="10"/>
      <c r="AT23" s="8"/>
      <c r="AU23" s="8"/>
      <c r="AV23" s="10"/>
      <c r="AW23" s="8"/>
      <c r="AX23" s="8"/>
      <c r="AY23" s="10"/>
      <c r="AZ23" s="8"/>
      <c r="BA23" s="8"/>
      <c r="BB23" s="37"/>
    </row>
    <row r="24" ht="15.75" customHeight="1">
      <c r="A24" s="35" t="s">
        <v>98</v>
      </c>
      <c r="B24" s="36">
        <f t="shared" si="1"/>
        <v>0</v>
      </c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  <c r="AO24" s="8"/>
      <c r="AP24" s="8"/>
      <c r="AQ24" s="8"/>
      <c r="AR24" s="8"/>
      <c r="AS24" s="10"/>
      <c r="AT24" s="8"/>
      <c r="AU24" s="20"/>
      <c r="AV24" s="10"/>
      <c r="AW24" s="20"/>
      <c r="AX24" s="8"/>
      <c r="AY24" s="10"/>
      <c r="AZ24" s="8"/>
      <c r="BA24" s="8"/>
      <c r="BB24" s="10"/>
    </row>
    <row r="25" ht="15.75" customHeight="1">
      <c r="A25" s="35" t="s">
        <v>257</v>
      </c>
      <c r="B25" s="36">
        <f t="shared" si="1"/>
        <v>0</v>
      </c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10"/>
      <c r="AT25" s="8"/>
      <c r="AU25" s="20"/>
      <c r="AV25" s="10"/>
      <c r="AW25" s="8"/>
      <c r="AX25" s="8"/>
      <c r="AY25" s="10"/>
      <c r="AZ25" s="8"/>
      <c r="BA25" s="8"/>
      <c r="BB25" s="10"/>
    </row>
    <row r="26" ht="15.75" customHeight="1">
      <c r="A26" s="35" t="s">
        <v>83</v>
      </c>
      <c r="B26" s="36">
        <f t="shared" si="1"/>
        <v>0</v>
      </c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8"/>
      <c r="AJ26" s="8"/>
      <c r="AK26" s="8"/>
      <c r="AL26" s="8"/>
      <c r="AM26" s="8"/>
      <c r="AN26" s="8"/>
      <c r="AO26" s="8"/>
      <c r="AP26" s="8"/>
      <c r="AQ26" s="8"/>
      <c r="AR26" s="8"/>
      <c r="AS26" s="10"/>
      <c r="AT26" s="8"/>
      <c r="AU26" s="8"/>
      <c r="AV26" s="10"/>
      <c r="AW26" s="8"/>
      <c r="AX26" s="8"/>
      <c r="AY26" s="10"/>
      <c r="AZ26" s="8"/>
      <c r="BA26" s="8"/>
      <c r="BB26" s="10"/>
    </row>
    <row r="27" ht="15.75" customHeight="1">
      <c r="A27" s="35" t="s">
        <v>105</v>
      </c>
      <c r="B27" s="36">
        <f t="shared" si="1"/>
        <v>0</v>
      </c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I27" s="8"/>
      <c r="AJ27" s="8"/>
      <c r="AK27" s="8"/>
      <c r="AL27" s="8"/>
      <c r="AM27" s="8"/>
      <c r="AN27" s="8"/>
      <c r="AO27" s="8"/>
      <c r="AP27" s="8"/>
      <c r="AQ27" s="8"/>
      <c r="AR27" s="8"/>
      <c r="AS27" s="10"/>
      <c r="AT27" s="8"/>
      <c r="AU27" s="8"/>
      <c r="AV27" s="10"/>
      <c r="AW27" s="8"/>
      <c r="AX27" s="8"/>
      <c r="AY27" s="10"/>
      <c r="AZ27" s="8"/>
      <c r="BA27" s="8"/>
      <c r="BB27" s="10"/>
    </row>
    <row r="28" ht="15.75" customHeight="1">
      <c r="A28" s="35" t="s">
        <v>61</v>
      </c>
      <c r="B28" s="36">
        <f t="shared" si="1"/>
        <v>2</v>
      </c>
      <c r="C28" s="20">
        <v>2.0</v>
      </c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8"/>
      <c r="AK28" s="8"/>
      <c r="AL28" s="8"/>
      <c r="AM28" s="8"/>
      <c r="AN28" s="8"/>
      <c r="AO28" s="8"/>
      <c r="AP28" s="8"/>
      <c r="AQ28" s="8"/>
      <c r="AR28" s="8"/>
      <c r="AS28" s="10"/>
      <c r="AT28" s="8"/>
      <c r="AU28" s="8"/>
      <c r="AV28" s="38"/>
      <c r="AW28" s="8"/>
      <c r="AX28" s="8"/>
      <c r="AY28" s="10"/>
      <c r="AZ28" s="8"/>
      <c r="BA28" s="8"/>
      <c r="BB28" s="10"/>
    </row>
    <row r="29" ht="15.75" customHeight="1">
      <c r="A29" s="35" t="s">
        <v>33</v>
      </c>
      <c r="B29" s="36">
        <f t="shared" si="1"/>
        <v>2</v>
      </c>
      <c r="C29" s="20">
        <v>2.0</v>
      </c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8"/>
      <c r="AJ29" s="8"/>
      <c r="AK29" s="8"/>
      <c r="AL29" s="8"/>
      <c r="AM29" s="8"/>
      <c r="AN29" s="8"/>
      <c r="AO29" s="8"/>
      <c r="AP29" s="8"/>
      <c r="AQ29" s="8"/>
      <c r="AR29" s="8"/>
      <c r="AS29" s="10"/>
      <c r="AT29" s="8"/>
      <c r="AU29" s="8"/>
      <c r="AV29" s="38"/>
      <c r="AW29" s="8"/>
      <c r="AX29" s="8"/>
      <c r="AY29" s="10"/>
      <c r="AZ29" s="8"/>
      <c r="BA29" s="8"/>
      <c r="BB29" s="10"/>
    </row>
    <row r="30" ht="15.75" customHeight="1">
      <c r="A30" s="35" t="s">
        <v>31</v>
      </c>
      <c r="B30" s="36">
        <f t="shared" si="1"/>
        <v>0</v>
      </c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  <c r="AJ30" s="8"/>
      <c r="AK30" s="8"/>
      <c r="AL30" s="8"/>
      <c r="AM30" s="8"/>
      <c r="AN30" s="8"/>
      <c r="AO30" s="8"/>
      <c r="AP30" s="8"/>
      <c r="AQ30" s="8"/>
      <c r="AR30" s="8"/>
      <c r="AS30" s="10"/>
      <c r="AT30" s="8"/>
      <c r="AU30" s="8"/>
      <c r="AV30" s="10"/>
      <c r="AW30" s="8"/>
      <c r="AX30" s="8"/>
      <c r="AY30" s="10"/>
      <c r="AZ30" s="8"/>
      <c r="BA30" s="8"/>
      <c r="BB30" s="10"/>
    </row>
    <row r="31" ht="15.75" customHeight="1">
      <c r="A31" s="35" t="s">
        <v>316</v>
      </c>
      <c r="B31" s="36">
        <f t="shared" si="1"/>
        <v>0</v>
      </c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  <c r="AO31" s="8"/>
      <c r="AP31" s="8"/>
      <c r="AQ31" s="8"/>
      <c r="AR31" s="8"/>
      <c r="AS31" s="10"/>
      <c r="AT31" s="8"/>
      <c r="AU31" s="8"/>
      <c r="AV31" s="10"/>
      <c r="AW31" s="8"/>
      <c r="AX31" s="8"/>
      <c r="AY31" s="10"/>
      <c r="AZ31" s="8"/>
      <c r="BA31" s="8"/>
      <c r="BB31" s="10"/>
    </row>
    <row r="32" ht="15.75" customHeight="1">
      <c r="A32" s="35" t="s">
        <v>37</v>
      </c>
      <c r="B32" s="36">
        <f t="shared" si="1"/>
        <v>0</v>
      </c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  <c r="AO32" s="8"/>
      <c r="AP32" s="8"/>
      <c r="AQ32" s="8"/>
      <c r="AR32" s="8"/>
      <c r="AS32" s="10"/>
      <c r="AT32" s="8"/>
      <c r="AU32" s="8"/>
      <c r="AV32" s="10"/>
      <c r="AW32" s="8"/>
      <c r="AX32" s="8"/>
      <c r="AY32" s="10"/>
      <c r="AZ32" s="8"/>
      <c r="BA32" s="8"/>
      <c r="BB32" s="10"/>
    </row>
    <row r="33" ht="15.75" customHeight="1">
      <c r="A33" s="35" t="s">
        <v>93</v>
      </c>
      <c r="B33" s="36">
        <f t="shared" si="1"/>
        <v>0</v>
      </c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  <c r="AL33" s="8"/>
      <c r="AM33" s="8"/>
      <c r="AN33" s="8"/>
      <c r="AO33" s="8"/>
      <c r="AP33" s="8"/>
      <c r="AQ33" s="8"/>
      <c r="AR33" s="8"/>
      <c r="AS33" s="10"/>
      <c r="AT33" s="8"/>
      <c r="AU33" s="8"/>
      <c r="AV33" s="10"/>
      <c r="AW33" s="8"/>
      <c r="AX33" s="8"/>
      <c r="AY33" s="10"/>
      <c r="AZ33" s="8"/>
      <c r="BA33" s="8"/>
      <c r="BB33" s="10"/>
    </row>
    <row r="34" ht="15.75" customHeight="1">
      <c r="A34" s="35" t="s">
        <v>317</v>
      </c>
      <c r="B34" s="36">
        <f t="shared" si="1"/>
        <v>0</v>
      </c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8"/>
      <c r="AJ34" s="8"/>
      <c r="AK34" s="8"/>
      <c r="AL34" s="8"/>
      <c r="AM34" s="8"/>
      <c r="AN34" s="8"/>
      <c r="AO34" s="8"/>
      <c r="AP34" s="8"/>
      <c r="AQ34" s="8"/>
      <c r="AR34" s="8"/>
      <c r="AS34" s="10"/>
      <c r="AT34" s="8"/>
      <c r="AU34" s="8"/>
      <c r="AV34" s="10"/>
      <c r="AW34" s="8"/>
      <c r="AX34" s="8"/>
      <c r="AY34" s="10"/>
      <c r="AZ34" s="8"/>
      <c r="BA34" s="8"/>
      <c r="BB34" s="10"/>
    </row>
    <row r="35" ht="15.75" customHeight="1">
      <c r="A35" s="35" t="s">
        <v>264</v>
      </c>
      <c r="B35" s="36">
        <f t="shared" si="1"/>
        <v>33.25</v>
      </c>
      <c r="C35" s="20">
        <v>2.0</v>
      </c>
      <c r="D35" s="20">
        <v>2.5</v>
      </c>
      <c r="E35" s="21">
        <v>2.0</v>
      </c>
      <c r="F35" s="21">
        <v>2.5</v>
      </c>
      <c r="G35" s="20">
        <v>3.5</v>
      </c>
      <c r="H35" s="20">
        <v>4.25</v>
      </c>
      <c r="I35" s="20">
        <v>2.25</v>
      </c>
      <c r="J35" s="20">
        <v>1.75</v>
      </c>
      <c r="K35" s="8"/>
      <c r="L35" s="20">
        <v>3.0</v>
      </c>
      <c r="M35" s="20">
        <v>5.0</v>
      </c>
      <c r="N35" s="20">
        <v>2.25</v>
      </c>
      <c r="O35" s="8"/>
      <c r="P35" s="20">
        <v>2.25</v>
      </c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8"/>
      <c r="AH35" s="8"/>
      <c r="AI35" s="8"/>
      <c r="AJ35" s="8"/>
      <c r="AK35" s="8"/>
      <c r="AL35" s="8"/>
      <c r="AM35" s="8"/>
      <c r="AN35" s="8"/>
      <c r="AO35" s="8"/>
      <c r="AP35" s="8"/>
      <c r="AQ35" s="20"/>
      <c r="AR35" s="8"/>
      <c r="AS35" s="37"/>
      <c r="AT35" s="20"/>
      <c r="AU35" s="8"/>
      <c r="AV35" s="10"/>
      <c r="AW35" s="8"/>
      <c r="AX35" s="8"/>
      <c r="AY35" s="10"/>
      <c r="AZ35" s="20"/>
      <c r="BA35" s="20"/>
      <c r="BB35" s="37"/>
    </row>
    <row r="36" ht="15.75" customHeight="1">
      <c r="A36" s="35" t="s">
        <v>318</v>
      </c>
      <c r="B36" s="36">
        <f t="shared" si="1"/>
        <v>0</v>
      </c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  <c r="AI36" s="8"/>
      <c r="AJ36" s="8"/>
      <c r="AK36" s="8"/>
      <c r="AL36" s="8"/>
      <c r="AM36" s="8"/>
      <c r="AN36" s="8"/>
      <c r="AO36" s="8"/>
      <c r="AP36" s="8"/>
      <c r="AQ36" s="8"/>
      <c r="AR36" s="8"/>
      <c r="AS36" s="10"/>
      <c r="AT36" s="8"/>
      <c r="AU36" s="8"/>
      <c r="AV36" s="10"/>
      <c r="AW36" s="8"/>
      <c r="AX36" s="8"/>
      <c r="AY36" s="10"/>
      <c r="AZ36" s="8"/>
      <c r="BA36" s="20"/>
      <c r="BB36" s="10"/>
    </row>
    <row r="37" ht="15.75" customHeight="1">
      <c r="A37" s="35" t="s">
        <v>97</v>
      </c>
      <c r="B37" s="36">
        <f t="shared" si="1"/>
        <v>0</v>
      </c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I37" s="8"/>
      <c r="AJ37" s="8"/>
      <c r="AK37" s="8"/>
      <c r="AL37" s="8"/>
      <c r="AM37" s="8"/>
      <c r="AN37" s="8"/>
      <c r="AO37" s="8"/>
      <c r="AP37" s="8"/>
      <c r="AQ37" s="8"/>
      <c r="AR37" s="8"/>
      <c r="AS37" s="10"/>
      <c r="AT37" s="8"/>
      <c r="AU37" s="8"/>
      <c r="AV37" s="10"/>
      <c r="AW37" s="8"/>
      <c r="AX37" s="8"/>
      <c r="AY37" s="10"/>
      <c r="AZ37" s="8"/>
      <c r="BA37" s="8"/>
      <c r="BB37" s="10"/>
    </row>
    <row r="38" ht="15.75" customHeight="1">
      <c r="A38" s="35" t="s">
        <v>135</v>
      </c>
      <c r="B38" s="36">
        <f t="shared" si="1"/>
        <v>0</v>
      </c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I38" s="8"/>
      <c r="AJ38" s="8"/>
      <c r="AK38" s="8"/>
      <c r="AL38" s="8"/>
      <c r="AM38" s="8"/>
      <c r="AN38" s="8"/>
      <c r="AO38" s="8"/>
      <c r="AP38" s="8"/>
      <c r="AQ38" s="8"/>
      <c r="AR38" s="8"/>
      <c r="AS38" s="10"/>
      <c r="AT38" s="8"/>
      <c r="AU38" s="8"/>
      <c r="AV38" s="10"/>
      <c r="AW38" s="8"/>
      <c r="AX38" s="8"/>
      <c r="AY38" s="10"/>
      <c r="AZ38" s="8"/>
      <c r="BA38" s="8"/>
      <c r="BB38" s="10"/>
    </row>
    <row r="39" ht="15.75" customHeight="1">
      <c r="A39" s="35" t="s">
        <v>319</v>
      </c>
      <c r="B39" s="36">
        <f t="shared" si="1"/>
        <v>0</v>
      </c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  <c r="AF39" s="8"/>
      <c r="AG39" s="8"/>
      <c r="AH39" s="8"/>
      <c r="AI39" s="8"/>
      <c r="AJ39" s="8"/>
      <c r="AK39" s="8"/>
      <c r="AL39" s="8"/>
      <c r="AM39" s="8"/>
      <c r="AN39" s="8"/>
      <c r="AO39" s="8"/>
      <c r="AP39" s="8"/>
      <c r="AQ39" s="8"/>
      <c r="AR39" s="8"/>
      <c r="AS39" s="10"/>
      <c r="AT39" s="8"/>
      <c r="AU39" s="8"/>
      <c r="AV39" s="10"/>
      <c r="AW39" s="8"/>
      <c r="AX39" s="8"/>
      <c r="AY39" s="10"/>
      <c r="AZ39" s="8"/>
      <c r="BA39" s="8"/>
      <c r="BB39" s="10"/>
    </row>
    <row r="40" ht="15.75" customHeight="1">
      <c r="A40" s="35" t="s">
        <v>320</v>
      </c>
      <c r="B40" s="36">
        <f t="shared" si="1"/>
        <v>0</v>
      </c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8"/>
      <c r="AG40" s="8"/>
      <c r="AH40" s="8"/>
      <c r="AI40" s="8"/>
      <c r="AJ40" s="8"/>
      <c r="AK40" s="8"/>
      <c r="AL40" s="8"/>
      <c r="AM40" s="8"/>
      <c r="AN40" s="8"/>
      <c r="AO40" s="8"/>
      <c r="AP40" s="8"/>
      <c r="AQ40" s="8"/>
      <c r="AR40" s="8"/>
      <c r="AS40" s="10"/>
      <c r="AT40" s="8"/>
      <c r="AU40" s="8"/>
      <c r="AV40" s="10"/>
      <c r="AW40" s="8"/>
      <c r="AX40" s="8"/>
      <c r="AY40" s="10"/>
      <c r="AZ40" s="8"/>
      <c r="BA40" s="8"/>
      <c r="BB40" s="10"/>
    </row>
    <row r="41" ht="15.75" customHeight="1">
      <c r="A41" s="35" t="s">
        <v>321</v>
      </c>
      <c r="B41" s="36">
        <f t="shared" si="1"/>
        <v>0</v>
      </c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I41" s="8"/>
      <c r="AJ41" s="8"/>
      <c r="AK41" s="8"/>
      <c r="AL41" s="8"/>
      <c r="AM41" s="8"/>
      <c r="AN41" s="8"/>
      <c r="AO41" s="8"/>
      <c r="AP41" s="8"/>
      <c r="AQ41" s="8"/>
      <c r="AR41" s="8"/>
      <c r="AS41" s="10"/>
      <c r="AT41" s="8"/>
      <c r="AU41" s="8"/>
      <c r="AV41" s="10"/>
      <c r="AW41" s="8"/>
      <c r="AX41" s="8"/>
      <c r="AY41" s="10"/>
      <c r="AZ41" s="8"/>
      <c r="BA41" s="8"/>
      <c r="BB41" s="10"/>
    </row>
    <row r="42" ht="15.75" customHeight="1">
      <c r="A42" s="35" t="s">
        <v>73</v>
      </c>
      <c r="B42" s="36">
        <f t="shared" si="1"/>
        <v>0</v>
      </c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I42" s="8"/>
      <c r="AJ42" s="8"/>
      <c r="AK42" s="8"/>
      <c r="AL42" s="8"/>
      <c r="AM42" s="8"/>
      <c r="AN42" s="8"/>
      <c r="AO42" s="8"/>
      <c r="AP42" s="8"/>
      <c r="AQ42" s="8"/>
      <c r="AR42" s="8"/>
      <c r="AS42" s="10"/>
      <c r="AT42" s="8"/>
      <c r="AU42" s="8"/>
      <c r="AV42" s="10"/>
      <c r="AW42" s="8"/>
      <c r="AX42" s="8"/>
      <c r="AY42" s="10"/>
      <c r="AZ42" s="8"/>
      <c r="BA42" s="8"/>
      <c r="BB42" s="10"/>
    </row>
    <row r="43" ht="15.75" customHeight="1">
      <c r="A43" s="35" t="s">
        <v>259</v>
      </c>
      <c r="B43" s="36">
        <f t="shared" si="1"/>
        <v>0</v>
      </c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8"/>
      <c r="AH43" s="8"/>
      <c r="AI43" s="8"/>
      <c r="AJ43" s="8"/>
      <c r="AK43" s="8"/>
      <c r="AL43" s="8"/>
      <c r="AM43" s="8"/>
      <c r="AN43" s="8"/>
      <c r="AO43" s="8"/>
      <c r="AP43" s="8"/>
      <c r="AQ43" s="8"/>
      <c r="AR43" s="8"/>
      <c r="AS43" s="10"/>
      <c r="AT43" s="8"/>
      <c r="AU43" s="8"/>
      <c r="AV43" s="10"/>
      <c r="AW43" s="8"/>
      <c r="AX43" s="8"/>
      <c r="AY43" s="10"/>
      <c r="AZ43" s="8"/>
      <c r="BA43" s="8"/>
      <c r="BB43" s="10"/>
    </row>
    <row r="44" ht="15.75" customHeight="1">
      <c r="A44" s="35" t="s">
        <v>100</v>
      </c>
      <c r="B44" s="36">
        <f t="shared" si="1"/>
        <v>0</v>
      </c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8"/>
      <c r="AJ44" s="8"/>
      <c r="AK44" s="8"/>
      <c r="AL44" s="8"/>
      <c r="AM44" s="8"/>
      <c r="AN44" s="8"/>
      <c r="AO44" s="8"/>
      <c r="AP44" s="8"/>
      <c r="AQ44" s="8"/>
      <c r="AR44" s="8"/>
      <c r="AS44" s="37"/>
      <c r="AT44" s="8"/>
      <c r="AU44" s="8"/>
      <c r="AV44" s="38"/>
      <c r="AW44" s="8"/>
      <c r="AX44" s="8"/>
      <c r="AY44" s="10"/>
      <c r="AZ44" s="8"/>
      <c r="BA44" s="8"/>
      <c r="BB44" s="10"/>
    </row>
    <row r="45" ht="15.75" customHeight="1">
      <c r="A45" s="35" t="s">
        <v>106</v>
      </c>
      <c r="B45" s="36">
        <f t="shared" si="1"/>
        <v>0</v>
      </c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8"/>
      <c r="AJ45" s="8"/>
      <c r="AK45" s="8"/>
      <c r="AL45" s="8"/>
      <c r="AM45" s="8"/>
      <c r="AN45" s="8"/>
      <c r="AO45" s="8"/>
      <c r="AP45" s="8"/>
      <c r="AQ45" s="8"/>
      <c r="AR45" s="8"/>
      <c r="AS45" s="10"/>
      <c r="AT45" s="8"/>
      <c r="AU45" s="8"/>
      <c r="AV45" s="10"/>
      <c r="AW45" s="8"/>
      <c r="AX45" s="8"/>
      <c r="AY45" s="10"/>
      <c r="AZ45" s="8"/>
      <c r="BA45" s="8"/>
      <c r="BB45" s="10"/>
    </row>
    <row r="46" ht="15.75" customHeight="1">
      <c r="A46" s="35" t="s">
        <v>16</v>
      </c>
      <c r="B46" s="36">
        <f t="shared" si="1"/>
        <v>0</v>
      </c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8"/>
      <c r="AJ46" s="8"/>
      <c r="AK46" s="8"/>
      <c r="AL46" s="8"/>
      <c r="AM46" s="8"/>
      <c r="AN46" s="8"/>
      <c r="AO46" s="8"/>
      <c r="AP46" s="8"/>
      <c r="AQ46" s="8"/>
      <c r="AR46" s="8"/>
      <c r="AS46" s="10"/>
      <c r="AT46" s="8"/>
      <c r="AU46" s="20"/>
      <c r="AV46" s="38"/>
      <c r="AW46" s="8"/>
      <c r="AX46" s="8"/>
      <c r="AY46" s="10"/>
      <c r="AZ46" s="8"/>
      <c r="BA46" s="8"/>
      <c r="BB46" s="10"/>
    </row>
    <row r="47" ht="15.75" customHeight="1">
      <c r="A47" s="35" t="s">
        <v>142</v>
      </c>
      <c r="B47" s="36">
        <f t="shared" si="1"/>
        <v>2.5</v>
      </c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20">
        <v>2.5</v>
      </c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8"/>
      <c r="AJ47" s="8"/>
      <c r="AK47" s="8"/>
      <c r="AL47" s="8"/>
      <c r="AM47" s="8"/>
      <c r="AN47" s="8"/>
      <c r="AO47" s="8"/>
      <c r="AP47" s="8"/>
      <c r="AQ47" s="8"/>
      <c r="AR47" s="20"/>
      <c r="AS47" s="37"/>
      <c r="AT47" s="8"/>
      <c r="AU47" s="20"/>
      <c r="AV47" s="38"/>
      <c r="AW47" s="8"/>
      <c r="AX47" s="8"/>
      <c r="AY47" s="10"/>
      <c r="AZ47" s="8"/>
      <c r="BA47" s="8"/>
      <c r="BB47" s="10"/>
    </row>
    <row r="48" ht="15.75" customHeight="1">
      <c r="A48" s="35" t="s">
        <v>251</v>
      </c>
      <c r="B48" s="36">
        <f t="shared" si="1"/>
        <v>0</v>
      </c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  <c r="AE48" s="8"/>
      <c r="AF48" s="8"/>
      <c r="AG48" s="8"/>
      <c r="AH48" s="8"/>
      <c r="AI48" s="8"/>
      <c r="AJ48" s="8"/>
      <c r="AK48" s="8"/>
      <c r="AL48" s="8"/>
      <c r="AM48" s="8"/>
      <c r="AN48" s="8"/>
      <c r="AO48" s="8"/>
      <c r="AP48" s="8"/>
      <c r="AQ48" s="8"/>
      <c r="AR48" s="8"/>
      <c r="AS48" s="10"/>
      <c r="AT48" s="8"/>
      <c r="AU48" s="8"/>
      <c r="AV48" s="10"/>
      <c r="AW48" s="8"/>
      <c r="AX48" s="8"/>
      <c r="AY48" s="10"/>
      <c r="AZ48" s="8"/>
      <c r="BA48" s="8"/>
      <c r="BB48" s="10"/>
    </row>
    <row r="49" ht="15.75" customHeight="1">
      <c r="A49" s="35" t="s">
        <v>322</v>
      </c>
      <c r="B49" s="36">
        <f t="shared" si="1"/>
        <v>0</v>
      </c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  <c r="AE49" s="8"/>
      <c r="AF49" s="8"/>
      <c r="AG49" s="8"/>
      <c r="AH49" s="8"/>
      <c r="AI49" s="8"/>
      <c r="AJ49" s="8"/>
      <c r="AK49" s="8"/>
      <c r="AL49" s="8"/>
      <c r="AM49" s="8"/>
      <c r="AN49" s="8"/>
      <c r="AO49" s="8"/>
      <c r="AP49" s="8"/>
      <c r="AQ49" s="8"/>
      <c r="AR49" s="8"/>
      <c r="AS49" s="10"/>
      <c r="AT49" s="8"/>
      <c r="AU49" s="8"/>
      <c r="AV49" s="10"/>
      <c r="AW49" s="8"/>
      <c r="AX49" s="8"/>
      <c r="AY49" s="10"/>
      <c r="AZ49" s="8"/>
      <c r="BA49" s="8"/>
      <c r="BB49" s="10"/>
    </row>
    <row r="50" ht="15.75" customHeight="1">
      <c r="A50" s="35" t="s">
        <v>109</v>
      </c>
      <c r="B50" s="36">
        <f t="shared" si="1"/>
        <v>0.5</v>
      </c>
      <c r="C50" s="8"/>
      <c r="D50" s="8"/>
      <c r="E50" s="8"/>
      <c r="F50" s="8"/>
      <c r="G50" s="8"/>
      <c r="H50" s="8"/>
      <c r="I50" s="20">
        <v>0.5</v>
      </c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  <c r="AE50" s="8"/>
      <c r="AF50" s="8"/>
      <c r="AG50" s="8"/>
      <c r="AH50" s="8"/>
      <c r="AI50" s="8"/>
      <c r="AJ50" s="8"/>
      <c r="AK50" s="8"/>
      <c r="AL50" s="8"/>
      <c r="AM50" s="8"/>
      <c r="AN50" s="8"/>
      <c r="AO50" s="8"/>
      <c r="AP50" s="8"/>
      <c r="AQ50" s="8"/>
      <c r="AR50" s="20"/>
      <c r="AS50" s="10"/>
      <c r="AT50" s="8"/>
      <c r="AU50" s="20"/>
      <c r="AV50" s="10"/>
      <c r="AW50" s="8"/>
      <c r="AX50" s="8"/>
      <c r="AY50" s="10"/>
      <c r="AZ50" s="8"/>
      <c r="BA50" s="8"/>
      <c r="BB50" s="10"/>
    </row>
    <row r="51" ht="15.75" customHeight="1">
      <c r="A51" s="35" t="s">
        <v>323</v>
      </c>
      <c r="B51" s="36">
        <f t="shared" si="1"/>
        <v>0</v>
      </c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  <c r="AE51" s="8"/>
      <c r="AF51" s="8"/>
      <c r="AG51" s="8"/>
      <c r="AH51" s="8"/>
      <c r="AI51" s="8"/>
      <c r="AJ51" s="8"/>
      <c r="AK51" s="8"/>
      <c r="AL51" s="8"/>
      <c r="AM51" s="8"/>
      <c r="AN51" s="8"/>
      <c r="AO51" s="8"/>
      <c r="AP51" s="8"/>
      <c r="AQ51" s="8"/>
      <c r="AR51" s="8"/>
      <c r="AS51" s="10"/>
      <c r="AT51" s="8"/>
      <c r="AU51" s="8"/>
      <c r="AV51" s="10"/>
      <c r="AW51" s="8"/>
      <c r="AX51" s="8"/>
      <c r="AY51" s="10"/>
      <c r="AZ51" s="8"/>
      <c r="BA51" s="8"/>
      <c r="BB51" s="10"/>
    </row>
    <row r="52" ht="15.75" customHeight="1">
      <c r="A52" s="35" t="s">
        <v>67</v>
      </c>
      <c r="B52" s="36">
        <f t="shared" si="1"/>
        <v>0</v>
      </c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  <c r="AD52" s="8"/>
      <c r="AE52" s="8"/>
      <c r="AF52" s="8"/>
      <c r="AG52" s="8"/>
      <c r="AH52" s="8"/>
      <c r="AI52" s="8"/>
      <c r="AJ52" s="8"/>
      <c r="AK52" s="8"/>
      <c r="AL52" s="8"/>
      <c r="AM52" s="8"/>
      <c r="AN52" s="8"/>
      <c r="AO52" s="8"/>
      <c r="AP52" s="8"/>
      <c r="AQ52" s="8"/>
      <c r="AR52" s="8"/>
      <c r="AS52" s="10"/>
      <c r="AT52" s="8"/>
      <c r="AU52" s="8"/>
      <c r="AV52" s="10"/>
      <c r="AW52" s="8"/>
      <c r="AX52" s="8"/>
      <c r="AY52" s="10"/>
      <c r="AZ52" s="8"/>
      <c r="BA52" s="8"/>
      <c r="BB52" s="10"/>
    </row>
    <row r="53" ht="15.75" customHeight="1">
      <c r="A53" s="35" t="s">
        <v>324</v>
      </c>
      <c r="B53" s="36">
        <f t="shared" si="1"/>
        <v>0</v>
      </c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  <c r="AC53" s="8"/>
      <c r="AD53" s="8"/>
      <c r="AE53" s="8"/>
      <c r="AF53" s="8"/>
      <c r="AG53" s="8"/>
      <c r="AH53" s="8"/>
      <c r="AI53" s="8"/>
      <c r="AJ53" s="8"/>
      <c r="AK53" s="8"/>
      <c r="AL53" s="8"/>
      <c r="AM53" s="8"/>
      <c r="AN53" s="8"/>
      <c r="AO53" s="8"/>
      <c r="AP53" s="8"/>
      <c r="AQ53" s="8"/>
      <c r="AR53" s="8"/>
      <c r="AS53" s="10"/>
      <c r="AT53" s="8"/>
      <c r="AU53" s="8"/>
      <c r="AV53" s="10"/>
      <c r="AW53" s="8"/>
      <c r="AX53" s="8"/>
      <c r="AY53" s="10"/>
      <c r="AZ53" s="8"/>
      <c r="BA53" s="8"/>
      <c r="BB53" s="10"/>
    </row>
    <row r="54" ht="15.75" customHeight="1">
      <c r="A54" s="35" t="s">
        <v>325</v>
      </c>
      <c r="B54" s="36">
        <f t="shared" si="1"/>
        <v>0</v>
      </c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  <c r="AC54" s="8"/>
      <c r="AD54" s="8"/>
      <c r="AE54" s="8"/>
      <c r="AF54" s="8"/>
      <c r="AG54" s="8"/>
      <c r="AH54" s="8"/>
      <c r="AI54" s="8"/>
      <c r="AJ54" s="8"/>
      <c r="AK54" s="8"/>
      <c r="AL54" s="8"/>
      <c r="AM54" s="8"/>
      <c r="AN54" s="8"/>
      <c r="AO54" s="8"/>
      <c r="AP54" s="8"/>
      <c r="AQ54" s="8"/>
      <c r="AR54" s="8"/>
      <c r="AS54" s="10"/>
      <c r="AT54" s="8"/>
      <c r="AU54" s="8"/>
      <c r="AV54" s="10"/>
      <c r="AW54" s="8"/>
      <c r="AX54" s="8"/>
      <c r="AY54" s="10"/>
      <c r="AZ54" s="8"/>
      <c r="BA54" s="8"/>
      <c r="BB54" s="10"/>
    </row>
    <row r="55" ht="15.75" customHeight="1">
      <c r="A55" s="35" t="s">
        <v>209</v>
      </c>
      <c r="B55" s="36">
        <f t="shared" si="1"/>
        <v>12.75</v>
      </c>
      <c r="C55" s="8"/>
      <c r="D55" s="20">
        <v>2.5</v>
      </c>
      <c r="E55" s="8"/>
      <c r="F55" s="21">
        <v>2.75</v>
      </c>
      <c r="G55" s="8"/>
      <c r="H55" s="20">
        <v>2.5</v>
      </c>
      <c r="I55" s="8"/>
      <c r="J55" s="20">
        <v>2.0</v>
      </c>
      <c r="K55" s="8"/>
      <c r="L55" s="8"/>
      <c r="M55" s="8"/>
      <c r="N55" s="8"/>
      <c r="O55" s="8"/>
      <c r="P55" s="8"/>
      <c r="Q55" s="20">
        <v>3.0</v>
      </c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  <c r="AD55" s="8"/>
      <c r="AE55" s="8"/>
      <c r="AF55" s="8"/>
      <c r="AG55" s="8"/>
      <c r="AH55" s="8"/>
      <c r="AI55" s="8"/>
      <c r="AJ55" s="8"/>
      <c r="AK55" s="8"/>
      <c r="AL55" s="8"/>
      <c r="AM55" s="8"/>
      <c r="AN55" s="8"/>
      <c r="AO55" s="8"/>
      <c r="AP55" s="8"/>
      <c r="AQ55" s="20"/>
      <c r="AR55" s="8"/>
      <c r="AS55" s="37"/>
      <c r="AT55" s="8"/>
      <c r="AU55" s="20"/>
      <c r="AV55" s="10"/>
      <c r="AW55" s="8"/>
      <c r="AX55" s="20"/>
      <c r="AY55" s="37"/>
      <c r="AZ55" s="20"/>
      <c r="BA55" s="8"/>
      <c r="BB55" s="37"/>
    </row>
    <row r="56" ht="15.75" customHeight="1">
      <c r="A56" s="35" t="s">
        <v>326</v>
      </c>
      <c r="B56" s="36">
        <f t="shared" si="1"/>
        <v>2.5</v>
      </c>
      <c r="C56" s="8"/>
      <c r="D56" s="20">
        <v>2.5</v>
      </c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  <c r="AC56" s="8"/>
      <c r="AD56" s="8"/>
      <c r="AE56" s="8"/>
      <c r="AF56" s="8"/>
      <c r="AG56" s="8"/>
      <c r="AH56" s="8"/>
      <c r="AI56" s="8"/>
      <c r="AJ56" s="8"/>
      <c r="AK56" s="8"/>
      <c r="AL56" s="8"/>
      <c r="AM56" s="8"/>
      <c r="AN56" s="8"/>
      <c r="AO56" s="8"/>
      <c r="AP56" s="8"/>
      <c r="AQ56" s="8"/>
      <c r="AR56" s="8"/>
      <c r="AS56" s="10"/>
      <c r="AT56" s="8"/>
      <c r="AU56" s="8"/>
      <c r="AV56" s="10"/>
      <c r="AW56" s="8"/>
      <c r="AX56" s="8"/>
      <c r="AY56" s="37"/>
      <c r="AZ56" s="20"/>
      <c r="BA56" s="8"/>
      <c r="BB56" s="10"/>
    </row>
    <row r="57" ht="15.75" customHeight="1">
      <c r="A57" s="35" t="s">
        <v>163</v>
      </c>
      <c r="B57" s="36">
        <f t="shared" si="1"/>
        <v>0</v>
      </c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  <c r="AE57" s="8"/>
      <c r="AF57" s="8"/>
      <c r="AG57" s="8"/>
      <c r="AH57" s="8"/>
      <c r="AI57" s="8"/>
      <c r="AJ57" s="8"/>
      <c r="AK57" s="8"/>
      <c r="AL57" s="8"/>
      <c r="AM57" s="8"/>
      <c r="AN57" s="8"/>
      <c r="AO57" s="8"/>
      <c r="AP57" s="8"/>
      <c r="AQ57" s="8"/>
      <c r="AR57" s="8"/>
      <c r="AS57" s="10"/>
      <c r="AT57" s="8"/>
      <c r="AU57" s="8"/>
      <c r="AV57" s="10"/>
      <c r="AW57" s="8"/>
      <c r="AX57" s="8"/>
      <c r="AY57" s="10"/>
      <c r="AZ57" s="8"/>
      <c r="BA57" s="8"/>
      <c r="BB57" s="10"/>
    </row>
    <row r="58" ht="15.75" customHeight="1">
      <c r="A58" s="35" t="s">
        <v>15</v>
      </c>
      <c r="B58" s="36">
        <f t="shared" si="1"/>
        <v>0</v>
      </c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  <c r="AD58" s="8"/>
      <c r="AE58" s="8"/>
      <c r="AF58" s="8"/>
      <c r="AG58" s="8"/>
      <c r="AH58" s="8"/>
      <c r="AI58" s="8"/>
      <c r="AJ58" s="8"/>
      <c r="AK58" s="8"/>
      <c r="AL58" s="8"/>
      <c r="AM58" s="8"/>
      <c r="AN58" s="8"/>
      <c r="AO58" s="8"/>
      <c r="AP58" s="8"/>
      <c r="AQ58" s="8"/>
      <c r="AR58" s="8"/>
      <c r="AS58" s="10"/>
      <c r="AT58" s="8"/>
      <c r="AU58" s="8"/>
      <c r="AV58" s="10"/>
      <c r="AW58" s="8"/>
      <c r="AX58" s="8"/>
      <c r="AY58" s="10"/>
      <c r="AZ58" s="8"/>
      <c r="BA58" s="8"/>
      <c r="BB58" s="10"/>
    </row>
    <row r="59" ht="15.75" customHeight="1">
      <c r="A59" s="35" t="s">
        <v>12</v>
      </c>
      <c r="B59" s="36">
        <f t="shared" si="1"/>
        <v>2.25</v>
      </c>
      <c r="C59" s="8"/>
      <c r="D59" s="20">
        <v>2.25</v>
      </c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  <c r="AD59" s="8"/>
      <c r="AE59" s="8"/>
      <c r="AF59" s="8"/>
      <c r="AG59" s="8"/>
      <c r="AH59" s="8"/>
      <c r="AI59" s="8"/>
      <c r="AJ59" s="8"/>
      <c r="AK59" s="8"/>
      <c r="AL59" s="8"/>
      <c r="AM59" s="8"/>
      <c r="AN59" s="8"/>
      <c r="AO59" s="8"/>
      <c r="AP59" s="8"/>
      <c r="AQ59" s="8"/>
      <c r="AR59" s="20"/>
      <c r="AS59" s="10"/>
      <c r="AT59" s="20"/>
      <c r="AU59" s="8"/>
      <c r="AV59" s="10"/>
      <c r="AW59" s="20"/>
      <c r="AX59" s="8"/>
      <c r="AY59" s="10"/>
      <c r="AZ59" s="20"/>
      <c r="BA59" s="8"/>
      <c r="BB59" s="10"/>
    </row>
    <row r="60" ht="15.75" customHeight="1">
      <c r="A60" s="35" t="s">
        <v>150</v>
      </c>
      <c r="B60" s="36">
        <f t="shared" si="1"/>
        <v>6.25</v>
      </c>
      <c r="C60" s="20">
        <v>2.0</v>
      </c>
      <c r="D60" s="8"/>
      <c r="E60" s="8"/>
      <c r="F60" s="8"/>
      <c r="G60" s="8"/>
      <c r="H60" s="8"/>
      <c r="I60" s="8"/>
      <c r="J60" s="20">
        <v>1.75</v>
      </c>
      <c r="K60" s="8"/>
      <c r="L60" s="8"/>
      <c r="M60" s="20">
        <v>2.5</v>
      </c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  <c r="AD60" s="8"/>
      <c r="AE60" s="8"/>
      <c r="AF60" s="8"/>
      <c r="AG60" s="8"/>
      <c r="AH60" s="8"/>
      <c r="AI60" s="8"/>
      <c r="AJ60" s="8"/>
      <c r="AK60" s="8"/>
      <c r="AL60" s="8"/>
      <c r="AM60" s="8"/>
      <c r="AN60" s="8"/>
      <c r="AO60" s="8"/>
      <c r="AP60" s="8"/>
      <c r="AQ60" s="20"/>
      <c r="AR60" s="20"/>
      <c r="AS60" s="37"/>
      <c r="AT60" s="20"/>
      <c r="AU60" s="8"/>
      <c r="AV60" s="10"/>
      <c r="AW60" s="20"/>
      <c r="AX60" s="8"/>
      <c r="AY60" s="10"/>
      <c r="AZ60" s="8"/>
      <c r="BA60" s="8"/>
      <c r="BB60" s="10"/>
    </row>
    <row r="61" ht="15.75" customHeight="1">
      <c r="A61" s="35" t="s">
        <v>327</v>
      </c>
      <c r="B61" s="36">
        <f t="shared" si="1"/>
        <v>0</v>
      </c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  <c r="AD61" s="8"/>
      <c r="AE61" s="8"/>
      <c r="AF61" s="8"/>
      <c r="AG61" s="8"/>
      <c r="AH61" s="8"/>
      <c r="AI61" s="8"/>
      <c r="AJ61" s="8"/>
      <c r="AK61" s="8"/>
      <c r="AL61" s="8"/>
      <c r="AM61" s="8"/>
      <c r="AN61" s="8"/>
      <c r="AO61" s="8"/>
      <c r="AP61" s="8"/>
      <c r="AQ61" s="8"/>
      <c r="AR61" s="8"/>
      <c r="AS61" s="10"/>
      <c r="AT61" s="8"/>
      <c r="AU61" s="8"/>
      <c r="AV61" s="10"/>
      <c r="AW61" s="8"/>
      <c r="AX61" s="8"/>
      <c r="AY61" s="10"/>
      <c r="AZ61" s="8"/>
      <c r="BA61" s="8"/>
      <c r="BB61" s="10"/>
    </row>
    <row r="62" ht="15.75" customHeight="1">
      <c r="A62" s="35" t="s">
        <v>328</v>
      </c>
      <c r="B62" s="36">
        <f t="shared" si="1"/>
        <v>0</v>
      </c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  <c r="AC62" s="8"/>
      <c r="AD62" s="8"/>
      <c r="AE62" s="8"/>
      <c r="AF62" s="8"/>
      <c r="AG62" s="8"/>
      <c r="AH62" s="8"/>
      <c r="AI62" s="8"/>
      <c r="AJ62" s="8"/>
      <c r="AK62" s="8"/>
      <c r="AL62" s="8"/>
      <c r="AM62" s="8"/>
      <c r="AN62" s="8"/>
      <c r="AO62" s="8"/>
      <c r="AP62" s="8"/>
      <c r="AQ62" s="8"/>
      <c r="AR62" s="8"/>
      <c r="AS62" s="10"/>
      <c r="AT62" s="8"/>
      <c r="AU62" s="8"/>
      <c r="AV62" s="10"/>
      <c r="AW62" s="8"/>
      <c r="AX62" s="8"/>
      <c r="AY62" s="10"/>
      <c r="AZ62" s="8"/>
      <c r="BA62" s="8"/>
      <c r="BB62" s="10"/>
    </row>
    <row r="63" ht="15.75" customHeight="1">
      <c r="A63" s="35" t="s">
        <v>99</v>
      </c>
      <c r="B63" s="36">
        <f t="shared" si="1"/>
        <v>0</v>
      </c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  <c r="AD63" s="8"/>
      <c r="AE63" s="8"/>
      <c r="AF63" s="8"/>
      <c r="AG63" s="8"/>
      <c r="AH63" s="8"/>
      <c r="AI63" s="8"/>
      <c r="AJ63" s="8"/>
      <c r="AK63" s="8"/>
      <c r="AL63" s="8"/>
      <c r="AM63" s="8"/>
      <c r="AN63" s="8"/>
      <c r="AO63" s="8"/>
      <c r="AP63" s="8"/>
      <c r="AQ63" s="8"/>
      <c r="AR63" s="8"/>
      <c r="AS63" s="10"/>
      <c r="AT63" s="8"/>
      <c r="AU63" s="8"/>
      <c r="AV63" s="10"/>
      <c r="AW63" s="8"/>
      <c r="AX63" s="8"/>
      <c r="AY63" s="10"/>
      <c r="AZ63" s="8"/>
      <c r="BA63" s="8"/>
      <c r="BB63" s="10"/>
    </row>
    <row r="64" ht="15.75" customHeight="1">
      <c r="A64" s="35" t="s">
        <v>329</v>
      </c>
      <c r="B64" s="36">
        <f t="shared" si="1"/>
        <v>0</v>
      </c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8"/>
      <c r="AH64" s="8"/>
      <c r="AI64" s="8"/>
      <c r="AJ64" s="8"/>
      <c r="AK64" s="8"/>
      <c r="AL64" s="8"/>
      <c r="AM64" s="8"/>
      <c r="AN64" s="8"/>
      <c r="AO64" s="8"/>
      <c r="AP64" s="8"/>
      <c r="AQ64" s="8"/>
      <c r="AR64" s="8"/>
      <c r="AS64" s="10"/>
      <c r="AT64" s="8"/>
      <c r="AU64" s="8"/>
      <c r="AV64" s="10"/>
      <c r="AW64" s="8"/>
      <c r="AX64" s="8"/>
      <c r="AY64" s="10"/>
      <c r="AZ64" s="8"/>
      <c r="BA64" s="8"/>
      <c r="BB64" s="10"/>
    </row>
    <row r="65" ht="15.75" customHeight="1">
      <c r="A65" s="35" t="s">
        <v>134</v>
      </c>
      <c r="B65" s="36">
        <f t="shared" si="1"/>
        <v>23.25</v>
      </c>
      <c r="C65" s="20">
        <v>2.0</v>
      </c>
      <c r="D65" s="8"/>
      <c r="E65" s="21">
        <v>2.25</v>
      </c>
      <c r="F65" s="21">
        <v>2.75</v>
      </c>
      <c r="G65" s="20">
        <v>3.5</v>
      </c>
      <c r="H65" s="20">
        <v>2.5</v>
      </c>
      <c r="I65" s="20">
        <v>2.75</v>
      </c>
      <c r="J65" s="20">
        <v>2.0</v>
      </c>
      <c r="K65" s="8"/>
      <c r="L65" s="8"/>
      <c r="M65" s="8"/>
      <c r="N65" s="8"/>
      <c r="O65" s="20">
        <v>2.5</v>
      </c>
      <c r="P65" s="8"/>
      <c r="Q65" s="20">
        <v>3.0</v>
      </c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  <c r="AE65" s="8"/>
      <c r="AF65" s="8"/>
      <c r="AG65" s="8"/>
      <c r="AH65" s="8"/>
      <c r="AI65" s="8"/>
      <c r="AJ65" s="8"/>
      <c r="AK65" s="8"/>
      <c r="AL65" s="8"/>
      <c r="AM65" s="8"/>
      <c r="AN65" s="8"/>
      <c r="AO65" s="8"/>
      <c r="AP65" s="8"/>
      <c r="AQ65" s="20"/>
      <c r="AR65" s="20"/>
      <c r="AS65" s="37"/>
      <c r="AT65" s="20"/>
      <c r="AU65" s="8"/>
      <c r="AV65" s="38"/>
      <c r="AW65" s="20"/>
      <c r="AX65" s="20"/>
      <c r="AY65" s="37"/>
      <c r="AZ65" s="20"/>
      <c r="BA65" s="20"/>
      <c r="BB65" s="10"/>
    </row>
    <row r="66" ht="15.75" customHeight="1">
      <c r="A66" s="35" t="s">
        <v>330</v>
      </c>
      <c r="B66" s="36">
        <f t="shared" si="1"/>
        <v>0</v>
      </c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  <c r="AD66" s="8"/>
      <c r="AE66" s="8"/>
      <c r="AF66" s="8"/>
      <c r="AG66" s="8"/>
      <c r="AH66" s="8"/>
      <c r="AI66" s="8"/>
      <c r="AJ66" s="8"/>
      <c r="AK66" s="8"/>
      <c r="AL66" s="8"/>
      <c r="AM66" s="8"/>
      <c r="AN66" s="8"/>
      <c r="AO66" s="8"/>
      <c r="AP66" s="8"/>
      <c r="AQ66" s="8"/>
      <c r="AR66" s="8"/>
      <c r="AS66" s="10"/>
      <c r="AT66" s="8"/>
      <c r="AU66" s="8"/>
      <c r="AV66" s="10"/>
      <c r="AW66" s="8"/>
      <c r="AX66" s="8"/>
      <c r="AY66" s="10"/>
      <c r="AZ66" s="8"/>
      <c r="BA66" s="8"/>
      <c r="BB66" s="10"/>
    </row>
    <row r="67" ht="15.75" customHeight="1">
      <c r="A67" s="35" t="s">
        <v>331</v>
      </c>
      <c r="B67" s="36">
        <f t="shared" si="1"/>
        <v>2</v>
      </c>
      <c r="C67" s="8"/>
      <c r="D67" s="8"/>
      <c r="E67" s="8"/>
      <c r="F67" s="8"/>
      <c r="G67" s="8"/>
      <c r="H67" s="8"/>
      <c r="I67" s="8"/>
      <c r="J67" s="8"/>
      <c r="K67" s="21">
        <v>2.0</v>
      </c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  <c r="AD67" s="8"/>
      <c r="AE67" s="8"/>
      <c r="AF67" s="8"/>
      <c r="AG67" s="8"/>
      <c r="AH67" s="8"/>
      <c r="AI67" s="8"/>
      <c r="AJ67" s="8"/>
      <c r="AK67" s="8"/>
      <c r="AL67" s="8"/>
      <c r="AM67" s="8"/>
      <c r="AN67" s="8"/>
      <c r="AO67" s="8"/>
      <c r="AP67" s="8"/>
      <c r="AQ67" s="8"/>
      <c r="AR67" s="20"/>
      <c r="AS67" s="10"/>
      <c r="AT67" s="8"/>
      <c r="AU67" s="20"/>
      <c r="AV67" s="10"/>
      <c r="AW67" s="8"/>
      <c r="AX67" s="8"/>
      <c r="AY67" s="37"/>
      <c r="AZ67" s="8"/>
      <c r="BA67" s="20"/>
      <c r="BB67" s="10"/>
    </row>
    <row r="68" ht="15.75" customHeight="1">
      <c r="A68" s="35" t="s">
        <v>332</v>
      </c>
      <c r="B68" s="36">
        <f t="shared" si="1"/>
        <v>0</v>
      </c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  <c r="AD68" s="8"/>
      <c r="AE68" s="8"/>
      <c r="AF68" s="8"/>
      <c r="AG68" s="8"/>
      <c r="AH68" s="8"/>
      <c r="AI68" s="8"/>
      <c r="AJ68" s="8"/>
      <c r="AK68" s="8"/>
      <c r="AL68" s="8"/>
      <c r="AM68" s="8"/>
      <c r="AN68" s="8"/>
      <c r="AO68" s="8"/>
      <c r="AP68" s="8"/>
      <c r="AQ68" s="8"/>
      <c r="AR68" s="8"/>
      <c r="AS68" s="10"/>
      <c r="AT68" s="8"/>
      <c r="AU68" s="8"/>
      <c r="AV68" s="10"/>
      <c r="AW68" s="8"/>
      <c r="AX68" s="8"/>
      <c r="AY68" s="10"/>
      <c r="AZ68" s="8"/>
      <c r="BA68" s="8"/>
      <c r="BB68" s="10"/>
    </row>
    <row r="69" ht="15.75" customHeight="1">
      <c r="A69" s="35" t="s">
        <v>333</v>
      </c>
      <c r="B69" s="36">
        <f t="shared" si="1"/>
        <v>5.25</v>
      </c>
      <c r="C69" s="8"/>
      <c r="D69" s="8"/>
      <c r="E69" s="8"/>
      <c r="F69" s="8"/>
      <c r="G69" s="8"/>
      <c r="H69" s="8"/>
      <c r="I69" s="8"/>
      <c r="J69" s="20">
        <v>1.5</v>
      </c>
      <c r="K69" s="8"/>
      <c r="L69" s="20">
        <v>2.0</v>
      </c>
      <c r="M69" s="8"/>
      <c r="N69" s="8"/>
      <c r="O69" s="8"/>
      <c r="P69" s="20">
        <v>1.75</v>
      </c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  <c r="AE69" s="8"/>
      <c r="AF69" s="8"/>
      <c r="AG69" s="8"/>
      <c r="AH69" s="8"/>
      <c r="AI69" s="8"/>
      <c r="AJ69" s="8"/>
      <c r="AK69" s="8"/>
      <c r="AL69" s="8"/>
      <c r="AM69" s="8"/>
      <c r="AN69" s="8"/>
      <c r="AO69" s="8"/>
      <c r="AP69" s="8"/>
      <c r="AQ69" s="8"/>
      <c r="AR69" s="20"/>
      <c r="AS69" s="37"/>
      <c r="AT69" s="8"/>
      <c r="AU69" s="8"/>
      <c r="AV69" s="10"/>
      <c r="AW69" s="20"/>
      <c r="AX69" s="20"/>
      <c r="AY69" s="37"/>
      <c r="AZ69" s="8"/>
      <c r="BA69" s="20"/>
      <c r="BB69" s="10"/>
    </row>
    <row r="70" ht="15.75" customHeight="1">
      <c r="A70" s="35" t="s">
        <v>334</v>
      </c>
      <c r="B70" s="36">
        <f t="shared" si="1"/>
        <v>2.5</v>
      </c>
      <c r="C70" s="8"/>
      <c r="D70" s="8"/>
      <c r="E70" s="8"/>
      <c r="F70" s="8"/>
      <c r="G70" s="8"/>
      <c r="H70" s="8"/>
      <c r="I70" s="8"/>
      <c r="J70" s="8"/>
      <c r="K70" s="21">
        <v>2.5</v>
      </c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/>
      <c r="AF70" s="8"/>
      <c r="AG70" s="8"/>
      <c r="AH70" s="8"/>
      <c r="AI70" s="8"/>
      <c r="AJ70" s="8"/>
      <c r="AK70" s="8"/>
      <c r="AL70" s="8"/>
      <c r="AM70" s="8"/>
      <c r="AN70" s="8"/>
      <c r="AO70" s="8"/>
      <c r="AP70" s="8"/>
      <c r="AQ70" s="20"/>
      <c r="AR70" s="8"/>
      <c r="AS70" s="10"/>
      <c r="AT70" s="8"/>
      <c r="AU70" s="8"/>
      <c r="AV70" s="10"/>
      <c r="AW70" s="8"/>
      <c r="AX70" s="8"/>
      <c r="AY70" s="10"/>
      <c r="AZ70" s="8"/>
      <c r="BA70" s="8"/>
      <c r="BB70" s="10"/>
    </row>
    <row r="71" ht="15.75" customHeight="1">
      <c r="A71" s="35" t="s">
        <v>335</v>
      </c>
      <c r="B71" s="36">
        <f t="shared" si="1"/>
        <v>0</v>
      </c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  <c r="AE71" s="8"/>
      <c r="AF71" s="8"/>
      <c r="AG71" s="8"/>
      <c r="AH71" s="8"/>
      <c r="AI71" s="8"/>
      <c r="AJ71" s="8"/>
      <c r="AK71" s="8"/>
      <c r="AL71" s="8"/>
      <c r="AM71" s="8"/>
      <c r="AN71" s="8"/>
      <c r="AO71" s="8"/>
      <c r="AP71" s="8"/>
      <c r="AQ71" s="8"/>
      <c r="AR71" s="8"/>
      <c r="AS71" s="10"/>
      <c r="AT71" s="8"/>
      <c r="AU71" s="8"/>
      <c r="AV71" s="10"/>
      <c r="AW71" s="8"/>
      <c r="AX71" s="8"/>
      <c r="AY71" s="10"/>
      <c r="AZ71" s="8"/>
      <c r="BA71" s="8"/>
      <c r="BB71" s="10"/>
    </row>
    <row r="72" ht="15.75" customHeight="1">
      <c r="A72" s="35" t="s">
        <v>156</v>
      </c>
      <c r="B72" s="36">
        <f t="shared" si="1"/>
        <v>0</v>
      </c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  <c r="AD72" s="8"/>
      <c r="AE72" s="8"/>
      <c r="AF72" s="8"/>
      <c r="AG72" s="8"/>
      <c r="AH72" s="8"/>
      <c r="AI72" s="8"/>
      <c r="AJ72" s="8"/>
      <c r="AK72" s="8"/>
      <c r="AL72" s="8"/>
      <c r="AM72" s="8"/>
      <c r="AN72" s="8"/>
      <c r="AO72" s="8"/>
      <c r="AP72" s="8"/>
      <c r="AQ72" s="20"/>
      <c r="AR72" s="8"/>
      <c r="AS72" s="10"/>
      <c r="AT72" s="20"/>
      <c r="AU72" s="8"/>
      <c r="AV72" s="10"/>
      <c r="AW72" s="8"/>
      <c r="AX72" s="8"/>
      <c r="AY72" s="10"/>
      <c r="AZ72" s="8"/>
      <c r="BA72" s="8"/>
      <c r="BB72" s="37"/>
    </row>
    <row r="73" ht="15.75" customHeight="1">
      <c r="A73" s="35" t="s">
        <v>148</v>
      </c>
      <c r="B73" s="36">
        <f t="shared" si="1"/>
        <v>0</v>
      </c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  <c r="AD73" s="8"/>
      <c r="AE73" s="8"/>
      <c r="AF73" s="8"/>
      <c r="AG73" s="8"/>
      <c r="AH73" s="8"/>
      <c r="AI73" s="8"/>
      <c r="AJ73" s="8"/>
      <c r="AK73" s="8"/>
      <c r="AL73" s="8"/>
      <c r="AM73" s="8"/>
      <c r="AN73" s="8"/>
      <c r="AO73" s="8"/>
      <c r="AP73" s="8"/>
      <c r="AQ73" s="8"/>
      <c r="AR73" s="8"/>
      <c r="AS73" s="10"/>
      <c r="AT73" s="8"/>
      <c r="AU73" s="8"/>
      <c r="AV73" s="10"/>
      <c r="AW73" s="8"/>
      <c r="AX73" s="8"/>
      <c r="AY73" s="10"/>
      <c r="AZ73" s="8"/>
      <c r="BA73" s="8"/>
      <c r="BB73" s="10"/>
    </row>
    <row r="74" ht="15.75" customHeight="1">
      <c r="A74" s="35" t="s">
        <v>265</v>
      </c>
      <c r="B74" s="36">
        <f t="shared" si="1"/>
        <v>4.75</v>
      </c>
      <c r="C74" s="8"/>
      <c r="D74" s="8"/>
      <c r="E74" s="21">
        <v>2.25</v>
      </c>
      <c r="F74" s="8"/>
      <c r="G74" s="8"/>
      <c r="H74" s="8"/>
      <c r="I74" s="20">
        <v>2.5</v>
      </c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  <c r="AD74" s="8"/>
      <c r="AE74" s="8"/>
      <c r="AF74" s="8"/>
      <c r="AG74" s="8"/>
      <c r="AH74" s="8"/>
      <c r="AI74" s="8"/>
      <c r="AJ74" s="8"/>
      <c r="AK74" s="8"/>
      <c r="AL74" s="8"/>
      <c r="AM74" s="8"/>
      <c r="AN74" s="8"/>
      <c r="AO74" s="8"/>
      <c r="AP74" s="8"/>
      <c r="AQ74" s="8"/>
      <c r="AR74" s="20"/>
      <c r="AS74" s="10"/>
      <c r="AT74" s="8"/>
      <c r="AU74" s="8"/>
      <c r="AV74" s="10"/>
      <c r="AW74" s="8"/>
      <c r="AX74" s="8"/>
      <c r="AY74" s="10"/>
      <c r="AZ74" s="8"/>
      <c r="BA74" s="8"/>
      <c r="BB74" s="10"/>
    </row>
    <row r="75" ht="15.75" customHeight="1">
      <c r="A75" s="35" t="s">
        <v>149</v>
      </c>
      <c r="B75" s="36">
        <f t="shared" si="1"/>
        <v>0</v>
      </c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  <c r="AD75" s="8"/>
      <c r="AE75" s="8"/>
      <c r="AF75" s="8"/>
      <c r="AG75" s="8"/>
      <c r="AH75" s="8"/>
      <c r="AI75" s="8"/>
      <c r="AJ75" s="8"/>
      <c r="AK75" s="8"/>
      <c r="AL75" s="8"/>
      <c r="AM75" s="8"/>
      <c r="AN75" s="8"/>
      <c r="AO75" s="8"/>
      <c r="AP75" s="8"/>
      <c r="AQ75" s="8"/>
      <c r="AR75" s="8"/>
      <c r="AS75" s="10"/>
      <c r="AT75" s="8"/>
      <c r="AU75" s="8"/>
      <c r="AV75" s="10"/>
      <c r="AW75" s="8"/>
      <c r="AX75" s="8"/>
      <c r="AY75" s="10"/>
      <c r="AZ75" s="8"/>
      <c r="BA75" s="8"/>
      <c r="BB75" s="10"/>
    </row>
    <row r="76" ht="15.75" customHeight="1">
      <c r="A76" s="39" t="s">
        <v>336</v>
      </c>
      <c r="B76" s="36">
        <f t="shared" si="1"/>
        <v>0</v>
      </c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  <c r="AE76" s="8"/>
      <c r="AF76" s="8"/>
      <c r="AG76" s="8"/>
      <c r="AH76" s="8"/>
      <c r="AI76" s="8"/>
      <c r="AJ76" s="8"/>
      <c r="AK76" s="8"/>
      <c r="AL76" s="8"/>
      <c r="AM76" s="8"/>
      <c r="AN76" s="8"/>
      <c r="AO76" s="8"/>
      <c r="AP76" s="8"/>
      <c r="AQ76" s="20"/>
      <c r="AR76" s="8"/>
      <c r="AS76" s="10"/>
      <c r="AT76" s="8"/>
      <c r="AU76" s="8"/>
      <c r="AV76" s="10"/>
      <c r="AW76" s="8"/>
      <c r="AX76" s="8"/>
      <c r="AY76" s="10"/>
      <c r="AZ76" s="8"/>
      <c r="BA76" s="8"/>
      <c r="BB76" s="10"/>
    </row>
    <row r="77" ht="15.75" customHeight="1">
      <c r="A77" s="39" t="s">
        <v>337</v>
      </c>
      <c r="B77" s="36">
        <f t="shared" si="1"/>
        <v>0</v>
      </c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  <c r="AE77" s="8"/>
      <c r="AF77" s="8"/>
      <c r="AG77" s="8"/>
      <c r="AH77" s="8"/>
      <c r="AI77" s="8"/>
      <c r="AJ77" s="8"/>
      <c r="AK77" s="8"/>
      <c r="AL77" s="8"/>
      <c r="AM77" s="8"/>
      <c r="AN77" s="8"/>
      <c r="AO77" s="8"/>
      <c r="AP77" s="8"/>
      <c r="AQ77" s="20"/>
      <c r="AR77" s="8"/>
      <c r="AS77" s="10"/>
      <c r="AT77" s="20"/>
      <c r="AU77" s="8"/>
      <c r="AV77" s="10"/>
      <c r="AW77" s="8"/>
      <c r="AX77" s="8"/>
      <c r="AY77" s="10"/>
      <c r="AZ77" s="8"/>
      <c r="BA77" s="8"/>
      <c r="BB77" s="10"/>
    </row>
    <row r="78" ht="15.75" customHeight="1">
      <c r="A78" s="39" t="s">
        <v>23</v>
      </c>
      <c r="B78" s="36">
        <f t="shared" si="1"/>
        <v>0</v>
      </c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  <c r="AD78" s="8"/>
      <c r="AE78" s="8"/>
      <c r="AF78" s="8"/>
      <c r="AG78" s="8"/>
      <c r="AH78" s="8"/>
      <c r="AI78" s="8"/>
      <c r="AJ78" s="8"/>
      <c r="AK78" s="8"/>
      <c r="AL78" s="8"/>
      <c r="AM78" s="8"/>
      <c r="AN78" s="8"/>
      <c r="AO78" s="8"/>
      <c r="AP78" s="8"/>
      <c r="AQ78" s="8"/>
      <c r="AR78" s="20"/>
      <c r="AS78" s="10"/>
      <c r="AT78" s="8"/>
      <c r="AU78" s="8"/>
      <c r="AV78" s="10"/>
      <c r="AW78" s="8"/>
      <c r="AX78" s="8"/>
      <c r="AY78" s="10"/>
      <c r="AZ78" s="8"/>
      <c r="BA78" s="8"/>
      <c r="BB78" s="10"/>
    </row>
    <row r="79" ht="15.75" customHeight="1">
      <c r="A79" s="39" t="s">
        <v>122</v>
      </c>
      <c r="B79" s="36">
        <f t="shared" si="1"/>
        <v>0</v>
      </c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  <c r="AD79" s="8"/>
      <c r="AE79" s="8"/>
      <c r="AF79" s="8"/>
      <c r="AG79" s="8"/>
      <c r="AH79" s="8"/>
      <c r="AI79" s="8"/>
      <c r="AJ79" s="8"/>
      <c r="AK79" s="8"/>
      <c r="AL79" s="8"/>
      <c r="AM79" s="8"/>
      <c r="AN79" s="8"/>
      <c r="AO79" s="8"/>
      <c r="AP79" s="8"/>
      <c r="AQ79" s="8"/>
      <c r="AR79" s="8"/>
      <c r="AS79" s="37"/>
      <c r="AT79" s="8"/>
      <c r="AU79" s="8"/>
      <c r="AV79" s="10"/>
      <c r="AW79" s="8"/>
      <c r="AX79" s="8"/>
      <c r="AY79" s="10"/>
      <c r="AZ79" s="8"/>
      <c r="BA79" s="8"/>
      <c r="BB79" s="10"/>
    </row>
    <row r="80" ht="15.75" customHeight="1">
      <c r="A80" s="39" t="s">
        <v>338</v>
      </c>
      <c r="B80" s="36">
        <f t="shared" si="1"/>
        <v>0</v>
      </c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  <c r="AE80" s="8"/>
      <c r="AF80" s="8"/>
      <c r="AG80" s="8"/>
      <c r="AH80" s="8"/>
      <c r="AI80" s="8"/>
      <c r="AJ80" s="8"/>
      <c r="AK80" s="8"/>
      <c r="AL80" s="8"/>
      <c r="AM80" s="8"/>
      <c r="AN80" s="8"/>
      <c r="AO80" s="8"/>
      <c r="AP80" s="8"/>
      <c r="AQ80" s="8"/>
      <c r="AR80" s="8"/>
      <c r="AS80" s="37"/>
      <c r="AT80" s="8"/>
      <c r="AU80" s="8"/>
      <c r="AV80" s="10"/>
      <c r="AW80" s="8"/>
      <c r="AX80" s="8"/>
      <c r="AY80" s="10"/>
      <c r="AZ80" s="8"/>
      <c r="BA80" s="8"/>
      <c r="BB80" s="10"/>
    </row>
    <row r="81" ht="15.75" customHeight="1">
      <c r="A81" s="39" t="s">
        <v>339</v>
      </c>
      <c r="B81" s="36">
        <f t="shared" si="1"/>
        <v>3.5</v>
      </c>
      <c r="C81" s="8"/>
      <c r="D81" s="8"/>
      <c r="E81" s="8"/>
      <c r="F81" s="8"/>
      <c r="G81" s="20">
        <v>3.5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  <c r="AD81" s="8"/>
      <c r="AE81" s="8"/>
      <c r="AF81" s="8"/>
      <c r="AG81" s="8"/>
      <c r="AH81" s="8"/>
      <c r="AI81" s="8"/>
      <c r="AJ81" s="8"/>
      <c r="AK81" s="8"/>
      <c r="AL81" s="8"/>
      <c r="AM81" s="8"/>
      <c r="AN81" s="8"/>
      <c r="AO81" s="8"/>
      <c r="AP81" s="8"/>
      <c r="AQ81" s="8"/>
      <c r="AR81" s="8"/>
      <c r="AS81" s="37"/>
      <c r="AT81" s="8"/>
      <c r="AU81" s="20"/>
      <c r="AV81" s="10"/>
      <c r="AW81" s="8"/>
      <c r="AX81" s="8"/>
      <c r="AY81" s="10"/>
      <c r="AZ81" s="8"/>
      <c r="BA81" s="8"/>
      <c r="BB81" s="10"/>
    </row>
    <row r="82" ht="15.75" customHeight="1">
      <c r="A82" s="39" t="s">
        <v>340</v>
      </c>
      <c r="B82" s="36">
        <f t="shared" si="1"/>
        <v>0</v>
      </c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  <c r="AD82" s="8"/>
      <c r="AE82" s="8"/>
      <c r="AF82" s="8"/>
      <c r="AG82" s="8"/>
      <c r="AH82" s="8"/>
      <c r="AI82" s="8"/>
      <c r="AJ82" s="8"/>
      <c r="AK82" s="8"/>
      <c r="AL82" s="8"/>
      <c r="AM82" s="8"/>
      <c r="AN82" s="8"/>
      <c r="AO82" s="8"/>
      <c r="AP82" s="8"/>
      <c r="AQ82" s="8"/>
      <c r="AR82" s="8"/>
      <c r="AS82" s="37"/>
      <c r="AT82" s="8"/>
      <c r="AU82" s="8"/>
      <c r="AV82" s="10"/>
      <c r="AW82" s="8"/>
      <c r="AX82" s="8"/>
      <c r="AY82" s="10"/>
      <c r="AZ82" s="8"/>
      <c r="BA82" s="8"/>
      <c r="BB82" s="10"/>
    </row>
    <row r="83" ht="15.75" customHeight="1">
      <c r="A83" s="39" t="s">
        <v>341</v>
      </c>
      <c r="B83" s="36">
        <f t="shared" si="1"/>
        <v>0</v>
      </c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  <c r="AE83" s="8"/>
      <c r="AF83" s="8"/>
      <c r="AG83" s="8"/>
      <c r="AH83" s="8"/>
      <c r="AI83" s="8"/>
      <c r="AJ83" s="8"/>
      <c r="AK83" s="8"/>
      <c r="AL83" s="8"/>
      <c r="AM83" s="8"/>
      <c r="AN83" s="8"/>
      <c r="AO83" s="8"/>
      <c r="AP83" s="8"/>
      <c r="AQ83" s="8"/>
      <c r="AR83" s="8"/>
      <c r="AS83" s="10"/>
      <c r="AT83" s="20"/>
      <c r="AU83" s="8"/>
      <c r="AV83" s="10"/>
      <c r="AW83" s="8"/>
      <c r="AX83" s="8"/>
      <c r="AY83" s="10"/>
      <c r="AZ83" s="8"/>
      <c r="BA83" s="8"/>
      <c r="BB83" s="10"/>
    </row>
    <row r="84" ht="15.75" customHeight="1">
      <c r="A84" s="39" t="s">
        <v>342</v>
      </c>
      <c r="B84" s="36">
        <f t="shared" si="1"/>
        <v>0</v>
      </c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  <c r="AE84" s="8"/>
      <c r="AF84" s="8"/>
      <c r="AG84" s="8"/>
      <c r="AH84" s="8"/>
      <c r="AI84" s="8"/>
      <c r="AJ84" s="8"/>
      <c r="AK84" s="8"/>
      <c r="AL84" s="8"/>
      <c r="AM84" s="8"/>
      <c r="AN84" s="8"/>
      <c r="AO84" s="8"/>
      <c r="AP84" s="8"/>
      <c r="AQ84" s="8"/>
      <c r="AR84" s="8"/>
      <c r="AS84" s="10"/>
      <c r="AT84" s="20"/>
      <c r="AU84" s="8"/>
      <c r="AV84" s="10"/>
      <c r="AW84" s="8"/>
      <c r="AX84" s="8"/>
      <c r="AY84" s="10"/>
      <c r="AZ84" s="20"/>
      <c r="BA84" s="8"/>
      <c r="BB84" s="10"/>
    </row>
    <row r="85" ht="15.75" customHeight="1">
      <c r="A85" s="39" t="s">
        <v>281</v>
      </c>
      <c r="B85" s="36">
        <f t="shared" si="1"/>
        <v>2.25</v>
      </c>
      <c r="C85" s="8"/>
      <c r="D85" s="20">
        <v>2.25</v>
      </c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  <c r="AE85" s="8"/>
      <c r="AF85" s="8"/>
      <c r="AG85" s="8"/>
      <c r="AH85" s="8"/>
      <c r="AI85" s="8"/>
      <c r="AJ85" s="8"/>
      <c r="AK85" s="8"/>
      <c r="AL85" s="8"/>
      <c r="AM85" s="8"/>
      <c r="AN85" s="8"/>
      <c r="AO85" s="8"/>
      <c r="AP85" s="8"/>
      <c r="AQ85" s="8"/>
      <c r="AR85" s="8"/>
      <c r="AS85" s="10"/>
      <c r="AT85" s="20"/>
      <c r="AU85" s="8"/>
      <c r="AV85" s="10"/>
      <c r="AW85" s="8"/>
      <c r="AX85" s="8"/>
      <c r="AY85" s="10"/>
      <c r="AZ85" s="20"/>
      <c r="BA85" s="8"/>
      <c r="BB85" s="10"/>
    </row>
    <row r="86" ht="15.75" customHeight="1">
      <c r="A86" s="39" t="s">
        <v>186</v>
      </c>
      <c r="B86" s="36">
        <f t="shared" si="1"/>
        <v>0</v>
      </c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  <c r="AE86" s="8"/>
      <c r="AF86" s="8"/>
      <c r="AG86" s="8"/>
      <c r="AH86" s="8"/>
      <c r="AI86" s="8"/>
      <c r="AJ86" s="8"/>
      <c r="AK86" s="8"/>
      <c r="AL86" s="8"/>
      <c r="AM86" s="8"/>
      <c r="AN86" s="8"/>
      <c r="AO86" s="8"/>
      <c r="AP86" s="8"/>
      <c r="AQ86" s="8"/>
      <c r="AR86" s="8"/>
      <c r="AS86" s="10"/>
      <c r="AT86" s="20"/>
      <c r="AU86" s="8"/>
      <c r="AV86" s="10"/>
      <c r="AW86" s="8"/>
      <c r="AX86" s="8"/>
      <c r="AY86" s="10"/>
      <c r="AZ86" s="8"/>
      <c r="BA86" s="8"/>
      <c r="BB86" s="10"/>
    </row>
    <row r="87" ht="15.75" customHeight="1">
      <c r="A87" s="39" t="s">
        <v>343</v>
      </c>
      <c r="B87" s="36">
        <f t="shared" si="1"/>
        <v>0</v>
      </c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  <c r="AD87" s="8"/>
      <c r="AE87" s="8"/>
      <c r="AF87" s="8"/>
      <c r="AG87" s="8"/>
      <c r="AH87" s="8"/>
      <c r="AI87" s="8"/>
      <c r="AJ87" s="8"/>
      <c r="AK87" s="8"/>
      <c r="AL87" s="8"/>
      <c r="AM87" s="8"/>
      <c r="AN87" s="8"/>
      <c r="AO87" s="8"/>
      <c r="AP87" s="8"/>
      <c r="AQ87" s="8"/>
      <c r="AR87" s="8"/>
      <c r="AS87" s="10"/>
      <c r="AT87" s="20"/>
      <c r="AU87" s="8"/>
      <c r="AV87" s="10"/>
      <c r="AW87" s="8"/>
      <c r="AX87" s="8"/>
      <c r="AY87" s="10"/>
      <c r="AZ87" s="8"/>
      <c r="BA87" s="8"/>
      <c r="BB87" s="10"/>
    </row>
    <row r="88" ht="15.75" customHeight="1">
      <c r="A88" s="39" t="s">
        <v>155</v>
      </c>
      <c r="B88" s="36">
        <f t="shared" si="1"/>
        <v>2.5</v>
      </c>
      <c r="C88" s="8"/>
      <c r="D88" s="20">
        <v>2.5</v>
      </c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  <c r="AE88" s="8"/>
      <c r="AF88" s="8"/>
      <c r="AG88" s="8"/>
      <c r="AH88" s="8"/>
      <c r="AI88" s="8"/>
      <c r="AJ88" s="8"/>
      <c r="AK88" s="8"/>
      <c r="AL88" s="8"/>
      <c r="AM88" s="8"/>
      <c r="AN88" s="8"/>
      <c r="AO88" s="8"/>
      <c r="AP88" s="8"/>
      <c r="AQ88" s="8"/>
      <c r="AR88" s="8"/>
      <c r="AS88" s="10"/>
      <c r="AT88" s="20"/>
      <c r="AU88" s="20"/>
      <c r="AV88" s="38"/>
      <c r="AW88" s="20"/>
      <c r="AX88" s="20"/>
      <c r="AY88" s="10"/>
      <c r="AZ88" s="8"/>
      <c r="BA88" s="8"/>
      <c r="BB88" s="37"/>
    </row>
    <row r="89" ht="15.75" customHeight="1">
      <c r="A89" s="39" t="s">
        <v>344</v>
      </c>
      <c r="B89" s="36">
        <f t="shared" si="1"/>
        <v>0</v>
      </c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  <c r="AE89" s="8"/>
      <c r="AF89" s="8"/>
      <c r="AG89" s="8"/>
      <c r="AH89" s="8"/>
      <c r="AI89" s="8"/>
      <c r="AJ89" s="8"/>
      <c r="AK89" s="8"/>
      <c r="AL89" s="8"/>
      <c r="AM89" s="8"/>
      <c r="AN89" s="8"/>
      <c r="AO89" s="8"/>
      <c r="AP89" s="8"/>
      <c r="AQ89" s="8"/>
      <c r="AR89" s="8"/>
      <c r="AS89" s="10"/>
      <c r="AT89" s="8"/>
      <c r="AU89" s="20"/>
      <c r="AV89" s="10"/>
      <c r="AW89" s="8"/>
      <c r="AX89" s="8"/>
      <c r="AY89" s="10"/>
      <c r="AZ89" s="8"/>
      <c r="BA89" s="8"/>
      <c r="BB89" s="10"/>
    </row>
    <row r="90" ht="15.75" customHeight="1">
      <c r="A90" s="39" t="s">
        <v>141</v>
      </c>
      <c r="B90" s="36">
        <f t="shared" si="1"/>
        <v>0</v>
      </c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  <c r="AD90" s="8"/>
      <c r="AE90" s="8"/>
      <c r="AF90" s="8"/>
      <c r="AG90" s="8"/>
      <c r="AH90" s="8"/>
      <c r="AI90" s="8"/>
      <c r="AJ90" s="8"/>
      <c r="AK90" s="8"/>
      <c r="AL90" s="8"/>
      <c r="AM90" s="8"/>
      <c r="AN90" s="8"/>
      <c r="AO90" s="8"/>
      <c r="AP90" s="8"/>
      <c r="AQ90" s="8"/>
      <c r="AR90" s="8"/>
      <c r="AS90" s="10"/>
      <c r="AT90" s="8"/>
      <c r="AU90" s="20"/>
      <c r="AV90" s="10"/>
      <c r="AW90" s="8"/>
      <c r="AX90" s="8"/>
      <c r="AY90" s="10"/>
      <c r="AZ90" s="8"/>
      <c r="BA90" s="8"/>
      <c r="BB90" s="10"/>
    </row>
    <row r="91" ht="15.75" customHeight="1">
      <c r="A91" s="39" t="s">
        <v>345</v>
      </c>
      <c r="B91" s="36">
        <f t="shared" si="1"/>
        <v>3.5</v>
      </c>
      <c r="C91" s="8"/>
      <c r="D91" s="8"/>
      <c r="E91" s="8"/>
      <c r="F91" s="8"/>
      <c r="G91" s="20">
        <v>3.5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  <c r="AE91" s="8"/>
      <c r="AF91" s="8"/>
      <c r="AG91" s="8"/>
      <c r="AH91" s="8"/>
      <c r="AI91" s="8"/>
      <c r="AJ91" s="8"/>
      <c r="AK91" s="8"/>
      <c r="AL91" s="8"/>
      <c r="AM91" s="8"/>
      <c r="AN91" s="8"/>
      <c r="AO91" s="8"/>
      <c r="AP91" s="8"/>
      <c r="AQ91" s="8"/>
      <c r="AR91" s="8"/>
      <c r="AS91" s="10"/>
      <c r="AT91" s="8"/>
      <c r="AU91" s="20"/>
      <c r="AV91" s="10"/>
      <c r="AW91" s="8"/>
      <c r="AX91" s="8"/>
      <c r="AY91" s="10"/>
      <c r="AZ91" s="8"/>
      <c r="BA91" s="8"/>
      <c r="BB91" s="10"/>
    </row>
    <row r="92" ht="15.75" customHeight="1">
      <c r="A92" s="39" t="s">
        <v>346</v>
      </c>
      <c r="B92" s="36">
        <f t="shared" si="1"/>
        <v>11.25</v>
      </c>
      <c r="C92" s="8"/>
      <c r="D92" s="8"/>
      <c r="E92" s="8"/>
      <c r="F92" s="8"/>
      <c r="G92" s="8"/>
      <c r="H92" s="20">
        <v>2.5</v>
      </c>
      <c r="I92" s="8"/>
      <c r="J92" s="8"/>
      <c r="K92" s="21">
        <v>2.0</v>
      </c>
      <c r="L92" s="20">
        <v>2.0</v>
      </c>
      <c r="M92" s="8"/>
      <c r="N92" s="8"/>
      <c r="O92" s="20">
        <v>2.5</v>
      </c>
      <c r="P92" s="20">
        <v>2.25</v>
      </c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  <c r="AE92" s="8"/>
      <c r="AF92" s="8"/>
      <c r="AG92" s="8"/>
      <c r="AH92" s="8"/>
      <c r="AI92" s="8"/>
      <c r="AJ92" s="8"/>
      <c r="AK92" s="8"/>
      <c r="AL92" s="8"/>
      <c r="AM92" s="8"/>
      <c r="AN92" s="8"/>
      <c r="AO92" s="8"/>
      <c r="AP92" s="8"/>
      <c r="AQ92" s="8"/>
      <c r="AR92" s="8"/>
      <c r="AS92" s="10"/>
      <c r="AT92" s="8"/>
      <c r="AU92" s="20"/>
      <c r="AV92" s="10"/>
      <c r="AW92" s="8"/>
      <c r="AX92" s="8"/>
      <c r="AY92" s="37"/>
      <c r="AZ92" s="8"/>
      <c r="BA92" s="20"/>
      <c r="BB92" s="37"/>
    </row>
    <row r="93" ht="15.75" customHeight="1">
      <c r="A93" s="40" t="s">
        <v>121</v>
      </c>
      <c r="B93" s="36">
        <f t="shared" si="1"/>
        <v>0</v>
      </c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  <c r="AE93" s="8"/>
      <c r="AF93" s="8"/>
      <c r="AG93" s="8"/>
      <c r="AH93" s="8"/>
      <c r="AI93" s="8"/>
      <c r="AJ93" s="8"/>
      <c r="AK93" s="8"/>
      <c r="AL93" s="8"/>
      <c r="AM93" s="8"/>
      <c r="AN93" s="8"/>
      <c r="AO93" s="8"/>
      <c r="AP93" s="8"/>
      <c r="AQ93" s="8"/>
      <c r="AR93" s="8"/>
      <c r="AS93" s="10"/>
      <c r="AT93" s="8"/>
      <c r="AU93" s="8"/>
      <c r="AV93" s="38"/>
      <c r="AW93" s="8"/>
      <c r="AX93" s="8"/>
      <c r="AY93" s="10"/>
      <c r="AZ93" s="8"/>
      <c r="BA93" s="8"/>
      <c r="BB93" s="10"/>
    </row>
    <row r="94" ht="15.75" customHeight="1">
      <c r="A94" s="40" t="s">
        <v>347</v>
      </c>
      <c r="B94" s="36">
        <f t="shared" si="1"/>
        <v>0</v>
      </c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  <c r="AE94" s="8"/>
      <c r="AF94" s="8"/>
      <c r="AG94" s="8"/>
      <c r="AH94" s="8"/>
      <c r="AI94" s="8"/>
      <c r="AJ94" s="8"/>
      <c r="AK94" s="8"/>
      <c r="AL94" s="8"/>
      <c r="AM94" s="8"/>
      <c r="AN94" s="8"/>
      <c r="AO94" s="8"/>
      <c r="AP94" s="8"/>
      <c r="AQ94" s="8"/>
      <c r="AR94" s="8"/>
      <c r="AS94" s="10"/>
      <c r="AT94" s="8"/>
      <c r="AU94" s="8"/>
      <c r="AV94" s="38"/>
      <c r="AW94" s="8"/>
      <c r="AX94" s="8"/>
      <c r="AY94" s="10"/>
      <c r="AZ94" s="8"/>
      <c r="BA94" s="8"/>
      <c r="BB94" s="10"/>
    </row>
    <row r="95" ht="15.75" customHeight="1">
      <c r="A95" s="39" t="s">
        <v>296</v>
      </c>
      <c r="B95" s="36">
        <f t="shared" si="1"/>
        <v>0</v>
      </c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  <c r="AE95" s="8"/>
      <c r="AF95" s="8"/>
      <c r="AG95" s="8"/>
      <c r="AH95" s="8"/>
      <c r="AI95" s="8"/>
      <c r="AJ95" s="8"/>
      <c r="AK95" s="8"/>
      <c r="AL95" s="8"/>
      <c r="AM95" s="8"/>
      <c r="AN95" s="8"/>
      <c r="AO95" s="8"/>
      <c r="AP95" s="8"/>
      <c r="AQ95" s="8"/>
      <c r="AR95" s="8"/>
      <c r="AS95" s="10"/>
      <c r="AT95" s="8"/>
      <c r="AU95" s="8"/>
      <c r="AV95" s="10"/>
      <c r="AW95" s="20"/>
      <c r="AX95" s="8"/>
      <c r="AY95" s="10"/>
      <c r="AZ95" s="8"/>
      <c r="BA95" s="8"/>
      <c r="BB95" s="10"/>
    </row>
    <row r="96" ht="15.75" customHeight="1">
      <c r="A96" s="39" t="s">
        <v>348</v>
      </c>
      <c r="B96" s="36">
        <f t="shared" si="1"/>
        <v>0</v>
      </c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  <c r="AE96" s="8"/>
      <c r="AF96" s="8"/>
      <c r="AG96" s="8"/>
      <c r="AH96" s="8"/>
      <c r="AI96" s="8"/>
      <c r="AJ96" s="8"/>
      <c r="AK96" s="8"/>
      <c r="AL96" s="8"/>
      <c r="AM96" s="8"/>
      <c r="AN96" s="8"/>
      <c r="AO96" s="8"/>
      <c r="AP96" s="8"/>
      <c r="AQ96" s="8"/>
      <c r="AR96" s="8"/>
      <c r="AS96" s="10"/>
      <c r="AT96" s="8"/>
      <c r="AU96" s="8"/>
      <c r="AV96" s="10"/>
      <c r="AW96" s="20"/>
      <c r="AX96" s="8"/>
      <c r="AY96" s="10"/>
      <c r="AZ96" s="8"/>
      <c r="BA96" s="8"/>
      <c r="BB96" s="10"/>
    </row>
    <row r="97" ht="15.75" customHeight="1">
      <c r="A97" s="39" t="s">
        <v>349</v>
      </c>
      <c r="B97" s="36">
        <f t="shared" si="1"/>
        <v>0</v>
      </c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  <c r="AE97" s="8"/>
      <c r="AF97" s="8"/>
      <c r="AG97" s="8"/>
      <c r="AH97" s="8"/>
      <c r="AI97" s="8"/>
      <c r="AJ97" s="8"/>
      <c r="AK97" s="8"/>
      <c r="AL97" s="8"/>
      <c r="AM97" s="8"/>
      <c r="AN97" s="8"/>
      <c r="AO97" s="8"/>
      <c r="AP97" s="8"/>
      <c r="AQ97" s="8"/>
      <c r="AR97" s="8"/>
      <c r="AS97" s="10"/>
      <c r="AT97" s="8"/>
      <c r="AU97" s="8"/>
      <c r="AV97" s="10"/>
      <c r="AW97" s="20"/>
      <c r="AX97" s="8"/>
      <c r="AY97" s="10"/>
      <c r="AZ97" s="8"/>
      <c r="BA97" s="8"/>
      <c r="BB97" s="10"/>
    </row>
    <row r="98" ht="15.75" customHeight="1">
      <c r="A98" s="39" t="s">
        <v>350</v>
      </c>
      <c r="B98" s="36">
        <f t="shared" si="1"/>
        <v>0</v>
      </c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  <c r="AE98" s="8"/>
      <c r="AF98" s="8"/>
      <c r="AG98" s="8"/>
      <c r="AH98" s="8"/>
      <c r="AI98" s="8"/>
      <c r="AJ98" s="8"/>
      <c r="AK98" s="8"/>
      <c r="AL98" s="8"/>
      <c r="AM98" s="8"/>
      <c r="AN98" s="8"/>
      <c r="AO98" s="8"/>
      <c r="AP98" s="8"/>
      <c r="AQ98" s="8"/>
      <c r="AR98" s="8"/>
      <c r="AS98" s="10"/>
      <c r="AT98" s="8"/>
      <c r="AU98" s="8"/>
      <c r="AV98" s="10"/>
      <c r="AW98" s="20"/>
      <c r="AX98" s="20"/>
      <c r="AY98" s="10"/>
      <c r="AZ98" s="8"/>
      <c r="BA98" s="8"/>
      <c r="BB98" s="10"/>
    </row>
    <row r="99" ht="15.75" customHeight="1">
      <c r="A99" s="39" t="s">
        <v>170</v>
      </c>
      <c r="B99" s="36">
        <f t="shared" si="1"/>
        <v>0</v>
      </c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  <c r="AE99" s="8"/>
      <c r="AF99" s="8"/>
      <c r="AG99" s="8"/>
      <c r="AH99" s="8"/>
      <c r="AI99" s="8"/>
      <c r="AJ99" s="8"/>
      <c r="AK99" s="8"/>
      <c r="AL99" s="8"/>
      <c r="AM99" s="8"/>
      <c r="AN99" s="8"/>
      <c r="AO99" s="8"/>
      <c r="AP99" s="8"/>
      <c r="AQ99" s="8"/>
      <c r="AR99" s="8"/>
      <c r="AS99" s="10"/>
      <c r="AT99" s="8"/>
      <c r="AU99" s="8"/>
      <c r="AV99" s="10"/>
      <c r="AW99" s="8"/>
      <c r="AX99" s="20"/>
      <c r="AY99" s="10"/>
      <c r="AZ99" s="8"/>
      <c r="BA99" s="20"/>
      <c r="BB99" s="10"/>
    </row>
    <row r="100" ht="15.75" customHeight="1">
      <c r="A100" s="39" t="s">
        <v>92</v>
      </c>
      <c r="B100" s="36">
        <f t="shared" si="1"/>
        <v>0</v>
      </c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  <c r="AE100" s="8"/>
      <c r="AF100" s="8"/>
      <c r="AG100" s="8"/>
      <c r="AH100" s="8"/>
      <c r="AI100" s="8"/>
      <c r="AJ100" s="8"/>
      <c r="AK100" s="8"/>
      <c r="AL100" s="8"/>
      <c r="AM100" s="8"/>
      <c r="AN100" s="8"/>
      <c r="AO100" s="8"/>
      <c r="AP100" s="8"/>
      <c r="AQ100" s="8"/>
      <c r="AR100" s="8"/>
      <c r="AS100" s="10"/>
      <c r="AT100" s="8"/>
      <c r="AU100" s="8"/>
      <c r="AV100" s="10"/>
      <c r="AW100" s="8"/>
      <c r="AX100" s="20"/>
      <c r="AY100" s="10"/>
      <c r="AZ100" s="8"/>
      <c r="BA100" s="8"/>
      <c r="BB100" s="10"/>
    </row>
    <row r="101" ht="15.75" customHeight="1">
      <c r="A101" s="39" t="s">
        <v>351</v>
      </c>
      <c r="B101" s="36">
        <f t="shared" si="1"/>
        <v>0</v>
      </c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  <c r="AE101" s="8"/>
      <c r="AF101" s="8"/>
      <c r="AG101" s="8"/>
      <c r="AH101" s="8"/>
      <c r="AI101" s="8"/>
      <c r="AJ101" s="8"/>
      <c r="AK101" s="8"/>
      <c r="AL101" s="8"/>
      <c r="AM101" s="8"/>
      <c r="AN101" s="8"/>
      <c r="AO101" s="8"/>
      <c r="AP101" s="8"/>
      <c r="AQ101" s="8"/>
      <c r="AR101" s="8"/>
      <c r="AS101" s="10"/>
      <c r="AT101" s="8"/>
      <c r="AU101" s="8"/>
      <c r="AV101" s="10"/>
      <c r="AW101" s="8"/>
      <c r="AX101" s="20"/>
      <c r="AY101" s="10"/>
      <c r="AZ101" s="8"/>
      <c r="BA101" s="8"/>
      <c r="BB101" s="10"/>
    </row>
    <row r="102" ht="15.75" customHeight="1">
      <c r="A102" s="39" t="s">
        <v>352</v>
      </c>
      <c r="B102" s="36">
        <f t="shared" si="1"/>
        <v>0</v>
      </c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  <c r="AE102" s="8"/>
      <c r="AF102" s="8"/>
      <c r="AG102" s="8"/>
      <c r="AH102" s="8"/>
      <c r="AI102" s="8"/>
      <c r="AJ102" s="8"/>
      <c r="AK102" s="8"/>
      <c r="AL102" s="8"/>
      <c r="AM102" s="8"/>
      <c r="AN102" s="8"/>
      <c r="AO102" s="8"/>
      <c r="AP102" s="8"/>
      <c r="AQ102" s="8"/>
      <c r="AR102" s="8"/>
      <c r="AS102" s="10"/>
      <c r="AT102" s="8"/>
      <c r="AU102" s="8"/>
      <c r="AV102" s="10"/>
      <c r="AW102" s="8"/>
      <c r="AX102" s="20"/>
      <c r="AY102" s="10"/>
      <c r="AZ102" s="8"/>
      <c r="BA102" s="8"/>
      <c r="BB102" s="10"/>
    </row>
    <row r="103" ht="15.75" customHeight="1">
      <c r="A103" s="39" t="s">
        <v>353</v>
      </c>
      <c r="B103" s="36">
        <f t="shared" si="1"/>
        <v>0</v>
      </c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  <c r="AE103" s="8"/>
      <c r="AF103" s="8"/>
      <c r="AG103" s="8"/>
      <c r="AH103" s="8"/>
      <c r="AI103" s="8"/>
      <c r="AJ103" s="8"/>
      <c r="AK103" s="8"/>
      <c r="AL103" s="8"/>
      <c r="AM103" s="8"/>
      <c r="AN103" s="8"/>
      <c r="AO103" s="8"/>
      <c r="AP103" s="8"/>
      <c r="AQ103" s="8"/>
      <c r="AR103" s="8"/>
      <c r="AS103" s="10"/>
      <c r="AT103" s="8"/>
      <c r="AU103" s="8"/>
      <c r="AV103" s="10"/>
      <c r="AW103" s="8"/>
      <c r="AX103" s="20"/>
      <c r="AY103" s="10"/>
      <c r="AZ103" s="8"/>
      <c r="BA103" s="8"/>
      <c r="BB103" s="10"/>
    </row>
    <row r="104" ht="15.75" customHeight="1">
      <c r="A104" s="39" t="s">
        <v>207</v>
      </c>
      <c r="B104" s="36">
        <f t="shared" si="1"/>
        <v>6.75</v>
      </c>
      <c r="C104" s="8"/>
      <c r="D104" s="8"/>
      <c r="E104" s="8"/>
      <c r="F104" s="8"/>
      <c r="G104" s="8"/>
      <c r="H104" s="20">
        <v>2.25</v>
      </c>
      <c r="I104" s="20">
        <v>2.25</v>
      </c>
      <c r="J104" s="8"/>
      <c r="K104" s="8"/>
      <c r="L104" s="20">
        <v>2.25</v>
      </c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  <c r="AE104" s="8"/>
      <c r="AF104" s="8"/>
      <c r="AG104" s="8"/>
      <c r="AH104" s="8"/>
      <c r="AI104" s="8"/>
      <c r="AJ104" s="8"/>
      <c r="AK104" s="8"/>
      <c r="AL104" s="8"/>
      <c r="AM104" s="8"/>
      <c r="AN104" s="8"/>
      <c r="AO104" s="8"/>
      <c r="AP104" s="8"/>
      <c r="AQ104" s="8"/>
      <c r="AR104" s="8"/>
      <c r="AS104" s="10"/>
      <c r="AT104" s="8"/>
      <c r="AU104" s="8"/>
      <c r="AV104" s="10"/>
      <c r="AW104" s="8"/>
      <c r="AX104" s="20"/>
      <c r="AY104" s="10"/>
      <c r="AZ104" s="8"/>
      <c r="BA104" s="20"/>
      <c r="BB104" s="10"/>
    </row>
    <row r="105" ht="15.75" customHeight="1">
      <c r="A105" s="39" t="s">
        <v>354</v>
      </c>
      <c r="B105" s="36">
        <f t="shared" si="1"/>
        <v>7</v>
      </c>
      <c r="C105" s="20">
        <v>2.0</v>
      </c>
      <c r="D105" s="8"/>
      <c r="E105" s="8"/>
      <c r="F105" s="21">
        <v>2.75</v>
      </c>
      <c r="G105" s="8"/>
      <c r="H105" s="8"/>
      <c r="I105" s="8"/>
      <c r="J105" s="8"/>
      <c r="K105" s="8"/>
      <c r="L105" s="8"/>
      <c r="M105" s="8"/>
      <c r="N105" s="8"/>
      <c r="O105" s="20">
        <v>2.25</v>
      </c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  <c r="AE105" s="8"/>
      <c r="AF105" s="8"/>
      <c r="AG105" s="8"/>
      <c r="AH105" s="8"/>
      <c r="AI105" s="8"/>
      <c r="AJ105" s="8"/>
      <c r="AK105" s="8"/>
      <c r="AL105" s="8"/>
      <c r="AM105" s="8"/>
      <c r="AN105" s="8"/>
      <c r="AO105" s="8"/>
      <c r="AP105" s="8"/>
      <c r="AQ105" s="8"/>
      <c r="AR105" s="8"/>
      <c r="AS105" s="10"/>
      <c r="AT105" s="8"/>
      <c r="AU105" s="8"/>
      <c r="AV105" s="10"/>
      <c r="AW105" s="8"/>
      <c r="AX105" s="20"/>
      <c r="AY105" s="37"/>
      <c r="AZ105" s="8"/>
      <c r="BA105" s="20"/>
      <c r="BB105" s="10"/>
    </row>
    <row r="106" ht="15.75" customHeight="1">
      <c r="A106" s="39" t="s">
        <v>355</v>
      </c>
      <c r="B106" s="36">
        <f t="shared" si="1"/>
        <v>2.25</v>
      </c>
      <c r="C106" s="8"/>
      <c r="D106" s="8"/>
      <c r="E106" s="8"/>
      <c r="F106" s="8"/>
      <c r="G106" s="8"/>
      <c r="H106" s="8"/>
      <c r="I106" s="20">
        <v>2.25</v>
      </c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  <c r="AE106" s="8"/>
      <c r="AF106" s="8"/>
      <c r="AG106" s="8"/>
      <c r="AH106" s="8"/>
      <c r="AI106" s="8"/>
      <c r="AJ106" s="8"/>
      <c r="AK106" s="8"/>
      <c r="AL106" s="8"/>
      <c r="AM106" s="8"/>
      <c r="AN106" s="8"/>
      <c r="AO106" s="8"/>
      <c r="AP106" s="8"/>
      <c r="AQ106" s="8"/>
      <c r="AR106" s="8"/>
      <c r="AS106" s="10"/>
      <c r="AT106" s="8"/>
      <c r="AU106" s="8"/>
      <c r="AV106" s="10"/>
      <c r="AW106" s="8"/>
      <c r="AX106" s="8"/>
      <c r="AY106" s="37"/>
      <c r="AZ106" s="8"/>
      <c r="BA106" s="8"/>
      <c r="BB106" s="10"/>
    </row>
    <row r="107" ht="15.75" customHeight="1">
      <c r="A107" s="39" t="s">
        <v>356</v>
      </c>
      <c r="B107" s="36">
        <f t="shared" si="1"/>
        <v>0</v>
      </c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  <c r="AE107" s="8"/>
      <c r="AF107" s="8"/>
      <c r="AG107" s="8"/>
      <c r="AH107" s="8"/>
      <c r="AI107" s="8"/>
      <c r="AJ107" s="8"/>
      <c r="AK107" s="8"/>
      <c r="AL107" s="8"/>
      <c r="AM107" s="8"/>
      <c r="AN107" s="8"/>
      <c r="AO107" s="8"/>
      <c r="AP107" s="8"/>
      <c r="AQ107" s="8"/>
      <c r="AR107" s="8"/>
      <c r="AS107" s="10"/>
      <c r="AT107" s="8"/>
      <c r="AU107" s="8"/>
      <c r="AV107" s="10"/>
      <c r="AW107" s="8"/>
      <c r="AX107" s="8"/>
      <c r="AY107" s="37"/>
      <c r="AZ107" s="8"/>
      <c r="BA107" s="8"/>
      <c r="BB107" s="10"/>
    </row>
    <row r="108" ht="15.75" customHeight="1">
      <c r="A108" s="39" t="s">
        <v>357</v>
      </c>
      <c r="B108" s="36">
        <f t="shared" si="1"/>
        <v>9.5</v>
      </c>
      <c r="C108" s="20">
        <v>2.0</v>
      </c>
      <c r="D108" s="8"/>
      <c r="E108" s="8"/>
      <c r="F108" s="21">
        <v>2.75</v>
      </c>
      <c r="G108" s="8"/>
      <c r="H108" s="8"/>
      <c r="I108" s="8"/>
      <c r="J108" s="8"/>
      <c r="K108" s="8"/>
      <c r="L108" s="8"/>
      <c r="M108" s="8"/>
      <c r="N108" s="20">
        <v>2.5</v>
      </c>
      <c r="O108" s="8"/>
      <c r="P108" s="20">
        <v>2.25</v>
      </c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  <c r="AE108" s="8"/>
      <c r="AF108" s="8"/>
      <c r="AG108" s="8"/>
      <c r="AH108" s="8"/>
      <c r="AI108" s="8"/>
      <c r="AJ108" s="8"/>
      <c r="AK108" s="8"/>
      <c r="AL108" s="8"/>
      <c r="AM108" s="8"/>
      <c r="AN108" s="8"/>
      <c r="AO108" s="8"/>
      <c r="AP108" s="8"/>
      <c r="AQ108" s="8"/>
      <c r="AR108" s="8"/>
      <c r="AS108" s="10"/>
      <c r="AT108" s="8"/>
      <c r="AU108" s="8"/>
      <c r="AV108" s="10"/>
      <c r="AW108" s="8"/>
      <c r="AX108" s="8"/>
      <c r="AY108" s="37"/>
      <c r="AZ108" s="8"/>
      <c r="BA108" s="20"/>
      <c r="BB108" s="10"/>
    </row>
    <row r="109" ht="15.75" customHeight="1">
      <c r="A109" s="39" t="s">
        <v>190</v>
      </c>
      <c r="B109" s="36">
        <f t="shared" si="1"/>
        <v>2</v>
      </c>
      <c r="C109" s="20">
        <v>2.0</v>
      </c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  <c r="AE109" s="8"/>
      <c r="AF109" s="8"/>
      <c r="AG109" s="8"/>
      <c r="AH109" s="8"/>
      <c r="AI109" s="8"/>
      <c r="AJ109" s="8"/>
      <c r="AK109" s="8"/>
      <c r="AL109" s="8"/>
      <c r="AM109" s="8"/>
      <c r="AN109" s="8"/>
      <c r="AO109" s="8"/>
      <c r="AP109" s="8"/>
      <c r="AQ109" s="8"/>
      <c r="AR109" s="8"/>
      <c r="AS109" s="10"/>
      <c r="AT109" s="8"/>
      <c r="AU109" s="8"/>
      <c r="AV109" s="10"/>
      <c r="AW109" s="8"/>
      <c r="AX109" s="8"/>
      <c r="AY109" s="37"/>
      <c r="AZ109" s="20"/>
      <c r="BA109" s="20"/>
      <c r="BB109" s="37"/>
    </row>
    <row r="110" ht="15.75" customHeight="1">
      <c r="A110" s="39" t="s">
        <v>216</v>
      </c>
      <c r="B110" s="36">
        <f t="shared" si="1"/>
        <v>14.25</v>
      </c>
      <c r="C110" s="8"/>
      <c r="D110" s="20">
        <v>2.5</v>
      </c>
      <c r="E110" s="21">
        <v>2.25</v>
      </c>
      <c r="F110" s="8"/>
      <c r="G110" s="8"/>
      <c r="H110" s="8"/>
      <c r="I110" s="8"/>
      <c r="J110" s="20">
        <v>2.0</v>
      </c>
      <c r="K110" s="21">
        <v>2.5</v>
      </c>
      <c r="L110" s="8"/>
      <c r="M110" s="8"/>
      <c r="N110" s="8"/>
      <c r="O110" s="20">
        <v>2.5</v>
      </c>
      <c r="P110" s="20">
        <v>2.5</v>
      </c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  <c r="AE110" s="8"/>
      <c r="AF110" s="8"/>
      <c r="AG110" s="8"/>
      <c r="AH110" s="8"/>
      <c r="AI110" s="8"/>
      <c r="AJ110" s="8"/>
      <c r="AK110" s="8"/>
      <c r="AL110" s="8"/>
      <c r="AM110" s="8"/>
      <c r="AN110" s="8"/>
      <c r="AO110" s="8"/>
      <c r="AP110" s="8"/>
      <c r="AQ110" s="8"/>
      <c r="AR110" s="8"/>
      <c r="AS110" s="10"/>
      <c r="AT110" s="8"/>
      <c r="AU110" s="8"/>
      <c r="AV110" s="10"/>
      <c r="AW110" s="8"/>
      <c r="AX110" s="8"/>
      <c r="AY110" s="37"/>
      <c r="AZ110" s="8"/>
      <c r="BA110" s="20"/>
      <c r="BB110" s="37"/>
    </row>
    <row r="111" ht="15.75" customHeight="1">
      <c r="A111" s="39" t="s">
        <v>358</v>
      </c>
      <c r="B111" s="36">
        <f t="shared" si="1"/>
        <v>6.75</v>
      </c>
      <c r="C111" s="20">
        <v>2.0</v>
      </c>
      <c r="D111" s="20">
        <v>2.5</v>
      </c>
      <c r="E111" s="21">
        <v>2.25</v>
      </c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  <c r="AE111" s="8"/>
      <c r="AF111" s="8"/>
      <c r="AG111" s="8"/>
      <c r="AH111" s="8"/>
      <c r="AI111" s="8"/>
      <c r="AJ111" s="8"/>
      <c r="AK111" s="8"/>
      <c r="AL111" s="8"/>
      <c r="AM111" s="8"/>
      <c r="AN111" s="8"/>
      <c r="AO111" s="8"/>
      <c r="AP111" s="8"/>
      <c r="AQ111" s="8"/>
      <c r="AR111" s="8"/>
      <c r="AS111" s="10"/>
      <c r="AT111" s="8"/>
      <c r="AU111" s="8"/>
      <c r="AV111" s="10"/>
      <c r="AW111" s="8"/>
      <c r="AX111" s="8"/>
      <c r="AY111" s="10"/>
      <c r="AZ111" s="20"/>
      <c r="BA111" s="8"/>
      <c r="BB111" s="10"/>
    </row>
    <row r="112" ht="15.75" customHeight="1">
      <c r="A112" s="39" t="s">
        <v>359</v>
      </c>
      <c r="B112" s="36">
        <f t="shared" si="1"/>
        <v>0</v>
      </c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  <c r="AE112" s="8"/>
      <c r="AF112" s="8"/>
      <c r="AG112" s="8"/>
      <c r="AH112" s="8"/>
      <c r="AI112" s="8"/>
      <c r="AJ112" s="8"/>
      <c r="AK112" s="8"/>
      <c r="AL112" s="8"/>
      <c r="AM112" s="8"/>
      <c r="AN112" s="8"/>
      <c r="AO112" s="8"/>
      <c r="AP112" s="8"/>
      <c r="AQ112" s="8"/>
      <c r="AR112" s="8"/>
      <c r="AS112" s="10"/>
      <c r="AT112" s="8"/>
      <c r="AU112" s="8"/>
      <c r="AV112" s="10"/>
      <c r="AW112" s="8"/>
      <c r="AX112" s="8"/>
      <c r="AY112" s="10"/>
      <c r="AZ112" s="20"/>
      <c r="BA112" s="8"/>
      <c r="BB112" s="10"/>
    </row>
    <row r="113" ht="15.75" customHeight="1">
      <c r="A113" s="39" t="s">
        <v>223</v>
      </c>
      <c r="B113" s="36">
        <f t="shared" si="1"/>
        <v>0</v>
      </c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  <c r="AE113" s="8"/>
      <c r="AF113" s="8"/>
      <c r="AG113" s="8"/>
      <c r="AH113" s="8"/>
      <c r="AI113" s="8"/>
      <c r="AJ113" s="8"/>
      <c r="AK113" s="8"/>
      <c r="AL113" s="8"/>
      <c r="AM113" s="8"/>
      <c r="AN113" s="8"/>
      <c r="AO113" s="8"/>
      <c r="AP113" s="8"/>
      <c r="AQ113" s="8"/>
      <c r="AR113" s="8"/>
      <c r="AS113" s="10"/>
      <c r="AT113" s="8"/>
      <c r="AU113" s="8"/>
      <c r="AV113" s="10"/>
      <c r="AW113" s="8"/>
      <c r="AX113" s="8"/>
      <c r="AY113" s="10"/>
      <c r="AZ113" s="8"/>
      <c r="BA113" s="20"/>
      <c r="BB113" s="10"/>
    </row>
    <row r="114" ht="15.75" customHeight="1">
      <c r="A114" s="39" t="s">
        <v>360</v>
      </c>
      <c r="B114" s="36">
        <f t="shared" si="1"/>
        <v>0</v>
      </c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  <c r="AE114" s="8"/>
      <c r="AF114" s="8"/>
      <c r="AG114" s="8"/>
      <c r="AH114" s="8"/>
      <c r="AI114" s="8"/>
      <c r="AJ114" s="8"/>
      <c r="AK114" s="8"/>
      <c r="AL114" s="8"/>
      <c r="AM114" s="8"/>
      <c r="AN114" s="8"/>
      <c r="AO114" s="8"/>
      <c r="AP114" s="8"/>
      <c r="AQ114" s="8"/>
      <c r="AR114" s="8"/>
      <c r="AS114" s="10"/>
      <c r="AT114" s="8"/>
      <c r="AU114" s="8"/>
      <c r="AV114" s="10"/>
      <c r="AW114" s="8"/>
      <c r="AX114" s="8"/>
      <c r="AY114" s="10"/>
      <c r="AZ114" s="8"/>
      <c r="BA114" s="8"/>
      <c r="BB114" s="37"/>
    </row>
    <row r="115" ht="15.75" customHeight="1">
      <c r="A115" s="39" t="s">
        <v>234</v>
      </c>
      <c r="B115" s="36">
        <f t="shared" si="1"/>
        <v>3.75</v>
      </c>
      <c r="C115" s="8"/>
      <c r="D115" s="8"/>
      <c r="E115" s="8"/>
      <c r="F115" s="8"/>
      <c r="G115" s="8"/>
      <c r="H115" s="8"/>
      <c r="I115" s="8"/>
      <c r="J115" s="8"/>
      <c r="K115" s="21">
        <v>2.25</v>
      </c>
      <c r="L115" s="8"/>
      <c r="M115" s="8"/>
      <c r="N115" s="8"/>
      <c r="O115" s="20">
        <v>1.5</v>
      </c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  <c r="AE115" s="8"/>
      <c r="AF115" s="8"/>
      <c r="AG115" s="8"/>
      <c r="AH115" s="8"/>
      <c r="AI115" s="8"/>
      <c r="AJ115" s="8"/>
      <c r="AK115" s="8"/>
      <c r="AL115" s="8"/>
      <c r="AM115" s="8"/>
      <c r="AN115" s="8"/>
      <c r="AO115" s="8"/>
      <c r="AP115" s="8"/>
      <c r="AQ115" s="8"/>
      <c r="AR115" s="8"/>
      <c r="AS115" s="10"/>
      <c r="AT115" s="8"/>
      <c r="AU115" s="8"/>
      <c r="AV115" s="10"/>
      <c r="AW115" s="8"/>
      <c r="AX115" s="8"/>
      <c r="AY115" s="10"/>
      <c r="AZ115" s="8"/>
      <c r="BA115" s="8"/>
      <c r="BB115" s="37"/>
    </row>
    <row r="116" ht="15.75" customHeight="1">
      <c r="A116" s="39" t="s">
        <v>361</v>
      </c>
      <c r="B116" s="36">
        <f t="shared" si="1"/>
        <v>2.25</v>
      </c>
      <c r="C116" s="8"/>
      <c r="D116" s="8"/>
      <c r="E116" s="8"/>
      <c r="F116" s="8"/>
      <c r="G116" s="8"/>
      <c r="H116" s="8"/>
      <c r="I116" s="8"/>
      <c r="J116" s="8"/>
      <c r="K116" s="21">
        <v>2.25</v>
      </c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  <c r="AE116" s="8"/>
      <c r="AF116" s="8"/>
      <c r="AG116" s="8"/>
      <c r="AH116" s="8"/>
      <c r="AI116" s="8"/>
      <c r="AJ116" s="8"/>
      <c r="AK116" s="8"/>
      <c r="AL116" s="8"/>
      <c r="AM116" s="8"/>
      <c r="AN116" s="8"/>
      <c r="AO116" s="8"/>
      <c r="AP116" s="8"/>
      <c r="AQ116" s="8"/>
      <c r="AR116" s="8"/>
      <c r="AS116" s="10"/>
      <c r="AT116" s="8"/>
      <c r="AU116" s="8"/>
      <c r="AV116" s="10"/>
      <c r="AW116" s="8"/>
      <c r="AX116" s="8"/>
      <c r="AY116" s="10"/>
      <c r="AZ116" s="8"/>
      <c r="BA116" s="8"/>
      <c r="BB116" s="37"/>
    </row>
    <row r="117" ht="15.75" customHeight="1">
      <c r="A117" s="39" t="s">
        <v>282</v>
      </c>
      <c r="B117" s="36">
        <f t="shared" si="1"/>
        <v>6.25</v>
      </c>
      <c r="C117" s="20">
        <v>1.75</v>
      </c>
      <c r="D117" s="8"/>
      <c r="E117" s="8"/>
      <c r="F117" s="8"/>
      <c r="G117" s="8"/>
      <c r="H117" s="20">
        <v>2.5</v>
      </c>
      <c r="I117" s="8"/>
      <c r="J117" s="20">
        <v>2.0</v>
      </c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  <c r="AE117" s="8"/>
      <c r="AF117" s="8"/>
      <c r="AG117" s="8"/>
      <c r="AH117" s="8"/>
      <c r="AI117" s="8"/>
      <c r="AJ117" s="8"/>
      <c r="AK117" s="8"/>
      <c r="AL117" s="8"/>
      <c r="AM117" s="8"/>
      <c r="AN117" s="8"/>
      <c r="AO117" s="8"/>
      <c r="AP117" s="8"/>
      <c r="AQ117" s="8"/>
      <c r="AR117" s="8"/>
      <c r="AS117" s="10"/>
      <c r="AT117" s="8"/>
      <c r="AU117" s="8"/>
      <c r="AV117" s="10"/>
      <c r="AW117" s="8"/>
      <c r="AX117" s="8"/>
      <c r="AY117" s="10"/>
      <c r="AZ117" s="8"/>
      <c r="BA117" s="8"/>
      <c r="BB117" s="10"/>
    </row>
    <row r="118" ht="15.75" customHeight="1">
      <c r="A118" s="39" t="s">
        <v>364</v>
      </c>
      <c r="B118" s="36">
        <f t="shared" si="1"/>
        <v>1.75</v>
      </c>
      <c r="C118" s="20">
        <v>1.75</v>
      </c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  <c r="AE118" s="8"/>
      <c r="AF118" s="8"/>
      <c r="AG118" s="8"/>
      <c r="AH118" s="8"/>
      <c r="AI118" s="8"/>
      <c r="AJ118" s="8"/>
      <c r="AK118" s="8"/>
      <c r="AL118" s="8"/>
      <c r="AM118" s="8"/>
      <c r="AN118" s="8"/>
      <c r="AO118" s="8"/>
      <c r="AP118" s="8"/>
      <c r="AQ118" s="8"/>
      <c r="AR118" s="8"/>
      <c r="AS118" s="10"/>
      <c r="AT118" s="8"/>
      <c r="AU118" s="8"/>
      <c r="AV118" s="10"/>
      <c r="AW118" s="8"/>
      <c r="AX118" s="8"/>
      <c r="AY118" s="10"/>
      <c r="AZ118" s="8"/>
      <c r="BA118" s="8"/>
      <c r="BB118" s="10"/>
    </row>
    <row r="119" ht="15.75" customHeight="1">
      <c r="A119" s="39" t="s">
        <v>490</v>
      </c>
      <c r="B119" s="36">
        <f t="shared" si="1"/>
        <v>9.25</v>
      </c>
      <c r="C119" s="20">
        <v>2.0</v>
      </c>
      <c r="D119" s="8"/>
      <c r="E119" s="21">
        <v>2.25</v>
      </c>
      <c r="F119" s="21">
        <v>2.75</v>
      </c>
      <c r="G119" s="8"/>
      <c r="H119" s="8"/>
      <c r="I119" s="8"/>
      <c r="J119" s="8"/>
      <c r="K119" s="21">
        <v>2.25</v>
      </c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  <c r="AE119" s="8"/>
      <c r="AF119" s="8"/>
      <c r="AG119" s="8"/>
      <c r="AH119" s="8"/>
      <c r="AI119" s="8"/>
      <c r="AJ119" s="8"/>
      <c r="AK119" s="8"/>
      <c r="AL119" s="8"/>
      <c r="AM119" s="8"/>
      <c r="AN119" s="8"/>
      <c r="AO119" s="8"/>
      <c r="AP119" s="8"/>
      <c r="AQ119" s="8"/>
      <c r="AR119" s="8"/>
      <c r="AS119" s="10"/>
      <c r="AT119" s="8"/>
      <c r="AU119" s="8"/>
      <c r="AV119" s="10"/>
      <c r="AW119" s="8"/>
      <c r="AX119" s="8"/>
      <c r="AY119" s="10"/>
      <c r="AZ119" s="8"/>
      <c r="BA119" s="8"/>
      <c r="BB119" s="10"/>
    </row>
    <row r="120" ht="15.75" customHeight="1">
      <c r="A120" s="39" t="s">
        <v>491</v>
      </c>
      <c r="B120" s="36">
        <f t="shared" si="1"/>
        <v>2</v>
      </c>
      <c r="C120" s="20">
        <v>2.0</v>
      </c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  <c r="AE120" s="8"/>
      <c r="AF120" s="8"/>
      <c r="AG120" s="8"/>
      <c r="AH120" s="8"/>
      <c r="AI120" s="8"/>
      <c r="AJ120" s="8"/>
      <c r="AK120" s="8"/>
      <c r="AL120" s="8"/>
      <c r="AM120" s="8"/>
      <c r="AN120" s="8"/>
      <c r="AO120" s="8"/>
      <c r="AP120" s="8"/>
      <c r="AQ120" s="8"/>
      <c r="AR120" s="8"/>
      <c r="AS120" s="10"/>
      <c r="AT120" s="8"/>
      <c r="AU120" s="8"/>
      <c r="AV120" s="10"/>
      <c r="AW120" s="8"/>
      <c r="AX120" s="8"/>
      <c r="AY120" s="10"/>
      <c r="AZ120" s="8"/>
      <c r="BA120" s="8"/>
      <c r="BB120" s="10"/>
    </row>
    <row r="121" ht="15.75" customHeight="1">
      <c r="A121" s="39" t="s">
        <v>147</v>
      </c>
      <c r="B121" s="36">
        <f t="shared" si="1"/>
        <v>25.75</v>
      </c>
      <c r="C121" s="20">
        <v>2.5</v>
      </c>
      <c r="D121" s="8"/>
      <c r="E121" s="21">
        <v>2.25</v>
      </c>
      <c r="F121" s="21">
        <v>2.75</v>
      </c>
      <c r="G121" s="8"/>
      <c r="H121" s="20">
        <v>2.5</v>
      </c>
      <c r="I121" s="8"/>
      <c r="J121" s="8"/>
      <c r="K121" s="21">
        <v>2.5</v>
      </c>
      <c r="L121" s="20">
        <v>2.25</v>
      </c>
      <c r="M121" s="20">
        <v>2.5</v>
      </c>
      <c r="N121" s="20">
        <v>2.0</v>
      </c>
      <c r="O121" s="20">
        <v>2.0</v>
      </c>
      <c r="P121" s="20">
        <v>2.5</v>
      </c>
      <c r="Q121" s="20">
        <v>2.0</v>
      </c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  <c r="AE121" s="8"/>
      <c r="AF121" s="8"/>
      <c r="AG121" s="8"/>
      <c r="AH121" s="8"/>
      <c r="AI121" s="8"/>
      <c r="AJ121" s="8"/>
      <c r="AK121" s="8"/>
      <c r="AL121" s="8"/>
      <c r="AM121" s="8"/>
      <c r="AN121" s="8"/>
      <c r="AO121" s="8"/>
      <c r="AP121" s="8"/>
      <c r="AQ121" s="8"/>
      <c r="AR121" s="8"/>
      <c r="AS121" s="10"/>
      <c r="AT121" s="8"/>
      <c r="AU121" s="8"/>
      <c r="AV121" s="10"/>
      <c r="AW121" s="8"/>
      <c r="AX121" s="8"/>
      <c r="AY121" s="10"/>
      <c r="AZ121" s="8"/>
      <c r="BA121" s="8"/>
      <c r="BB121" s="10"/>
    </row>
    <row r="122" ht="15.75" customHeight="1">
      <c r="A122" s="39" t="s">
        <v>60</v>
      </c>
      <c r="B122" s="36">
        <f t="shared" si="1"/>
        <v>2</v>
      </c>
      <c r="C122" s="20">
        <v>2.0</v>
      </c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  <c r="AE122" s="8"/>
      <c r="AF122" s="8"/>
      <c r="AG122" s="8"/>
      <c r="AH122" s="8"/>
      <c r="AI122" s="8"/>
      <c r="AJ122" s="8"/>
      <c r="AK122" s="8"/>
      <c r="AL122" s="8"/>
      <c r="AM122" s="8"/>
      <c r="AN122" s="8"/>
      <c r="AO122" s="8"/>
      <c r="AP122" s="8"/>
      <c r="AQ122" s="8"/>
      <c r="AR122" s="8"/>
      <c r="AS122" s="10"/>
      <c r="AT122" s="8"/>
      <c r="AU122" s="8"/>
      <c r="AV122" s="10"/>
      <c r="AW122" s="8"/>
      <c r="AX122" s="8"/>
      <c r="AY122" s="10"/>
      <c r="AZ122" s="8"/>
      <c r="BA122" s="8"/>
      <c r="BB122" s="10"/>
    </row>
    <row r="123" ht="15.75" customHeight="1">
      <c r="A123" s="39" t="s">
        <v>82</v>
      </c>
      <c r="B123" s="36">
        <f t="shared" si="1"/>
        <v>2.5</v>
      </c>
      <c r="C123" s="8"/>
      <c r="D123" s="20">
        <v>2.5</v>
      </c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  <c r="AE123" s="8"/>
      <c r="AF123" s="8"/>
      <c r="AG123" s="8"/>
      <c r="AH123" s="8"/>
      <c r="AI123" s="8"/>
      <c r="AJ123" s="8"/>
      <c r="AK123" s="8"/>
      <c r="AL123" s="8"/>
      <c r="AM123" s="8"/>
      <c r="AN123" s="8"/>
      <c r="AO123" s="8"/>
      <c r="AP123" s="8"/>
      <c r="AQ123" s="8"/>
      <c r="AR123" s="8"/>
      <c r="AS123" s="10"/>
      <c r="AT123" s="8"/>
      <c r="AU123" s="8"/>
      <c r="AV123" s="10"/>
      <c r="AW123" s="8"/>
      <c r="AX123" s="8"/>
      <c r="AY123" s="10"/>
      <c r="AZ123" s="8"/>
      <c r="BA123" s="8"/>
      <c r="BB123" s="10"/>
    </row>
    <row r="124" ht="15.75" customHeight="1">
      <c r="A124" s="39" t="s">
        <v>51</v>
      </c>
      <c r="B124" s="36">
        <f t="shared" si="1"/>
        <v>2.25</v>
      </c>
      <c r="C124" s="8"/>
      <c r="D124" s="20">
        <v>1.0</v>
      </c>
      <c r="E124" s="21">
        <v>1.25</v>
      </c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  <c r="AE124" s="8"/>
      <c r="AF124" s="8"/>
      <c r="AG124" s="8"/>
      <c r="AH124" s="8"/>
      <c r="AI124" s="8"/>
      <c r="AJ124" s="8"/>
      <c r="AK124" s="8"/>
      <c r="AL124" s="8"/>
      <c r="AM124" s="8"/>
      <c r="AN124" s="8"/>
      <c r="AO124" s="8"/>
      <c r="AP124" s="8"/>
      <c r="AQ124" s="8"/>
      <c r="AR124" s="8"/>
      <c r="AS124" s="10"/>
      <c r="AT124" s="8"/>
      <c r="AU124" s="8"/>
      <c r="AV124" s="10"/>
      <c r="AW124" s="8"/>
      <c r="AX124" s="8"/>
      <c r="AY124" s="10"/>
      <c r="AZ124" s="8"/>
      <c r="BA124" s="8"/>
      <c r="BB124" s="10"/>
    </row>
    <row r="125" ht="15.75" customHeight="1">
      <c r="A125" s="39" t="s">
        <v>492</v>
      </c>
      <c r="B125" s="36">
        <f t="shared" si="1"/>
        <v>2.5</v>
      </c>
      <c r="C125" s="8"/>
      <c r="D125" s="20">
        <v>2.5</v>
      </c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8"/>
      <c r="AF125" s="8"/>
      <c r="AG125" s="8"/>
      <c r="AH125" s="8"/>
      <c r="AI125" s="8"/>
      <c r="AJ125" s="8"/>
      <c r="AK125" s="8"/>
      <c r="AL125" s="8"/>
      <c r="AM125" s="8"/>
      <c r="AN125" s="8"/>
      <c r="AO125" s="8"/>
      <c r="AP125" s="8"/>
      <c r="AQ125" s="8"/>
      <c r="AR125" s="8"/>
      <c r="AS125" s="10"/>
      <c r="AT125" s="8"/>
      <c r="AU125" s="8"/>
      <c r="AV125" s="10"/>
      <c r="AW125" s="8"/>
      <c r="AX125" s="8"/>
      <c r="AY125" s="10"/>
      <c r="AZ125" s="8"/>
      <c r="BA125" s="8"/>
      <c r="BB125" s="10"/>
    </row>
    <row r="126" ht="15.75" customHeight="1">
      <c r="A126" s="40" t="s">
        <v>493</v>
      </c>
      <c r="B126" s="36">
        <f t="shared" si="1"/>
        <v>2.25</v>
      </c>
      <c r="C126" s="8"/>
      <c r="D126" s="8"/>
      <c r="E126" s="21">
        <v>2.25</v>
      </c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  <c r="AE126" s="8"/>
      <c r="AF126" s="8"/>
      <c r="AG126" s="8"/>
      <c r="AH126" s="8"/>
      <c r="AI126" s="8"/>
      <c r="AJ126" s="8"/>
      <c r="AK126" s="8"/>
      <c r="AL126" s="8"/>
      <c r="AM126" s="8"/>
      <c r="AN126" s="8"/>
      <c r="AO126" s="8"/>
      <c r="AP126" s="8"/>
      <c r="AQ126" s="8"/>
      <c r="AR126" s="8"/>
      <c r="AS126" s="10"/>
      <c r="AT126" s="8"/>
      <c r="AU126" s="8"/>
      <c r="AV126" s="10"/>
      <c r="AW126" s="8"/>
      <c r="AX126" s="8"/>
      <c r="AY126" s="10"/>
      <c r="AZ126" s="8"/>
      <c r="BA126" s="8"/>
      <c r="BB126" s="10"/>
    </row>
    <row r="127" ht="15.75" customHeight="1">
      <c r="A127" s="40" t="s">
        <v>192</v>
      </c>
      <c r="B127" s="36">
        <f t="shared" si="1"/>
        <v>3.5</v>
      </c>
      <c r="C127" s="8"/>
      <c r="D127" s="8"/>
      <c r="E127" s="21">
        <v>2.25</v>
      </c>
      <c r="F127" s="8"/>
      <c r="G127" s="20">
        <v>1.25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  <c r="AE127" s="8"/>
      <c r="AF127" s="8"/>
      <c r="AG127" s="8"/>
      <c r="AH127" s="8"/>
      <c r="AI127" s="8"/>
      <c r="AJ127" s="8"/>
      <c r="AK127" s="8"/>
      <c r="AL127" s="8"/>
      <c r="AM127" s="8"/>
      <c r="AN127" s="8"/>
      <c r="AO127" s="8"/>
      <c r="AP127" s="8"/>
      <c r="AQ127" s="8"/>
      <c r="AR127" s="8"/>
      <c r="AS127" s="10"/>
      <c r="AT127" s="8"/>
      <c r="AU127" s="8"/>
      <c r="AV127" s="10"/>
      <c r="AW127" s="8"/>
      <c r="AX127" s="8"/>
      <c r="AY127" s="10"/>
      <c r="AZ127" s="8"/>
      <c r="BA127" s="8"/>
      <c r="BB127" s="10"/>
    </row>
    <row r="128" ht="15.75" customHeight="1">
      <c r="A128" s="40" t="s">
        <v>250</v>
      </c>
      <c r="B128" s="36">
        <f t="shared" si="1"/>
        <v>10.25</v>
      </c>
      <c r="C128" s="8"/>
      <c r="D128" s="8"/>
      <c r="E128" s="21">
        <v>2.25</v>
      </c>
      <c r="F128" s="8"/>
      <c r="G128" s="20">
        <v>3.0</v>
      </c>
      <c r="H128" s="20">
        <v>2.25</v>
      </c>
      <c r="I128" s="20">
        <v>2.75</v>
      </c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  <c r="AE128" s="8"/>
      <c r="AF128" s="8"/>
      <c r="AG128" s="8"/>
      <c r="AH128" s="8"/>
      <c r="AI128" s="8"/>
      <c r="AJ128" s="8"/>
      <c r="AK128" s="8"/>
      <c r="AL128" s="8"/>
      <c r="AM128" s="8"/>
      <c r="AN128" s="8"/>
      <c r="AO128" s="8"/>
      <c r="AP128" s="8"/>
      <c r="AQ128" s="8"/>
      <c r="AR128" s="8"/>
      <c r="AS128" s="10"/>
      <c r="AT128" s="8"/>
      <c r="AU128" s="8"/>
      <c r="AV128" s="10"/>
      <c r="AW128" s="8"/>
      <c r="AX128" s="8"/>
      <c r="AY128" s="10"/>
      <c r="AZ128" s="8"/>
      <c r="BA128" s="8"/>
      <c r="BB128" s="10"/>
    </row>
    <row r="129" ht="15.75" customHeight="1">
      <c r="A129" s="40" t="s">
        <v>368</v>
      </c>
      <c r="B129" s="36">
        <f t="shared" si="1"/>
        <v>2.75</v>
      </c>
      <c r="C129" s="8"/>
      <c r="D129" s="8"/>
      <c r="E129" s="8"/>
      <c r="F129" s="21">
        <v>2.75</v>
      </c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  <c r="AE129" s="8"/>
      <c r="AF129" s="8"/>
      <c r="AG129" s="8"/>
      <c r="AH129" s="8"/>
      <c r="AI129" s="8"/>
      <c r="AJ129" s="8"/>
      <c r="AK129" s="8"/>
      <c r="AL129" s="8"/>
      <c r="AM129" s="8"/>
      <c r="AN129" s="8"/>
      <c r="AO129" s="8"/>
      <c r="AP129" s="8"/>
      <c r="AQ129" s="8"/>
      <c r="AR129" s="8"/>
      <c r="AS129" s="10"/>
      <c r="AT129" s="8"/>
      <c r="AU129" s="8"/>
      <c r="AV129" s="10"/>
      <c r="AW129" s="8"/>
      <c r="AX129" s="8"/>
      <c r="AY129" s="10"/>
      <c r="AZ129" s="8"/>
      <c r="BA129" s="8"/>
      <c r="BB129" s="10"/>
    </row>
    <row r="130" ht="15.75" customHeight="1">
      <c r="A130" s="40" t="s">
        <v>151</v>
      </c>
      <c r="B130" s="36">
        <f t="shared" si="1"/>
        <v>5.25</v>
      </c>
      <c r="C130" s="8"/>
      <c r="D130" s="8"/>
      <c r="E130" s="8"/>
      <c r="F130" s="21">
        <v>2.75</v>
      </c>
      <c r="G130" s="8"/>
      <c r="H130" s="20">
        <v>2.5</v>
      </c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  <c r="AE130" s="8"/>
      <c r="AF130" s="8"/>
      <c r="AG130" s="8"/>
      <c r="AH130" s="8"/>
      <c r="AI130" s="8"/>
      <c r="AJ130" s="8"/>
      <c r="AK130" s="8"/>
      <c r="AL130" s="8"/>
      <c r="AM130" s="8"/>
      <c r="AN130" s="8"/>
      <c r="AO130" s="8"/>
      <c r="AP130" s="8"/>
      <c r="AQ130" s="8"/>
      <c r="AR130" s="8"/>
      <c r="AS130" s="10"/>
      <c r="AT130" s="8"/>
      <c r="AU130" s="8"/>
      <c r="AV130" s="10"/>
      <c r="AW130" s="8"/>
      <c r="AX130" s="8"/>
      <c r="AY130" s="10"/>
      <c r="AZ130" s="8"/>
      <c r="BA130" s="8"/>
      <c r="BB130" s="10"/>
    </row>
    <row r="131" ht="15.75" customHeight="1">
      <c r="A131" s="40" t="s">
        <v>494</v>
      </c>
      <c r="B131" s="36">
        <f t="shared" si="1"/>
        <v>4.75</v>
      </c>
      <c r="C131" s="8"/>
      <c r="D131" s="8"/>
      <c r="E131" s="8"/>
      <c r="F131" s="21">
        <v>2.75</v>
      </c>
      <c r="G131" s="8"/>
      <c r="H131" s="8"/>
      <c r="I131" s="20"/>
      <c r="J131" s="20">
        <v>2.0</v>
      </c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  <c r="AE131" s="8"/>
      <c r="AF131" s="8"/>
      <c r="AG131" s="8"/>
      <c r="AH131" s="8"/>
      <c r="AI131" s="8"/>
      <c r="AJ131" s="8"/>
      <c r="AK131" s="8"/>
      <c r="AL131" s="8"/>
      <c r="AM131" s="8"/>
      <c r="AN131" s="8"/>
      <c r="AO131" s="8"/>
      <c r="AP131" s="8"/>
      <c r="AQ131" s="8"/>
      <c r="AR131" s="8"/>
      <c r="AS131" s="10"/>
      <c r="AT131" s="8"/>
      <c r="AU131" s="8"/>
      <c r="AV131" s="10"/>
      <c r="AW131" s="8"/>
      <c r="AX131" s="8"/>
      <c r="AY131" s="10"/>
      <c r="AZ131" s="8"/>
      <c r="BA131" s="8"/>
      <c r="BB131" s="10"/>
    </row>
    <row r="132" ht="15.75" customHeight="1">
      <c r="A132" s="39" t="s">
        <v>389</v>
      </c>
      <c r="B132" s="36">
        <f t="shared" si="1"/>
        <v>10</v>
      </c>
      <c r="C132" s="8"/>
      <c r="D132" s="8"/>
      <c r="E132" s="8"/>
      <c r="F132" s="21">
        <v>2.75</v>
      </c>
      <c r="G132" s="8"/>
      <c r="H132" s="20">
        <v>2.5</v>
      </c>
      <c r="I132" s="20">
        <v>2.5</v>
      </c>
      <c r="J132" s="8"/>
      <c r="K132" s="8"/>
      <c r="L132" s="8"/>
      <c r="M132" s="8"/>
      <c r="N132" s="8"/>
      <c r="O132" s="20">
        <v>2.25</v>
      </c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  <c r="AE132" s="8"/>
      <c r="AF132" s="8"/>
      <c r="AG132" s="8"/>
      <c r="AH132" s="8"/>
      <c r="AI132" s="8"/>
      <c r="AJ132" s="8"/>
      <c r="AK132" s="8"/>
      <c r="AL132" s="8"/>
      <c r="AM132" s="8"/>
      <c r="AN132" s="8"/>
      <c r="AO132" s="8"/>
      <c r="AP132" s="8"/>
      <c r="AQ132" s="8"/>
      <c r="AR132" s="8"/>
      <c r="AS132" s="10"/>
      <c r="AT132" s="8"/>
      <c r="AU132" s="8"/>
      <c r="AV132" s="10"/>
      <c r="AW132" s="8"/>
      <c r="AX132" s="8"/>
      <c r="AY132" s="10"/>
      <c r="AZ132" s="8"/>
      <c r="BA132" s="8"/>
      <c r="BB132" s="10"/>
    </row>
    <row r="133" ht="15.75" customHeight="1">
      <c r="A133" s="40" t="s">
        <v>495</v>
      </c>
      <c r="B133" s="36">
        <f t="shared" si="1"/>
        <v>2.75</v>
      </c>
      <c r="C133" s="8"/>
      <c r="D133" s="8"/>
      <c r="E133" s="8"/>
      <c r="F133" s="21">
        <v>2.75</v>
      </c>
      <c r="G133" s="20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  <c r="AE133" s="8"/>
      <c r="AF133" s="8"/>
      <c r="AG133" s="8"/>
      <c r="AH133" s="8"/>
      <c r="AI133" s="8"/>
      <c r="AJ133" s="8"/>
      <c r="AK133" s="8"/>
      <c r="AL133" s="8"/>
      <c r="AM133" s="8"/>
      <c r="AN133" s="8"/>
      <c r="AO133" s="8"/>
      <c r="AP133" s="8"/>
      <c r="AQ133" s="8"/>
      <c r="AR133" s="8"/>
      <c r="AS133" s="10"/>
      <c r="AT133" s="8"/>
      <c r="AU133" s="8"/>
      <c r="AV133" s="10"/>
      <c r="AW133" s="8"/>
      <c r="AX133" s="8"/>
      <c r="AY133" s="10"/>
      <c r="AZ133" s="8"/>
      <c r="BA133" s="8"/>
      <c r="BB133" s="10"/>
    </row>
    <row r="134" ht="15.75" customHeight="1">
      <c r="A134" s="39" t="s">
        <v>496</v>
      </c>
      <c r="B134" s="36">
        <f t="shared" si="1"/>
        <v>3</v>
      </c>
      <c r="C134" s="8"/>
      <c r="D134" s="8"/>
      <c r="E134" s="8"/>
      <c r="F134" s="8"/>
      <c r="G134" s="20">
        <v>3.0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  <c r="AE134" s="8"/>
      <c r="AF134" s="8"/>
      <c r="AG134" s="8"/>
      <c r="AH134" s="8"/>
      <c r="AI134" s="8"/>
      <c r="AJ134" s="8"/>
      <c r="AK134" s="8"/>
      <c r="AL134" s="8"/>
      <c r="AM134" s="8"/>
      <c r="AN134" s="8"/>
      <c r="AO134" s="8"/>
      <c r="AP134" s="8"/>
      <c r="AQ134" s="8"/>
      <c r="AR134" s="8"/>
      <c r="AS134" s="10"/>
      <c r="AT134" s="8"/>
      <c r="AU134" s="8"/>
      <c r="AV134" s="10"/>
      <c r="AW134" s="8"/>
      <c r="AX134" s="8"/>
      <c r="AY134" s="10"/>
      <c r="AZ134" s="8"/>
      <c r="BA134" s="8"/>
      <c r="BB134" s="10"/>
    </row>
    <row r="135" ht="15.75" customHeight="1">
      <c r="A135" s="39" t="s">
        <v>454</v>
      </c>
      <c r="B135" s="36">
        <f t="shared" si="1"/>
        <v>3.25</v>
      </c>
      <c r="C135" s="8"/>
      <c r="D135" s="8"/>
      <c r="E135" s="8"/>
      <c r="F135" s="8"/>
      <c r="G135" s="20">
        <v>3.25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  <c r="AE135" s="8"/>
      <c r="AF135" s="8"/>
      <c r="AG135" s="8"/>
      <c r="AH135" s="8"/>
      <c r="AI135" s="8"/>
      <c r="AJ135" s="8"/>
      <c r="AK135" s="8"/>
      <c r="AL135" s="8"/>
      <c r="AM135" s="8"/>
      <c r="AN135" s="8"/>
      <c r="AO135" s="8"/>
      <c r="AP135" s="8"/>
      <c r="AQ135" s="8"/>
      <c r="AR135" s="8"/>
      <c r="AS135" s="10"/>
      <c r="AT135" s="8"/>
      <c r="AU135" s="8"/>
      <c r="AV135" s="10"/>
      <c r="AW135" s="8"/>
      <c r="AX135" s="8"/>
      <c r="AY135" s="10"/>
      <c r="AZ135" s="8"/>
      <c r="BA135" s="8"/>
      <c r="BB135" s="10"/>
    </row>
    <row r="136" ht="15.75" customHeight="1">
      <c r="A136" s="39" t="s">
        <v>497</v>
      </c>
      <c r="B136" s="36">
        <f t="shared" si="1"/>
        <v>2.5</v>
      </c>
      <c r="C136" s="8"/>
      <c r="D136" s="8"/>
      <c r="E136" s="8"/>
      <c r="F136" s="8"/>
      <c r="G136" s="8"/>
      <c r="H136" s="20">
        <v>2.5</v>
      </c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  <c r="AE136" s="8"/>
      <c r="AF136" s="8"/>
      <c r="AG136" s="8"/>
      <c r="AH136" s="8"/>
      <c r="AI136" s="8"/>
      <c r="AJ136" s="8"/>
      <c r="AK136" s="8"/>
      <c r="AL136" s="8"/>
      <c r="AM136" s="8"/>
      <c r="AN136" s="8"/>
      <c r="AO136" s="8"/>
      <c r="AP136" s="8"/>
      <c r="AQ136" s="8"/>
      <c r="AR136" s="8"/>
      <c r="AS136" s="10"/>
      <c r="AT136" s="8"/>
      <c r="AU136" s="8"/>
      <c r="AV136" s="10"/>
      <c r="AW136" s="8"/>
      <c r="AX136" s="8"/>
      <c r="AY136" s="10"/>
      <c r="AZ136" s="8"/>
      <c r="BA136" s="8"/>
      <c r="BB136" s="10"/>
    </row>
    <row r="137" ht="15.75" customHeight="1">
      <c r="A137" s="39" t="s">
        <v>392</v>
      </c>
      <c r="B137" s="36">
        <f t="shared" si="1"/>
        <v>2.25</v>
      </c>
      <c r="C137" s="8"/>
      <c r="D137" s="8"/>
      <c r="E137" s="8"/>
      <c r="F137" s="8"/>
      <c r="G137" s="8"/>
      <c r="H137" s="20">
        <v>2.25</v>
      </c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  <c r="AD137" s="8"/>
      <c r="AE137" s="8"/>
      <c r="AF137" s="8"/>
      <c r="AG137" s="8"/>
      <c r="AH137" s="8"/>
      <c r="AI137" s="8"/>
      <c r="AJ137" s="8"/>
      <c r="AK137" s="8"/>
      <c r="AL137" s="8"/>
      <c r="AM137" s="8"/>
      <c r="AN137" s="8"/>
      <c r="AO137" s="8"/>
      <c r="AP137" s="8"/>
      <c r="AQ137" s="8"/>
      <c r="AR137" s="8"/>
      <c r="AS137" s="10"/>
      <c r="AT137" s="8"/>
      <c r="AU137" s="8"/>
      <c r="AV137" s="10"/>
      <c r="AW137" s="8"/>
      <c r="AX137" s="8"/>
      <c r="AY137" s="10"/>
      <c r="AZ137" s="8"/>
      <c r="BA137" s="8"/>
      <c r="BB137" s="10"/>
    </row>
    <row r="138" ht="15.75" customHeight="1">
      <c r="A138" s="39" t="s">
        <v>498</v>
      </c>
      <c r="B138" s="36">
        <f t="shared" si="1"/>
        <v>4.25</v>
      </c>
      <c r="C138" s="8"/>
      <c r="D138" s="8"/>
      <c r="E138" s="8"/>
      <c r="F138" s="8"/>
      <c r="G138" s="8"/>
      <c r="H138" s="20">
        <v>2.25</v>
      </c>
      <c r="I138" s="8"/>
      <c r="J138" s="8"/>
      <c r="K138" s="8"/>
      <c r="L138" s="8"/>
      <c r="M138" s="8"/>
      <c r="N138" s="8"/>
      <c r="O138" s="8"/>
      <c r="P138" s="8"/>
      <c r="Q138" s="20">
        <v>2.0</v>
      </c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  <c r="AD138" s="8"/>
      <c r="AE138" s="8"/>
      <c r="AF138" s="8"/>
      <c r="AG138" s="8"/>
      <c r="AH138" s="8"/>
      <c r="AI138" s="8"/>
      <c r="AJ138" s="8"/>
      <c r="AK138" s="8"/>
      <c r="AL138" s="8"/>
      <c r="AM138" s="8"/>
      <c r="AN138" s="8"/>
      <c r="AO138" s="8"/>
      <c r="AP138" s="8"/>
      <c r="AQ138" s="8"/>
      <c r="AR138" s="8"/>
      <c r="AS138" s="10"/>
      <c r="AT138" s="8"/>
      <c r="AU138" s="8"/>
      <c r="AV138" s="10"/>
      <c r="AW138" s="8"/>
      <c r="AX138" s="8"/>
      <c r="AY138" s="10"/>
      <c r="AZ138" s="8"/>
      <c r="BA138" s="8"/>
      <c r="BB138" s="10"/>
    </row>
    <row r="139" ht="15.75" customHeight="1">
      <c r="A139" s="39" t="s">
        <v>179</v>
      </c>
      <c r="B139" s="36">
        <f t="shared" si="1"/>
        <v>2</v>
      </c>
      <c r="C139" s="8"/>
      <c r="D139" s="8"/>
      <c r="E139" s="8"/>
      <c r="F139" s="8"/>
      <c r="G139" s="8"/>
      <c r="H139" s="8"/>
      <c r="I139" s="8"/>
      <c r="J139" s="20">
        <v>2.0</v>
      </c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  <c r="AD139" s="8"/>
      <c r="AE139" s="8"/>
      <c r="AF139" s="8"/>
      <c r="AG139" s="8"/>
      <c r="AH139" s="8"/>
      <c r="AI139" s="8"/>
      <c r="AJ139" s="8"/>
      <c r="AK139" s="8"/>
      <c r="AL139" s="8"/>
      <c r="AM139" s="8"/>
      <c r="AN139" s="8"/>
      <c r="AO139" s="8"/>
      <c r="AP139" s="8"/>
      <c r="AQ139" s="8"/>
      <c r="AR139" s="8"/>
      <c r="AS139" s="10"/>
      <c r="AT139" s="8"/>
      <c r="AU139" s="8"/>
      <c r="AV139" s="10"/>
      <c r="AW139" s="8"/>
      <c r="AX139" s="8"/>
      <c r="AY139" s="10"/>
      <c r="AZ139" s="8"/>
      <c r="BA139" s="8"/>
      <c r="BB139" s="10"/>
    </row>
    <row r="140" ht="15.75" customHeight="1">
      <c r="A140" s="39" t="s">
        <v>430</v>
      </c>
      <c r="B140" s="36">
        <f t="shared" si="1"/>
        <v>4.25</v>
      </c>
      <c r="C140" s="8"/>
      <c r="D140" s="8"/>
      <c r="E140" s="8"/>
      <c r="F140" s="8"/>
      <c r="G140" s="8"/>
      <c r="H140" s="8"/>
      <c r="I140" s="8"/>
      <c r="J140" s="20">
        <v>2.0</v>
      </c>
      <c r="K140" s="8"/>
      <c r="L140" s="20">
        <v>2.25</v>
      </c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  <c r="AD140" s="8"/>
      <c r="AE140" s="8"/>
      <c r="AF140" s="8"/>
      <c r="AG140" s="8"/>
      <c r="AH140" s="8"/>
      <c r="AI140" s="8"/>
      <c r="AJ140" s="8"/>
      <c r="AK140" s="8"/>
      <c r="AL140" s="8"/>
      <c r="AM140" s="8"/>
      <c r="AN140" s="8"/>
      <c r="AO140" s="8"/>
      <c r="AP140" s="8"/>
      <c r="AQ140" s="8"/>
      <c r="AR140" s="8"/>
      <c r="AS140" s="10"/>
      <c r="AT140" s="8"/>
      <c r="AU140" s="8"/>
      <c r="AV140" s="10"/>
      <c r="AW140" s="8"/>
      <c r="AX140" s="8"/>
      <c r="AY140" s="10"/>
      <c r="AZ140" s="8"/>
      <c r="BA140" s="8"/>
      <c r="BB140" s="10"/>
    </row>
    <row r="141" ht="15.75" customHeight="1">
      <c r="A141" s="39" t="s">
        <v>499</v>
      </c>
      <c r="B141" s="36">
        <f t="shared" si="1"/>
        <v>2</v>
      </c>
      <c r="C141" s="8"/>
      <c r="D141" s="8"/>
      <c r="E141" s="8"/>
      <c r="F141" s="8"/>
      <c r="G141" s="8"/>
      <c r="H141" s="8"/>
      <c r="I141" s="8"/>
      <c r="J141" s="20">
        <v>2.0</v>
      </c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  <c r="AD141" s="8"/>
      <c r="AE141" s="8"/>
      <c r="AF141" s="8"/>
      <c r="AG141" s="8"/>
      <c r="AH141" s="8"/>
      <c r="AI141" s="8"/>
      <c r="AJ141" s="8"/>
      <c r="AK141" s="8"/>
      <c r="AL141" s="8"/>
      <c r="AM141" s="8"/>
      <c r="AN141" s="8"/>
      <c r="AO141" s="8"/>
      <c r="AP141" s="8"/>
      <c r="AQ141" s="8"/>
      <c r="AR141" s="8"/>
      <c r="AS141" s="10"/>
      <c r="AT141" s="8"/>
      <c r="AU141" s="8"/>
      <c r="AV141" s="10"/>
      <c r="AW141" s="8"/>
      <c r="AX141" s="8"/>
      <c r="AY141" s="10"/>
      <c r="AZ141" s="8"/>
      <c r="BA141" s="8"/>
      <c r="BB141" s="10"/>
    </row>
    <row r="142" ht="15.75" customHeight="1">
      <c r="A142" s="39" t="s">
        <v>500</v>
      </c>
      <c r="B142" s="36">
        <f t="shared" si="1"/>
        <v>2</v>
      </c>
      <c r="C142" s="8"/>
      <c r="D142" s="8"/>
      <c r="E142" s="8"/>
      <c r="F142" s="8"/>
      <c r="G142" s="8"/>
      <c r="H142" s="8"/>
      <c r="I142" s="8"/>
      <c r="J142" s="20">
        <v>2.0</v>
      </c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8"/>
      <c r="AD142" s="8"/>
      <c r="AE142" s="8"/>
      <c r="AF142" s="8"/>
      <c r="AG142" s="8"/>
      <c r="AH142" s="8"/>
      <c r="AI142" s="8"/>
      <c r="AJ142" s="8"/>
      <c r="AK142" s="8"/>
      <c r="AL142" s="8"/>
      <c r="AM142" s="8"/>
      <c r="AN142" s="8"/>
      <c r="AO142" s="8"/>
      <c r="AP142" s="8"/>
      <c r="AQ142" s="8"/>
      <c r="AR142" s="8"/>
      <c r="AS142" s="10"/>
      <c r="AT142" s="8"/>
      <c r="AU142" s="8"/>
      <c r="AV142" s="10"/>
      <c r="AW142" s="8"/>
      <c r="AX142" s="8"/>
      <c r="AY142" s="10"/>
      <c r="AZ142" s="8"/>
      <c r="BA142" s="8"/>
      <c r="BB142" s="10"/>
    </row>
    <row r="143" ht="15.75" customHeight="1">
      <c r="A143" s="39" t="s">
        <v>407</v>
      </c>
      <c r="B143" s="36">
        <f t="shared" si="1"/>
        <v>2</v>
      </c>
      <c r="C143" s="8"/>
      <c r="D143" s="8"/>
      <c r="E143" s="8"/>
      <c r="F143" s="8"/>
      <c r="G143" s="8"/>
      <c r="H143" s="8"/>
      <c r="I143" s="8"/>
      <c r="J143" s="20">
        <v>2.0</v>
      </c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8"/>
      <c r="AD143" s="8"/>
      <c r="AE143" s="8"/>
      <c r="AF143" s="8"/>
      <c r="AG143" s="8"/>
      <c r="AH143" s="8"/>
      <c r="AI143" s="8"/>
      <c r="AJ143" s="8"/>
      <c r="AK143" s="8"/>
      <c r="AL143" s="8"/>
      <c r="AM143" s="8"/>
      <c r="AN143" s="8"/>
      <c r="AO143" s="8"/>
      <c r="AP143" s="8"/>
      <c r="AQ143" s="8"/>
      <c r="AR143" s="8"/>
      <c r="AS143" s="10"/>
      <c r="AT143" s="8"/>
      <c r="AU143" s="8"/>
      <c r="AV143" s="10"/>
      <c r="AW143" s="8"/>
      <c r="AX143" s="8"/>
      <c r="AY143" s="10"/>
      <c r="AZ143" s="8"/>
      <c r="BA143" s="8"/>
      <c r="BB143" s="10"/>
    </row>
    <row r="144" ht="15.75" customHeight="1">
      <c r="A144" s="39" t="s">
        <v>473</v>
      </c>
      <c r="B144" s="36">
        <f t="shared" si="1"/>
        <v>2</v>
      </c>
      <c r="C144" s="8"/>
      <c r="D144" s="8"/>
      <c r="E144" s="8"/>
      <c r="F144" s="8"/>
      <c r="G144" s="8"/>
      <c r="H144" s="8"/>
      <c r="I144" s="8"/>
      <c r="J144" s="20">
        <v>2.0</v>
      </c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  <c r="AE144" s="8"/>
      <c r="AF144" s="8"/>
      <c r="AG144" s="8"/>
      <c r="AH144" s="8"/>
      <c r="AI144" s="8"/>
      <c r="AJ144" s="8"/>
      <c r="AK144" s="8"/>
      <c r="AL144" s="8"/>
      <c r="AM144" s="8"/>
      <c r="AN144" s="8"/>
      <c r="AO144" s="8"/>
      <c r="AP144" s="8"/>
      <c r="AQ144" s="8"/>
      <c r="AR144" s="8"/>
      <c r="AS144" s="10"/>
      <c r="AT144" s="8"/>
      <c r="AU144" s="8"/>
      <c r="AV144" s="10"/>
      <c r="AW144" s="8"/>
      <c r="AX144" s="8"/>
      <c r="AY144" s="10"/>
      <c r="AZ144" s="8"/>
      <c r="BA144" s="8"/>
      <c r="BB144" s="10"/>
    </row>
    <row r="145" ht="15.75" customHeight="1">
      <c r="A145" s="39" t="s">
        <v>397</v>
      </c>
      <c r="B145" s="36">
        <f t="shared" si="1"/>
        <v>6.5</v>
      </c>
      <c r="C145" s="8"/>
      <c r="D145" s="8"/>
      <c r="E145" s="8"/>
      <c r="F145" s="8"/>
      <c r="G145" s="8"/>
      <c r="H145" s="8"/>
      <c r="I145" s="8"/>
      <c r="J145" s="20">
        <v>2.0</v>
      </c>
      <c r="K145" s="8"/>
      <c r="L145" s="8"/>
      <c r="M145" s="20">
        <v>1.75</v>
      </c>
      <c r="N145" s="20">
        <v>1.5</v>
      </c>
      <c r="O145" s="20">
        <v>1.25</v>
      </c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  <c r="AE145" s="8"/>
      <c r="AF145" s="8"/>
      <c r="AG145" s="8"/>
      <c r="AH145" s="8"/>
      <c r="AI145" s="8"/>
      <c r="AJ145" s="8"/>
      <c r="AK145" s="8"/>
      <c r="AL145" s="8"/>
      <c r="AM145" s="8"/>
      <c r="AN145" s="8"/>
      <c r="AO145" s="8"/>
      <c r="AP145" s="8"/>
      <c r="AQ145" s="8"/>
      <c r="AR145" s="8"/>
      <c r="AS145" s="10"/>
      <c r="AT145" s="8"/>
      <c r="AU145" s="8"/>
      <c r="AV145" s="10"/>
      <c r="AW145" s="8"/>
      <c r="AX145" s="8"/>
      <c r="AY145" s="10"/>
      <c r="AZ145" s="8"/>
      <c r="BA145" s="8"/>
      <c r="BB145" s="10"/>
    </row>
    <row r="146" ht="15.75" customHeight="1">
      <c r="A146" s="40" t="s">
        <v>468</v>
      </c>
      <c r="B146" s="36">
        <f t="shared" si="1"/>
        <v>4.5</v>
      </c>
      <c r="C146" s="8"/>
      <c r="D146" s="8"/>
      <c r="E146" s="8"/>
      <c r="F146" s="8"/>
      <c r="G146" s="8"/>
      <c r="H146" s="8"/>
      <c r="I146" s="8"/>
      <c r="J146" s="8"/>
      <c r="K146" s="21">
        <v>2.0</v>
      </c>
      <c r="L146" s="8"/>
      <c r="M146" s="8"/>
      <c r="N146" s="20">
        <v>2.5</v>
      </c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  <c r="AD146" s="8"/>
      <c r="AE146" s="8"/>
      <c r="AF146" s="8"/>
      <c r="AG146" s="8"/>
      <c r="AH146" s="8"/>
      <c r="AI146" s="8"/>
      <c r="AJ146" s="8"/>
      <c r="AK146" s="8"/>
      <c r="AL146" s="8"/>
      <c r="AM146" s="8"/>
      <c r="AN146" s="8"/>
      <c r="AO146" s="8"/>
      <c r="AP146" s="8"/>
      <c r="AQ146" s="8"/>
      <c r="AR146" s="8"/>
      <c r="AS146" s="10"/>
      <c r="AT146" s="8"/>
      <c r="AU146" s="8"/>
      <c r="AV146" s="10"/>
      <c r="AW146" s="8"/>
      <c r="AX146" s="8"/>
      <c r="AY146" s="10"/>
      <c r="AZ146" s="8"/>
      <c r="BA146" s="8"/>
      <c r="BB146" s="10"/>
    </row>
    <row r="147" ht="15.75" customHeight="1">
      <c r="A147" s="40" t="s">
        <v>218</v>
      </c>
      <c r="B147" s="36">
        <f t="shared" si="1"/>
        <v>2.5</v>
      </c>
      <c r="C147" s="8"/>
      <c r="D147" s="8"/>
      <c r="E147" s="8"/>
      <c r="F147" s="8"/>
      <c r="G147" s="8"/>
      <c r="H147" s="8"/>
      <c r="I147" s="8"/>
      <c r="J147" s="8"/>
      <c r="K147" s="21">
        <v>2.5</v>
      </c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  <c r="AE147" s="8"/>
      <c r="AF147" s="8"/>
      <c r="AG147" s="8"/>
      <c r="AH147" s="8"/>
      <c r="AI147" s="8"/>
      <c r="AJ147" s="8"/>
      <c r="AK147" s="8"/>
      <c r="AL147" s="8"/>
      <c r="AM147" s="8"/>
      <c r="AN147" s="8"/>
      <c r="AO147" s="8"/>
      <c r="AP147" s="8"/>
      <c r="AQ147" s="8"/>
      <c r="AR147" s="8"/>
      <c r="AS147" s="10"/>
      <c r="AT147" s="8"/>
      <c r="AU147" s="8"/>
      <c r="AV147" s="10"/>
      <c r="AW147" s="8"/>
      <c r="AX147" s="8"/>
      <c r="AY147" s="10"/>
      <c r="AZ147" s="8"/>
      <c r="BA147" s="8"/>
      <c r="BB147" s="10"/>
    </row>
    <row r="148" ht="15.75" customHeight="1">
      <c r="A148" s="39" t="s">
        <v>501</v>
      </c>
      <c r="B148" s="36">
        <f t="shared" si="1"/>
        <v>2.25</v>
      </c>
      <c r="C148" s="8"/>
      <c r="D148" s="8"/>
      <c r="E148" s="8"/>
      <c r="F148" s="8"/>
      <c r="G148" s="8"/>
      <c r="H148" s="8"/>
      <c r="I148" s="8"/>
      <c r="J148" s="8"/>
      <c r="K148" s="8"/>
      <c r="L148" s="20">
        <v>2.25</v>
      </c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  <c r="AC148" s="8"/>
      <c r="AD148" s="8"/>
      <c r="AE148" s="8"/>
      <c r="AF148" s="8"/>
      <c r="AG148" s="8"/>
      <c r="AH148" s="8"/>
      <c r="AI148" s="8"/>
      <c r="AJ148" s="8"/>
      <c r="AK148" s="8"/>
      <c r="AL148" s="8"/>
      <c r="AM148" s="8"/>
      <c r="AN148" s="8"/>
      <c r="AO148" s="8"/>
      <c r="AP148" s="8"/>
      <c r="AQ148" s="8"/>
      <c r="AR148" s="8"/>
      <c r="AS148" s="10"/>
      <c r="AT148" s="8"/>
      <c r="AU148" s="8"/>
      <c r="AV148" s="10"/>
      <c r="AW148" s="8"/>
      <c r="AX148" s="8"/>
      <c r="AY148" s="10"/>
      <c r="AZ148" s="8"/>
      <c r="BA148" s="8"/>
      <c r="BB148" s="10"/>
    </row>
    <row r="149" ht="15.75" customHeight="1">
      <c r="A149" s="39" t="s">
        <v>431</v>
      </c>
      <c r="B149" s="36">
        <f t="shared" si="1"/>
        <v>3</v>
      </c>
      <c r="C149" s="8"/>
      <c r="D149" s="8"/>
      <c r="E149" s="8"/>
      <c r="F149" s="8"/>
      <c r="G149" s="8"/>
      <c r="H149" s="8"/>
      <c r="I149" s="8"/>
      <c r="J149" s="8"/>
      <c r="K149" s="8"/>
      <c r="L149" s="20">
        <v>3.0</v>
      </c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  <c r="AE149" s="8"/>
      <c r="AF149" s="8"/>
      <c r="AG149" s="8"/>
      <c r="AH149" s="8"/>
      <c r="AI149" s="8"/>
      <c r="AJ149" s="8"/>
      <c r="AK149" s="8"/>
      <c r="AL149" s="8"/>
      <c r="AM149" s="8"/>
      <c r="AN149" s="8"/>
      <c r="AO149" s="8"/>
      <c r="AP149" s="8"/>
      <c r="AQ149" s="8"/>
      <c r="AR149" s="8"/>
      <c r="AS149" s="10"/>
      <c r="AT149" s="8"/>
      <c r="AU149" s="8"/>
      <c r="AV149" s="10"/>
      <c r="AW149" s="8"/>
      <c r="AX149" s="8"/>
      <c r="AY149" s="10"/>
      <c r="AZ149" s="8"/>
      <c r="BA149" s="8"/>
      <c r="BB149" s="10"/>
    </row>
    <row r="150" ht="15.75" customHeight="1">
      <c r="A150" s="39" t="s">
        <v>502</v>
      </c>
      <c r="B150" s="36">
        <f t="shared" si="1"/>
        <v>2.25</v>
      </c>
      <c r="C150" s="8"/>
      <c r="D150" s="8"/>
      <c r="E150" s="8"/>
      <c r="F150" s="8"/>
      <c r="G150" s="8"/>
      <c r="H150" s="8"/>
      <c r="I150" s="8"/>
      <c r="J150" s="8"/>
      <c r="K150" s="8"/>
      <c r="L150" s="20">
        <v>2.25</v>
      </c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  <c r="AD150" s="8"/>
      <c r="AE150" s="8"/>
      <c r="AF150" s="8"/>
      <c r="AG150" s="8"/>
      <c r="AH150" s="8"/>
      <c r="AI150" s="8"/>
      <c r="AJ150" s="8"/>
      <c r="AK150" s="8"/>
      <c r="AL150" s="8"/>
      <c r="AM150" s="8"/>
      <c r="AN150" s="8"/>
      <c r="AO150" s="8"/>
      <c r="AP150" s="8"/>
      <c r="AQ150" s="8"/>
      <c r="AR150" s="8"/>
      <c r="AS150" s="10"/>
      <c r="AT150" s="8"/>
      <c r="AU150" s="8"/>
      <c r="AV150" s="10"/>
      <c r="AW150" s="8"/>
      <c r="AX150" s="8"/>
      <c r="AY150" s="10"/>
      <c r="AZ150" s="8"/>
      <c r="BA150" s="8"/>
      <c r="BB150" s="10"/>
    </row>
    <row r="151" ht="15.75" customHeight="1">
      <c r="A151" s="39" t="s">
        <v>385</v>
      </c>
      <c r="B151" s="36">
        <f t="shared" si="1"/>
        <v>2</v>
      </c>
      <c r="C151" s="8"/>
      <c r="D151" s="8"/>
      <c r="E151" s="8"/>
      <c r="F151" s="8"/>
      <c r="G151" s="8"/>
      <c r="H151" s="8"/>
      <c r="I151" s="8"/>
      <c r="J151" s="8"/>
      <c r="K151" s="8"/>
      <c r="L151" s="20">
        <v>2.0</v>
      </c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  <c r="AC151" s="8"/>
      <c r="AD151" s="8"/>
      <c r="AE151" s="8"/>
      <c r="AF151" s="8"/>
      <c r="AG151" s="8"/>
      <c r="AH151" s="8"/>
      <c r="AI151" s="8"/>
      <c r="AJ151" s="8"/>
      <c r="AK151" s="8"/>
      <c r="AL151" s="8"/>
      <c r="AM151" s="8"/>
      <c r="AN151" s="8"/>
      <c r="AO151" s="8"/>
      <c r="AP151" s="8"/>
      <c r="AQ151" s="8"/>
      <c r="AR151" s="8"/>
      <c r="AS151" s="10"/>
      <c r="AT151" s="8"/>
      <c r="AU151" s="8"/>
      <c r="AV151" s="10"/>
      <c r="AW151" s="8"/>
      <c r="AX151" s="8"/>
      <c r="AY151" s="10"/>
      <c r="AZ151" s="8"/>
      <c r="BA151" s="8"/>
      <c r="BB151" s="10"/>
    </row>
    <row r="152" ht="15.75" customHeight="1">
      <c r="A152" s="39" t="s">
        <v>41</v>
      </c>
      <c r="B152" s="36">
        <f t="shared" si="1"/>
        <v>2.25</v>
      </c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20">
        <v>2.25</v>
      </c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  <c r="AC152" s="8"/>
      <c r="AD152" s="8"/>
      <c r="AE152" s="8"/>
      <c r="AF152" s="8"/>
      <c r="AG152" s="8"/>
      <c r="AH152" s="8"/>
      <c r="AI152" s="8"/>
      <c r="AJ152" s="8"/>
      <c r="AK152" s="8"/>
      <c r="AL152" s="8"/>
      <c r="AM152" s="8"/>
      <c r="AN152" s="8"/>
      <c r="AO152" s="8"/>
      <c r="AP152" s="8"/>
      <c r="AQ152" s="8"/>
      <c r="AR152" s="8"/>
      <c r="AS152" s="10"/>
      <c r="AT152" s="8"/>
      <c r="AU152" s="8"/>
      <c r="AV152" s="10"/>
      <c r="AW152" s="8"/>
      <c r="AX152" s="8"/>
      <c r="AY152" s="10"/>
      <c r="AZ152" s="8"/>
      <c r="BA152" s="8"/>
      <c r="BB152" s="10"/>
    </row>
    <row r="153" ht="15.75" customHeight="1">
      <c r="A153" s="39" t="s">
        <v>503</v>
      </c>
      <c r="B153" s="36">
        <f t="shared" si="1"/>
        <v>2.5</v>
      </c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20">
        <v>2.5</v>
      </c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  <c r="AC153" s="8"/>
      <c r="AD153" s="8"/>
      <c r="AE153" s="8"/>
      <c r="AF153" s="8"/>
      <c r="AG153" s="8"/>
      <c r="AH153" s="8"/>
      <c r="AI153" s="8"/>
      <c r="AJ153" s="8"/>
      <c r="AK153" s="8"/>
      <c r="AL153" s="8"/>
      <c r="AM153" s="8"/>
      <c r="AN153" s="8"/>
      <c r="AO153" s="8"/>
      <c r="AP153" s="8"/>
      <c r="AQ153" s="8"/>
      <c r="AR153" s="8"/>
      <c r="AS153" s="10"/>
      <c r="AT153" s="8"/>
      <c r="AU153" s="8"/>
      <c r="AV153" s="10"/>
      <c r="AW153" s="8"/>
      <c r="AX153" s="8"/>
      <c r="AY153" s="10"/>
      <c r="AZ153" s="8"/>
      <c r="BA153" s="8"/>
      <c r="BB153" s="10"/>
    </row>
    <row r="154" ht="15.75" customHeight="1">
      <c r="A154" s="39" t="s">
        <v>504</v>
      </c>
      <c r="B154" s="36">
        <f t="shared" si="1"/>
        <v>2.25</v>
      </c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20">
        <v>2.25</v>
      </c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  <c r="AC154" s="8"/>
      <c r="AD154" s="8"/>
      <c r="AE154" s="8"/>
      <c r="AF154" s="8"/>
      <c r="AG154" s="8"/>
      <c r="AH154" s="8"/>
      <c r="AI154" s="8"/>
      <c r="AJ154" s="8"/>
      <c r="AK154" s="8"/>
      <c r="AL154" s="8"/>
      <c r="AM154" s="8"/>
      <c r="AN154" s="8"/>
      <c r="AO154" s="8"/>
      <c r="AP154" s="8"/>
      <c r="AQ154" s="8"/>
      <c r="AR154" s="8"/>
      <c r="AS154" s="10"/>
      <c r="AT154" s="8"/>
      <c r="AU154" s="8"/>
      <c r="AV154" s="10"/>
      <c r="AW154" s="8"/>
      <c r="AX154" s="8"/>
      <c r="AY154" s="10"/>
      <c r="AZ154" s="8"/>
      <c r="BA154" s="8"/>
      <c r="BB154" s="10"/>
    </row>
    <row r="155" ht="15.75" customHeight="1">
      <c r="A155" s="39" t="s">
        <v>396</v>
      </c>
      <c r="B155" s="36">
        <f t="shared" si="1"/>
        <v>4.5</v>
      </c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20">
        <v>1.75</v>
      </c>
      <c r="N155" s="20">
        <v>1.5</v>
      </c>
      <c r="O155" s="20">
        <v>1.25</v>
      </c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  <c r="AC155" s="8"/>
      <c r="AD155" s="8"/>
      <c r="AE155" s="8"/>
      <c r="AF155" s="8"/>
      <c r="AG155" s="8"/>
      <c r="AH155" s="8"/>
      <c r="AI155" s="8"/>
      <c r="AJ155" s="8"/>
      <c r="AK155" s="8"/>
      <c r="AL155" s="8"/>
      <c r="AM155" s="8"/>
      <c r="AN155" s="8"/>
      <c r="AO155" s="8"/>
      <c r="AP155" s="8"/>
      <c r="AQ155" s="8"/>
      <c r="AR155" s="8"/>
      <c r="AS155" s="10"/>
      <c r="AT155" s="8"/>
      <c r="AU155" s="8"/>
      <c r="AV155" s="10"/>
      <c r="AW155" s="8"/>
      <c r="AX155" s="8"/>
      <c r="AY155" s="10"/>
      <c r="AZ155" s="8"/>
      <c r="BA155" s="8"/>
      <c r="BB155" s="10"/>
    </row>
    <row r="156" ht="15.75" customHeight="1">
      <c r="A156" s="39" t="s">
        <v>505</v>
      </c>
      <c r="B156" s="36">
        <f t="shared" si="1"/>
        <v>2.5</v>
      </c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20">
        <v>2.5</v>
      </c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  <c r="AC156" s="8"/>
      <c r="AD156" s="8"/>
      <c r="AE156" s="8"/>
      <c r="AF156" s="8"/>
      <c r="AG156" s="8"/>
      <c r="AH156" s="8"/>
      <c r="AI156" s="8"/>
      <c r="AJ156" s="8"/>
      <c r="AK156" s="8"/>
      <c r="AL156" s="8"/>
      <c r="AM156" s="8"/>
      <c r="AN156" s="8"/>
      <c r="AO156" s="8"/>
      <c r="AP156" s="8"/>
      <c r="AQ156" s="8"/>
      <c r="AR156" s="8"/>
      <c r="AS156" s="10"/>
      <c r="AT156" s="8"/>
      <c r="AU156" s="8"/>
      <c r="AV156" s="10"/>
      <c r="AW156" s="8"/>
      <c r="AX156" s="8"/>
      <c r="AY156" s="10"/>
      <c r="AZ156" s="8"/>
      <c r="BA156" s="8"/>
      <c r="BB156" s="10"/>
    </row>
    <row r="157" ht="15.75" customHeight="1">
      <c r="A157" s="39" t="s">
        <v>506</v>
      </c>
      <c r="B157" s="36">
        <f t="shared" si="1"/>
        <v>2.5</v>
      </c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20">
        <v>2.5</v>
      </c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  <c r="AE157" s="8"/>
      <c r="AF157" s="8"/>
      <c r="AG157" s="8"/>
      <c r="AH157" s="8"/>
      <c r="AI157" s="8"/>
      <c r="AJ157" s="8"/>
      <c r="AK157" s="8"/>
      <c r="AL157" s="8"/>
      <c r="AM157" s="8"/>
      <c r="AN157" s="8"/>
      <c r="AO157" s="8"/>
      <c r="AP157" s="8"/>
      <c r="AQ157" s="8"/>
      <c r="AR157" s="8"/>
      <c r="AS157" s="10"/>
      <c r="AT157" s="8"/>
      <c r="AU157" s="8"/>
      <c r="AV157" s="10"/>
      <c r="AW157" s="8"/>
      <c r="AX157" s="8"/>
      <c r="AY157" s="10"/>
      <c r="AZ157" s="8"/>
      <c r="BA157" s="8"/>
      <c r="BB157" s="10"/>
    </row>
    <row r="158" ht="15.75" customHeight="1">
      <c r="A158" s="39" t="s">
        <v>273</v>
      </c>
      <c r="B158" s="36">
        <f t="shared" si="1"/>
        <v>4.75</v>
      </c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20">
        <v>2.25</v>
      </c>
      <c r="O158" s="8"/>
      <c r="P158" s="20">
        <v>2.5</v>
      </c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  <c r="AD158" s="8"/>
      <c r="AE158" s="8"/>
      <c r="AF158" s="8"/>
      <c r="AG158" s="8"/>
      <c r="AH158" s="8"/>
      <c r="AI158" s="8"/>
      <c r="AJ158" s="8"/>
      <c r="AK158" s="8"/>
      <c r="AL158" s="8"/>
      <c r="AM158" s="8"/>
      <c r="AN158" s="8"/>
      <c r="AO158" s="8"/>
      <c r="AP158" s="8"/>
      <c r="AQ158" s="8"/>
      <c r="AR158" s="8"/>
      <c r="AS158" s="10"/>
      <c r="AT158" s="8"/>
      <c r="AU158" s="8"/>
      <c r="AV158" s="10"/>
      <c r="AW158" s="8"/>
      <c r="AX158" s="8"/>
      <c r="AY158" s="10"/>
      <c r="AZ158" s="8"/>
      <c r="BA158" s="8"/>
      <c r="BB158" s="10"/>
    </row>
    <row r="159" ht="15.75" customHeight="1">
      <c r="A159" s="39" t="s">
        <v>507</v>
      </c>
      <c r="B159" s="36">
        <f t="shared" si="1"/>
        <v>5.5</v>
      </c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20">
        <v>2.5</v>
      </c>
      <c r="O159" s="8"/>
      <c r="P159" s="8"/>
      <c r="Q159" s="20">
        <v>3.0</v>
      </c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  <c r="AC159" s="8"/>
      <c r="AD159" s="8"/>
      <c r="AE159" s="8"/>
      <c r="AF159" s="8"/>
      <c r="AG159" s="8"/>
      <c r="AH159" s="8"/>
      <c r="AI159" s="8"/>
      <c r="AJ159" s="8"/>
      <c r="AK159" s="8"/>
      <c r="AL159" s="8"/>
      <c r="AM159" s="8"/>
      <c r="AN159" s="8"/>
      <c r="AO159" s="8"/>
      <c r="AP159" s="8"/>
      <c r="AQ159" s="8"/>
      <c r="AR159" s="8"/>
      <c r="AS159" s="10"/>
      <c r="AT159" s="8"/>
      <c r="AU159" s="8"/>
      <c r="AV159" s="10"/>
      <c r="AW159" s="8"/>
      <c r="AX159" s="8"/>
      <c r="AY159" s="10"/>
      <c r="AZ159" s="8"/>
      <c r="BA159" s="8"/>
      <c r="BB159" s="10"/>
    </row>
    <row r="160" ht="15.75" customHeight="1">
      <c r="A160" s="39" t="s">
        <v>508</v>
      </c>
      <c r="B160" s="36">
        <f t="shared" si="1"/>
        <v>2.5</v>
      </c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20">
        <v>2.5</v>
      </c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  <c r="AC160" s="8"/>
      <c r="AD160" s="8"/>
      <c r="AE160" s="8"/>
      <c r="AF160" s="8"/>
      <c r="AG160" s="8"/>
      <c r="AH160" s="8"/>
      <c r="AI160" s="8"/>
      <c r="AJ160" s="8"/>
      <c r="AK160" s="8"/>
      <c r="AL160" s="8"/>
      <c r="AM160" s="8"/>
      <c r="AN160" s="8"/>
      <c r="AO160" s="8"/>
      <c r="AP160" s="8"/>
      <c r="AQ160" s="8"/>
      <c r="AR160" s="8"/>
      <c r="AS160" s="10"/>
      <c r="AT160" s="8"/>
      <c r="AU160" s="8"/>
      <c r="AV160" s="10"/>
      <c r="AW160" s="8"/>
      <c r="AX160" s="8"/>
      <c r="AY160" s="10"/>
      <c r="AZ160" s="8"/>
      <c r="BA160" s="8"/>
      <c r="BB160" s="10"/>
    </row>
    <row r="161" ht="15.75" customHeight="1">
      <c r="A161" s="39" t="s">
        <v>509</v>
      </c>
      <c r="B161" s="36">
        <f t="shared" si="1"/>
        <v>2.5</v>
      </c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20">
        <v>2.5</v>
      </c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  <c r="AC161" s="8"/>
      <c r="AD161" s="8"/>
      <c r="AE161" s="8"/>
      <c r="AF161" s="8"/>
      <c r="AG161" s="8"/>
      <c r="AH161" s="8"/>
      <c r="AI161" s="8"/>
      <c r="AJ161" s="8"/>
      <c r="AK161" s="8"/>
      <c r="AL161" s="8"/>
      <c r="AM161" s="8"/>
      <c r="AN161" s="8"/>
      <c r="AO161" s="8"/>
      <c r="AP161" s="8"/>
      <c r="AQ161" s="8"/>
      <c r="AR161" s="8"/>
      <c r="AS161" s="10"/>
      <c r="AT161" s="8"/>
      <c r="AU161" s="8"/>
      <c r="AV161" s="10"/>
      <c r="AW161" s="8"/>
      <c r="AX161" s="8"/>
      <c r="AY161" s="10"/>
      <c r="AZ161" s="8"/>
      <c r="BA161" s="8"/>
      <c r="BB161" s="10"/>
    </row>
    <row r="162" ht="15.75" customHeight="1">
      <c r="A162" s="39" t="s">
        <v>510</v>
      </c>
      <c r="B162" s="36">
        <f t="shared" si="1"/>
        <v>2.5</v>
      </c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20">
        <v>2.5</v>
      </c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8"/>
      <c r="AC162" s="8"/>
      <c r="AD162" s="8"/>
      <c r="AE162" s="8"/>
      <c r="AF162" s="8"/>
      <c r="AG162" s="8"/>
      <c r="AH162" s="8"/>
      <c r="AI162" s="8"/>
      <c r="AJ162" s="8"/>
      <c r="AK162" s="8"/>
      <c r="AL162" s="8"/>
      <c r="AM162" s="8"/>
      <c r="AN162" s="8"/>
      <c r="AO162" s="8"/>
      <c r="AP162" s="8"/>
      <c r="AQ162" s="8"/>
      <c r="AR162" s="8"/>
      <c r="AS162" s="10"/>
      <c r="AT162" s="8"/>
      <c r="AU162" s="8"/>
      <c r="AV162" s="10"/>
      <c r="AW162" s="8"/>
      <c r="AX162" s="8"/>
      <c r="AY162" s="10"/>
      <c r="AZ162" s="8"/>
      <c r="BA162" s="8"/>
      <c r="BB162" s="10"/>
    </row>
    <row r="163" ht="15.75" customHeight="1">
      <c r="A163" s="39" t="s">
        <v>511</v>
      </c>
      <c r="B163" s="36">
        <f t="shared" si="1"/>
        <v>4.25</v>
      </c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20">
        <v>2.5</v>
      </c>
      <c r="O163" s="8"/>
      <c r="P163" s="20">
        <v>1.75</v>
      </c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  <c r="AB163" s="8"/>
      <c r="AC163" s="8"/>
      <c r="AD163" s="8"/>
      <c r="AE163" s="8"/>
      <c r="AF163" s="8"/>
      <c r="AG163" s="8"/>
      <c r="AH163" s="8"/>
      <c r="AI163" s="8"/>
      <c r="AJ163" s="8"/>
      <c r="AK163" s="8"/>
      <c r="AL163" s="8"/>
      <c r="AM163" s="8"/>
      <c r="AN163" s="8"/>
      <c r="AO163" s="8"/>
      <c r="AP163" s="8"/>
      <c r="AQ163" s="8"/>
      <c r="AR163" s="8"/>
      <c r="AS163" s="10"/>
      <c r="AT163" s="8"/>
      <c r="AU163" s="8"/>
      <c r="AV163" s="10"/>
      <c r="AW163" s="8"/>
      <c r="AX163" s="8"/>
      <c r="AY163" s="10"/>
      <c r="AZ163" s="8"/>
      <c r="BA163" s="8"/>
      <c r="BB163" s="10"/>
    </row>
    <row r="164" ht="15.75" customHeight="1">
      <c r="A164" s="39" t="s">
        <v>512</v>
      </c>
      <c r="B164" s="36">
        <f t="shared" si="1"/>
        <v>1.5</v>
      </c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20">
        <v>1.5</v>
      </c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  <c r="AB164" s="8"/>
      <c r="AC164" s="8"/>
      <c r="AD164" s="8"/>
      <c r="AE164" s="8"/>
      <c r="AF164" s="8"/>
      <c r="AG164" s="8"/>
      <c r="AH164" s="8"/>
      <c r="AI164" s="8"/>
      <c r="AJ164" s="8"/>
      <c r="AK164" s="8"/>
      <c r="AL164" s="8"/>
      <c r="AM164" s="8"/>
      <c r="AN164" s="8"/>
      <c r="AO164" s="8"/>
      <c r="AP164" s="8"/>
      <c r="AQ164" s="8"/>
      <c r="AR164" s="8"/>
      <c r="AS164" s="10"/>
      <c r="AT164" s="8"/>
      <c r="AU164" s="8"/>
      <c r="AV164" s="10"/>
      <c r="AW164" s="8"/>
      <c r="AX164" s="8"/>
      <c r="AY164" s="10"/>
      <c r="AZ164" s="8"/>
      <c r="BA164" s="8"/>
      <c r="BB164" s="10"/>
    </row>
    <row r="165" ht="15.75" customHeight="1">
      <c r="A165" s="39" t="s">
        <v>513</v>
      </c>
      <c r="B165" s="36">
        <f t="shared" si="1"/>
        <v>2.5</v>
      </c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20">
        <v>2.5</v>
      </c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  <c r="AB165" s="8"/>
      <c r="AC165" s="8"/>
      <c r="AD165" s="8"/>
      <c r="AE165" s="8"/>
      <c r="AF165" s="8"/>
      <c r="AG165" s="8"/>
      <c r="AH165" s="8"/>
      <c r="AI165" s="8"/>
      <c r="AJ165" s="8"/>
      <c r="AK165" s="8"/>
      <c r="AL165" s="8"/>
      <c r="AM165" s="8"/>
      <c r="AN165" s="8"/>
      <c r="AO165" s="8"/>
      <c r="AP165" s="8"/>
      <c r="AQ165" s="8"/>
      <c r="AR165" s="8"/>
      <c r="AS165" s="10"/>
      <c r="AT165" s="8"/>
      <c r="AU165" s="8"/>
      <c r="AV165" s="10"/>
      <c r="AW165" s="8"/>
      <c r="AX165" s="8"/>
      <c r="AY165" s="10"/>
      <c r="AZ165" s="8"/>
      <c r="BA165" s="8"/>
      <c r="BB165" s="10"/>
    </row>
    <row r="166" ht="15.75" customHeight="1">
      <c r="A166" s="39" t="s">
        <v>514</v>
      </c>
      <c r="B166" s="36">
        <f t="shared" si="1"/>
        <v>2.5</v>
      </c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20">
        <v>2.5</v>
      </c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  <c r="AB166" s="8"/>
      <c r="AC166" s="8"/>
      <c r="AD166" s="8"/>
      <c r="AE166" s="8"/>
      <c r="AF166" s="8"/>
      <c r="AG166" s="8"/>
      <c r="AH166" s="8"/>
      <c r="AI166" s="8"/>
      <c r="AJ166" s="8"/>
      <c r="AK166" s="8"/>
      <c r="AL166" s="8"/>
      <c r="AM166" s="8"/>
      <c r="AN166" s="8"/>
      <c r="AO166" s="8"/>
      <c r="AP166" s="8"/>
      <c r="AQ166" s="8"/>
      <c r="AR166" s="8"/>
      <c r="AS166" s="10"/>
      <c r="AT166" s="8"/>
      <c r="AU166" s="8"/>
      <c r="AV166" s="10"/>
      <c r="AW166" s="8"/>
      <c r="AX166" s="8"/>
      <c r="AY166" s="10"/>
      <c r="AZ166" s="8"/>
      <c r="BA166" s="8"/>
      <c r="BB166" s="10"/>
    </row>
    <row r="167" ht="15.75" customHeight="1">
      <c r="A167" s="39" t="s">
        <v>515</v>
      </c>
      <c r="B167" s="36">
        <f t="shared" si="1"/>
        <v>2.75</v>
      </c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20">
        <v>2.75</v>
      </c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  <c r="AC167" s="8"/>
      <c r="AD167" s="8"/>
      <c r="AE167" s="8"/>
      <c r="AF167" s="8"/>
      <c r="AG167" s="8"/>
      <c r="AH167" s="8"/>
      <c r="AI167" s="8"/>
      <c r="AJ167" s="8"/>
      <c r="AK167" s="8"/>
      <c r="AL167" s="8"/>
      <c r="AM167" s="8"/>
      <c r="AN167" s="8"/>
      <c r="AO167" s="8"/>
      <c r="AP167" s="8"/>
      <c r="AQ167" s="8"/>
      <c r="AR167" s="8"/>
      <c r="AS167" s="10"/>
      <c r="AT167" s="8"/>
      <c r="AU167" s="8"/>
      <c r="AV167" s="10"/>
      <c r="AW167" s="8"/>
      <c r="AX167" s="8"/>
      <c r="AY167" s="10"/>
      <c r="AZ167" s="8"/>
      <c r="BA167" s="8"/>
      <c r="BB167" s="10"/>
    </row>
    <row r="168" ht="15.75" customHeight="1">
      <c r="A168" s="39" t="s">
        <v>459</v>
      </c>
      <c r="B168" s="36">
        <f t="shared" si="1"/>
        <v>3</v>
      </c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20">
        <v>3.0</v>
      </c>
      <c r="R168" s="8"/>
      <c r="S168" s="8"/>
      <c r="T168" s="8"/>
      <c r="U168" s="8"/>
      <c r="V168" s="8"/>
      <c r="W168" s="8"/>
      <c r="X168" s="8"/>
      <c r="Y168" s="8"/>
      <c r="Z168" s="8"/>
      <c r="AA168" s="8"/>
      <c r="AB168" s="8"/>
      <c r="AC168" s="8"/>
      <c r="AD168" s="8"/>
      <c r="AE168" s="8"/>
      <c r="AF168" s="8"/>
      <c r="AG168" s="8"/>
      <c r="AH168" s="8"/>
      <c r="AI168" s="8"/>
      <c r="AJ168" s="8"/>
      <c r="AK168" s="8"/>
      <c r="AL168" s="8"/>
      <c r="AM168" s="8"/>
      <c r="AN168" s="8"/>
      <c r="AO168" s="8"/>
      <c r="AP168" s="8"/>
      <c r="AQ168" s="8"/>
      <c r="AR168" s="8"/>
      <c r="AS168" s="10"/>
      <c r="AT168" s="8"/>
      <c r="AU168" s="8"/>
      <c r="AV168" s="10"/>
      <c r="AW168" s="8"/>
      <c r="AX168" s="8"/>
      <c r="AY168" s="10"/>
      <c r="AZ168" s="8"/>
      <c r="BA168" s="8"/>
      <c r="BB168" s="10"/>
    </row>
    <row r="169" ht="15.75" customHeight="1">
      <c r="A169" s="35"/>
      <c r="B169" s="36">
        <f t="shared" si="1"/>
        <v>0</v>
      </c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8"/>
      <c r="AC169" s="8"/>
      <c r="AD169" s="8"/>
      <c r="AE169" s="8"/>
      <c r="AF169" s="8"/>
      <c r="AG169" s="8"/>
      <c r="AH169" s="8"/>
      <c r="AI169" s="8"/>
      <c r="AJ169" s="8"/>
      <c r="AK169" s="8"/>
      <c r="AL169" s="8"/>
      <c r="AM169" s="8"/>
      <c r="AN169" s="8"/>
      <c r="AO169" s="8"/>
      <c r="AP169" s="8"/>
      <c r="AQ169" s="8"/>
      <c r="AR169" s="8"/>
      <c r="AS169" s="10"/>
      <c r="AT169" s="8"/>
      <c r="AU169" s="8"/>
      <c r="AV169" s="10"/>
      <c r="AW169" s="8"/>
      <c r="AX169" s="8"/>
      <c r="AY169" s="10"/>
      <c r="AZ169" s="8"/>
      <c r="BA169" s="8"/>
      <c r="BB169" s="10"/>
    </row>
    <row r="170" ht="15.75" customHeight="1">
      <c r="A170" s="35"/>
      <c r="B170" s="36">
        <f t="shared" si="1"/>
        <v>0</v>
      </c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8"/>
      <c r="AC170" s="8"/>
      <c r="AD170" s="8"/>
      <c r="AE170" s="8"/>
      <c r="AF170" s="8"/>
      <c r="AG170" s="8"/>
      <c r="AH170" s="8"/>
      <c r="AI170" s="8"/>
      <c r="AJ170" s="8"/>
      <c r="AK170" s="8"/>
      <c r="AL170" s="8"/>
      <c r="AM170" s="8"/>
      <c r="AN170" s="8"/>
      <c r="AO170" s="8"/>
      <c r="AP170" s="8"/>
      <c r="AQ170" s="8"/>
      <c r="AR170" s="8"/>
      <c r="AS170" s="10"/>
      <c r="AT170" s="8"/>
      <c r="AU170" s="8"/>
      <c r="AV170" s="10"/>
      <c r="AW170" s="8"/>
      <c r="AX170" s="8"/>
      <c r="AY170" s="10"/>
      <c r="AZ170" s="8"/>
      <c r="BA170" s="8"/>
      <c r="BB170" s="10"/>
    </row>
    <row r="171" ht="15.75" customHeight="1">
      <c r="A171" s="35"/>
      <c r="B171" s="36">
        <f t="shared" si="1"/>
        <v>0</v>
      </c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  <c r="AC171" s="8"/>
      <c r="AD171" s="8"/>
      <c r="AE171" s="8"/>
      <c r="AF171" s="8"/>
      <c r="AG171" s="8"/>
      <c r="AH171" s="8"/>
      <c r="AI171" s="8"/>
      <c r="AJ171" s="8"/>
      <c r="AK171" s="8"/>
      <c r="AL171" s="8"/>
      <c r="AM171" s="8"/>
      <c r="AN171" s="8"/>
      <c r="AO171" s="8"/>
      <c r="AP171" s="8"/>
      <c r="AQ171" s="8"/>
      <c r="AR171" s="8"/>
      <c r="AS171" s="10"/>
      <c r="AT171" s="8"/>
      <c r="AU171" s="8"/>
      <c r="AV171" s="10"/>
      <c r="AW171" s="8"/>
      <c r="AX171" s="8"/>
      <c r="AY171" s="10"/>
      <c r="AZ171" s="8"/>
      <c r="BA171" s="8"/>
      <c r="BB171" s="10"/>
    </row>
    <row r="172" ht="15.75" customHeight="1">
      <c r="A172" s="35"/>
      <c r="B172" s="36">
        <f t="shared" si="1"/>
        <v>0</v>
      </c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  <c r="AC172" s="8"/>
      <c r="AD172" s="8"/>
      <c r="AE172" s="8"/>
      <c r="AF172" s="8"/>
      <c r="AG172" s="8"/>
      <c r="AH172" s="8"/>
      <c r="AI172" s="8"/>
      <c r="AJ172" s="8"/>
      <c r="AK172" s="8"/>
      <c r="AL172" s="8"/>
      <c r="AM172" s="8"/>
      <c r="AN172" s="8"/>
      <c r="AO172" s="8"/>
      <c r="AP172" s="8"/>
      <c r="AQ172" s="8"/>
      <c r="AR172" s="8"/>
      <c r="AS172" s="10"/>
      <c r="AT172" s="8"/>
      <c r="AU172" s="8"/>
      <c r="AV172" s="10"/>
      <c r="AW172" s="8"/>
      <c r="AX172" s="8"/>
      <c r="AY172" s="10"/>
      <c r="AZ172" s="8"/>
      <c r="BA172" s="8"/>
      <c r="BB172" s="10"/>
    </row>
    <row r="173" ht="15.75" customHeight="1">
      <c r="A173" s="35"/>
      <c r="B173" s="36">
        <f t="shared" si="1"/>
        <v>0</v>
      </c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  <c r="AC173" s="8"/>
      <c r="AD173" s="8"/>
      <c r="AE173" s="8"/>
      <c r="AF173" s="8"/>
      <c r="AG173" s="8"/>
      <c r="AH173" s="8"/>
      <c r="AI173" s="8"/>
      <c r="AJ173" s="8"/>
      <c r="AK173" s="8"/>
      <c r="AL173" s="8"/>
      <c r="AM173" s="8"/>
      <c r="AN173" s="8"/>
      <c r="AO173" s="8"/>
      <c r="AP173" s="8"/>
      <c r="AQ173" s="8"/>
      <c r="AR173" s="8"/>
      <c r="AS173" s="10"/>
      <c r="AT173" s="8"/>
      <c r="AU173" s="8"/>
      <c r="AV173" s="10"/>
      <c r="AW173" s="8"/>
      <c r="AX173" s="8"/>
      <c r="AY173" s="10"/>
      <c r="AZ173" s="8"/>
      <c r="BA173" s="8"/>
      <c r="BB173" s="10"/>
    </row>
    <row r="174" ht="15.75" customHeight="1">
      <c r="A174" s="35"/>
      <c r="B174" s="36">
        <f t="shared" si="1"/>
        <v>0</v>
      </c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  <c r="AC174" s="8"/>
      <c r="AD174" s="8"/>
      <c r="AE174" s="8"/>
      <c r="AF174" s="8"/>
      <c r="AG174" s="8"/>
      <c r="AH174" s="8"/>
      <c r="AI174" s="8"/>
      <c r="AJ174" s="8"/>
      <c r="AK174" s="8"/>
      <c r="AL174" s="8"/>
      <c r="AM174" s="8"/>
      <c r="AN174" s="8"/>
      <c r="AO174" s="8"/>
      <c r="AP174" s="8"/>
      <c r="AQ174" s="8"/>
      <c r="AR174" s="8"/>
      <c r="AS174" s="10"/>
      <c r="AT174" s="8"/>
      <c r="AU174" s="8"/>
      <c r="AV174" s="10"/>
      <c r="AW174" s="8"/>
      <c r="AX174" s="8"/>
      <c r="AY174" s="10"/>
      <c r="AZ174" s="8"/>
      <c r="BA174" s="8"/>
      <c r="BB174" s="10"/>
    </row>
    <row r="175" ht="15.75" customHeight="1">
      <c r="A175" s="35"/>
      <c r="B175" s="36">
        <f t="shared" si="1"/>
        <v>0</v>
      </c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  <c r="AC175" s="8"/>
      <c r="AD175" s="8"/>
      <c r="AE175" s="8"/>
      <c r="AF175" s="8"/>
      <c r="AG175" s="8"/>
      <c r="AH175" s="8"/>
      <c r="AI175" s="8"/>
      <c r="AJ175" s="8"/>
      <c r="AK175" s="8"/>
      <c r="AL175" s="8"/>
      <c r="AM175" s="8"/>
      <c r="AN175" s="8"/>
      <c r="AO175" s="8"/>
      <c r="AP175" s="8"/>
      <c r="AQ175" s="8"/>
      <c r="AR175" s="8"/>
      <c r="AS175" s="10"/>
      <c r="AT175" s="8"/>
      <c r="AU175" s="8"/>
      <c r="AV175" s="10"/>
      <c r="AW175" s="8"/>
      <c r="AX175" s="8"/>
      <c r="AY175" s="10"/>
      <c r="AZ175" s="8"/>
      <c r="BA175" s="8"/>
      <c r="BB175" s="10"/>
    </row>
    <row r="176" ht="15.75" customHeight="1">
      <c r="A176" s="35"/>
      <c r="B176" s="36">
        <f t="shared" si="1"/>
        <v>0</v>
      </c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  <c r="AC176" s="8"/>
      <c r="AD176" s="8"/>
      <c r="AE176" s="8"/>
      <c r="AF176" s="8"/>
      <c r="AG176" s="8"/>
      <c r="AH176" s="8"/>
      <c r="AI176" s="8"/>
      <c r="AJ176" s="8"/>
      <c r="AK176" s="8"/>
      <c r="AL176" s="8"/>
      <c r="AM176" s="8"/>
      <c r="AN176" s="8"/>
      <c r="AO176" s="8"/>
      <c r="AP176" s="8"/>
      <c r="AQ176" s="8"/>
      <c r="AR176" s="8"/>
      <c r="AS176" s="10"/>
      <c r="AT176" s="8"/>
      <c r="AU176" s="8"/>
      <c r="AV176" s="10"/>
      <c r="AW176" s="8"/>
      <c r="AX176" s="8"/>
      <c r="AY176" s="10"/>
      <c r="AZ176" s="8"/>
      <c r="BA176" s="8"/>
      <c r="BB176" s="10"/>
    </row>
    <row r="177" ht="15.75" customHeight="1">
      <c r="A177" s="35"/>
      <c r="B177" s="36">
        <f t="shared" si="1"/>
        <v>0</v>
      </c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  <c r="AC177" s="8"/>
      <c r="AD177" s="8"/>
      <c r="AE177" s="8"/>
      <c r="AF177" s="8"/>
      <c r="AG177" s="8"/>
      <c r="AH177" s="8"/>
      <c r="AI177" s="8"/>
      <c r="AJ177" s="8"/>
      <c r="AK177" s="8"/>
      <c r="AL177" s="8"/>
      <c r="AM177" s="8"/>
      <c r="AN177" s="8"/>
      <c r="AO177" s="8"/>
      <c r="AP177" s="8"/>
      <c r="AQ177" s="8"/>
      <c r="AR177" s="8"/>
      <c r="AS177" s="10"/>
      <c r="AT177" s="8"/>
      <c r="AU177" s="8"/>
      <c r="AV177" s="10"/>
      <c r="AW177" s="8"/>
      <c r="AX177" s="8"/>
      <c r="AY177" s="10"/>
      <c r="AZ177" s="8"/>
      <c r="BA177" s="8"/>
      <c r="BB177" s="10"/>
    </row>
    <row r="178" ht="15.75" customHeight="1">
      <c r="A178" s="35"/>
      <c r="B178" s="36">
        <f t="shared" si="1"/>
        <v>0</v>
      </c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  <c r="AC178" s="8"/>
      <c r="AD178" s="8"/>
      <c r="AE178" s="8"/>
      <c r="AF178" s="8"/>
      <c r="AG178" s="8"/>
      <c r="AH178" s="8"/>
      <c r="AI178" s="8"/>
      <c r="AJ178" s="8"/>
      <c r="AK178" s="8"/>
      <c r="AL178" s="8"/>
      <c r="AM178" s="8"/>
      <c r="AN178" s="8"/>
      <c r="AO178" s="8"/>
      <c r="AP178" s="8"/>
      <c r="AQ178" s="8"/>
      <c r="AR178" s="8"/>
      <c r="AS178" s="10"/>
      <c r="AT178" s="8"/>
      <c r="AU178" s="8"/>
      <c r="AV178" s="10"/>
      <c r="AW178" s="8"/>
      <c r="AX178" s="8"/>
      <c r="AY178" s="10"/>
      <c r="AZ178" s="8"/>
      <c r="BA178" s="8"/>
      <c r="BB178" s="10"/>
    </row>
    <row r="179" ht="15.75" customHeight="1">
      <c r="A179" s="35"/>
      <c r="B179" s="36">
        <f t="shared" si="1"/>
        <v>0</v>
      </c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  <c r="AC179" s="8"/>
      <c r="AD179" s="8"/>
      <c r="AE179" s="8"/>
      <c r="AF179" s="8"/>
      <c r="AG179" s="8"/>
      <c r="AH179" s="8"/>
      <c r="AI179" s="8"/>
      <c r="AJ179" s="8"/>
      <c r="AK179" s="8"/>
      <c r="AL179" s="8"/>
      <c r="AM179" s="8"/>
      <c r="AN179" s="8"/>
      <c r="AO179" s="8"/>
      <c r="AP179" s="8"/>
      <c r="AQ179" s="8"/>
      <c r="AR179" s="8"/>
      <c r="AS179" s="10"/>
      <c r="AT179" s="8"/>
      <c r="AU179" s="8"/>
      <c r="AV179" s="10"/>
      <c r="AW179" s="8"/>
      <c r="AX179" s="8"/>
      <c r="AY179" s="10"/>
      <c r="AZ179" s="8"/>
      <c r="BA179" s="8"/>
      <c r="BB179" s="10"/>
    </row>
    <row r="180" ht="15.75" customHeight="1">
      <c r="A180" s="35"/>
      <c r="B180" s="36">
        <f t="shared" si="1"/>
        <v>0</v>
      </c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  <c r="AC180" s="8"/>
      <c r="AD180" s="8"/>
      <c r="AE180" s="8"/>
      <c r="AF180" s="8"/>
      <c r="AG180" s="8"/>
      <c r="AH180" s="8"/>
      <c r="AI180" s="8"/>
      <c r="AJ180" s="8"/>
      <c r="AK180" s="8"/>
      <c r="AL180" s="8"/>
      <c r="AM180" s="8"/>
      <c r="AN180" s="8"/>
      <c r="AO180" s="8"/>
      <c r="AP180" s="8"/>
      <c r="AQ180" s="8"/>
      <c r="AR180" s="8"/>
      <c r="AS180" s="10"/>
      <c r="AT180" s="8"/>
      <c r="AU180" s="8"/>
      <c r="AV180" s="10"/>
      <c r="AW180" s="8"/>
      <c r="AX180" s="8"/>
      <c r="AY180" s="10"/>
      <c r="AZ180" s="8"/>
      <c r="BA180" s="8"/>
      <c r="BB180" s="10"/>
    </row>
    <row r="181" ht="15.75" customHeight="1">
      <c r="A181" s="35"/>
      <c r="B181" s="36">
        <f t="shared" si="1"/>
        <v>0</v>
      </c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  <c r="AC181" s="8"/>
      <c r="AD181" s="8"/>
      <c r="AE181" s="8"/>
      <c r="AF181" s="8"/>
      <c r="AG181" s="8"/>
      <c r="AH181" s="8"/>
      <c r="AI181" s="8"/>
      <c r="AJ181" s="8"/>
      <c r="AK181" s="8"/>
      <c r="AL181" s="8"/>
      <c r="AM181" s="8"/>
      <c r="AN181" s="8"/>
      <c r="AO181" s="8"/>
      <c r="AP181" s="8"/>
      <c r="AQ181" s="8"/>
      <c r="AR181" s="8"/>
      <c r="AS181" s="10"/>
      <c r="AT181" s="8"/>
      <c r="AU181" s="8"/>
      <c r="AV181" s="10"/>
      <c r="AW181" s="8"/>
      <c r="AX181" s="8"/>
      <c r="AY181" s="10"/>
      <c r="AZ181" s="8"/>
      <c r="BA181" s="8"/>
      <c r="BB181" s="10"/>
    </row>
    <row r="182" ht="15.75" customHeight="1">
      <c r="A182" s="35"/>
      <c r="B182" s="36">
        <f t="shared" si="1"/>
        <v>0</v>
      </c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  <c r="AC182" s="8"/>
      <c r="AD182" s="8"/>
      <c r="AE182" s="8"/>
      <c r="AF182" s="8"/>
      <c r="AG182" s="8"/>
      <c r="AH182" s="8"/>
      <c r="AI182" s="8"/>
      <c r="AJ182" s="8"/>
      <c r="AK182" s="8"/>
      <c r="AL182" s="8"/>
      <c r="AM182" s="8"/>
      <c r="AN182" s="8"/>
      <c r="AO182" s="8"/>
      <c r="AP182" s="8"/>
      <c r="AQ182" s="8"/>
      <c r="AR182" s="8"/>
      <c r="AS182" s="10"/>
      <c r="AT182" s="8"/>
      <c r="AU182" s="8"/>
      <c r="AV182" s="10"/>
      <c r="AW182" s="8"/>
      <c r="AX182" s="8"/>
      <c r="AY182" s="10"/>
      <c r="AZ182" s="8"/>
      <c r="BA182" s="8"/>
      <c r="BB182" s="10"/>
    </row>
    <row r="183" ht="15.75" customHeight="1">
      <c r="A183" s="35"/>
      <c r="B183" s="36">
        <f t="shared" si="1"/>
        <v>0</v>
      </c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  <c r="AC183" s="8"/>
      <c r="AD183" s="8"/>
      <c r="AE183" s="8"/>
      <c r="AF183" s="8"/>
      <c r="AG183" s="8"/>
      <c r="AH183" s="8"/>
      <c r="AI183" s="8"/>
      <c r="AJ183" s="8"/>
      <c r="AK183" s="8"/>
      <c r="AL183" s="8"/>
      <c r="AM183" s="8"/>
      <c r="AN183" s="8"/>
      <c r="AO183" s="8"/>
      <c r="AP183" s="8"/>
      <c r="AQ183" s="8"/>
      <c r="AR183" s="8"/>
      <c r="AS183" s="10"/>
      <c r="AT183" s="8"/>
      <c r="AU183" s="8"/>
      <c r="AV183" s="10"/>
      <c r="AW183" s="8"/>
      <c r="AX183" s="8"/>
      <c r="AY183" s="10"/>
      <c r="AZ183" s="8"/>
      <c r="BA183" s="8"/>
      <c r="BB183" s="10"/>
    </row>
    <row r="184" ht="15.75" customHeight="1">
      <c r="A184" s="35"/>
      <c r="B184" s="36">
        <f t="shared" si="1"/>
        <v>0</v>
      </c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  <c r="AC184" s="8"/>
      <c r="AD184" s="8"/>
      <c r="AE184" s="8"/>
      <c r="AF184" s="8"/>
      <c r="AG184" s="8"/>
      <c r="AH184" s="8"/>
      <c r="AI184" s="8"/>
      <c r="AJ184" s="8"/>
      <c r="AK184" s="8"/>
      <c r="AL184" s="8"/>
      <c r="AM184" s="8"/>
      <c r="AN184" s="8"/>
      <c r="AO184" s="8"/>
      <c r="AP184" s="8"/>
      <c r="AQ184" s="8"/>
      <c r="AR184" s="8"/>
      <c r="AS184" s="10"/>
      <c r="AT184" s="8"/>
      <c r="AU184" s="8"/>
      <c r="AV184" s="10"/>
      <c r="AW184" s="8"/>
      <c r="AX184" s="8"/>
      <c r="AY184" s="10"/>
      <c r="AZ184" s="8"/>
      <c r="BA184" s="8"/>
      <c r="BB184" s="10"/>
    </row>
    <row r="185" ht="15.75" customHeight="1">
      <c r="A185" s="35"/>
      <c r="B185" s="36">
        <f t="shared" si="1"/>
        <v>0</v>
      </c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  <c r="AC185" s="8"/>
      <c r="AD185" s="8"/>
      <c r="AE185" s="8"/>
      <c r="AF185" s="8"/>
      <c r="AG185" s="8"/>
      <c r="AH185" s="8"/>
      <c r="AI185" s="8"/>
      <c r="AJ185" s="8"/>
      <c r="AK185" s="8"/>
      <c r="AL185" s="8"/>
      <c r="AM185" s="8"/>
      <c r="AN185" s="8"/>
      <c r="AO185" s="8"/>
      <c r="AP185" s="8"/>
      <c r="AQ185" s="8"/>
      <c r="AR185" s="8"/>
      <c r="AS185" s="10"/>
      <c r="AT185" s="8"/>
      <c r="AU185" s="8"/>
      <c r="AV185" s="10"/>
      <c r="AW185" s="8"/>
      <c r="AX185" s="8"/>
      <c r="AY185" s="10"/>
      <c r="AZ185" s="8"/>
      <c r="BA185" s="8"/>
      <c r="BB185" s="10"/>
    </row>
    <row r="186" ht="15.75" customHeight="1">
      <c r="A186" s="35"/>
      <c r="B186" s="36">
        <f t="shared" si="1"/>
        <v>0</v>
      </c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  <c r="AC186" s="8"/>
      <c r="AD186" s="8"/>
      <c r="AE186" s="8"/>
      <c r="AF186" s="8"/>
      <c r="AG186" s="8"/>
      <c r="AH186" s="8"/>
      <c r="AI186" s="8"/>
      <c r="AJ186" s="8"/>
      <c r="AK186" s="8"/>
      <c r="AL186" s="8"/>
      <c r="AM186" s="8"/>
      <c r="AN186" s="8"/>
      <c r="AO186" s="8"/>
      <c r="AP186" s="8"/>
      <c r="AQ186" s="8"/>
      <c r="AR186" s="8"/>
      <c r="AS186" s="10"/>
      <c r="AT186" s="8"/>
      <c r="AU186" s="8"/>
      <c r="AV186" s="10"/>
      <c r="AW186" s="8"/>
      <c r="AX186" s="8"/>
      <c r="AY186" s="10"/>
      <c r="AZ186" s="8"/>
      <c r="BA186" s="8"/>
      <c r="BB186" s="10"/>
    </row>
    <row r="187" ht="15.75" customHeight="1">
      <c r="A187" s="35"/>
      <c r="B187" s="36">
        <f t="shared" si="1"/>
        <v>0</v>
      </c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8"/>
      <c r="AD187" s="8"/>
      <c r="AE187" s="8"/>
      <c r="AF187" s="8"/>
      <c r="AG187" s="8"/>
      <c r="AH187" s="8"/>
      <c r="AI187" s="8"/>
      <c r="AJ187" s="8"/>
      <c r="AK187" s="8"/>
      <c r="AL187" s="8"/>
      <c r="AM187" s="8"/>
      <c r="AN187" s="8"/>
      <c r="AO187" s="8"/>
      <c r="AP187" s="8"/>
      <c r="AQ187" s="8"/>
      <c r="AR187" s="8"/>
      <c r="AS187" s="10"/>
      <c r="AT187" s="8"/>
      <c r="AU187" s="8"/>
      <c r="AV187" s="10"/>
      <c r="AW187" s="8"/>
      <c r="AX187" s="8"/>
      <c r="AY187" s="10"/>
      <c r="AZ187" s="8"/>
      <c r="BA187" s="8"/>
      <c r="BB187" s="10"/>
    </row>
    <row r="188" ht="15.75" customHeight="1">
      <c r="A188" s="35"/>
      <c r="B188" s="36">
        <f t="shared" si="1"/>
        <v>0</v>
      </c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  <c r="AD188" s="8"/>
      <c r="AE188" s="8"/>
      <c r="AF188" s="8"/>
      <c r="AG188" s="8"/>
      <c r="AH188" s="8"/>
      <c r="AI188" s="8"/>
      <c r="AJ188" s="8"/>
      <c r="AK188" s="8"/>
      <c r="AL188" s="8"/>
      <c r="AM188" s="8"/>
      <c r="AN188" s="8"/>
      <c r="AO188" s="8"/>
      <c r="AP188" s="8"/>
      <c r="AQ188" s="8"/>
      <c r="AR188" s="8"/>
      <c r="AS188" s="10"/>
      <c r="AT188" s="8"/>
      <c r="AU188" s="8"/>
      <c r="AV188" s="10"/>
      <c r="AW188" s="8"/>
      <c r="AX188" s="8"/>
      <c r="AY188" s="10"/>
      <c r="AZ188" s="8"/>
      <c r="BA188" s="8"/>
      <c r="BB188" s="10"/>
    </row>
    <row r="189" ht="15.75" customHeight="1">
      <c r="A189" s="35"/>
      <c r="B189" s="36">
        <f t="shared" si="1"/>
        <v>0</v>
      </c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  <c r="AC189" s="8"/>
      <c r="AD189" s="8"/>
      <c r="AE189" s="8"/>
      <c r="AF189" s="8"/>
      <c r="AG189" s="8"/>
      <c r="AH189" s="8"/>
      <c r="AI189" s="8"/>
      <c r="AJ189" s="8"/>
      <c r="AK189" s="8"/>
      <c r="AL189" s="8"/>
      <c r="AM189" s="8"/>
      <c r="AN189" s="8"/>
      <c r="AO189" s="8"/>
      <c r="AP189" s="8"/>
      <c r="AQ189" s="8"/>
      <c r="AR189" s="8"/>
      <c r="AS189" s="10"/>
      <c r="AT189" s="8"/>
      <c r="AU189" s="8"/>
      <c r="AV189" s="10"/>
      <c r="AW189" s="8"/>
      <c r="AX189" s="8"/>
      <c r="AY189" s="10"/>
      <c r="AZ189" s="8"/>
      <c r="BA189" s="8"/>
      <c r="BB189" s="10"/>
    </row>
    <row r="190" ht="15.75" customHeight="1">
      <c r="A190" s="35"/>
      <c r="B190" s="36">
        <f t="shared" si="1"/>
        <v>0</v>
      </c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  <c r="AC190" s="8"/>
      <c r="AD190" s="8"/>
      <c r="AE190" s="8"/>
      <c r="AF190" s="8"/>
      <c r="AG190" s="8"/>
      <c r="AH190" s="8"/>
      <c r="AI190" s="8"/>
      <c r="AJ190" s="8"/>
      <c r="AK190" s="8"/>
      <c r="AL190" s="8"/>
      <c r="AM190" s="8"/>
      <c r="AN190" s="8"/>
      <c r="AO190" s="8"/>
      <c r="AP190" s="8"/>
      <c r="AQ190" s="8"/>
      <c r="AR190" s="8"/>
      <c r="AS190" s="10"/>
      <c r="AT190" s="8"/>
      <c r="AU190" s="8"/>
      <c r="AV190" s="10"/>
      <c r="AW190" s="8"/>
      <c r="AX190" s="8"/>
      <c r="AY190" s="10"/>
      <c r="AZ190" s="8"/>
      <c r="BA190" s="8"/>
      <c r="BB190" s="10"/>
    </row>
    <row r="191" ht="15.75" customHeight="1">
      <c r="A191" s="35"/>
      <c r="B191" s="36">
        <f t="shared" si="1"/>
        <v>0</v>
      </c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  <c r="AC191" s="8"/>
      <c r="AD191" s="8"/>
      <c r="AE191" s="8"/>
      <c r="AF191" s="8"/>
      <c r="AG191" s="8"/>
      <c r="AH191" s="8"/>
      <c r="AI191" s="8"/>
      <c r="AJ191" s="8"/>
      <c r="AK191" s="8"/>
      <c r="AL191" s="8"/>
      <c r="AM191" s="8"/>
      <c r="AN191" s="8"/>
      <c r="AO191" s="8"/>
      <c r="AP191" s="8"/>
      <c r="AQ191" s="8"/>
      <c r="AR191" s="8"/>
      <c r="AS191" s="10"/>
      <c r="AT191" s="8"/>
      <c r="AU191" s="8"/>
      <c r="AV191" s="10"/>
      <c r="AW191" s="8"/>
      <c r="AX191" s="8"/>
      <c r="AY191" s="10"/>
      <c r="AZ191" s="8"/>
      <c r="BA191" s="8"/>
      <c r="BB191" s="10"/>
    </row>
    <row r="192" ht="15.75" customHeight="1">
      <c r="A192" s="35"/>
      <c r="B192" s="36">
        <f t="shared" si="1"/>
        <v>0</v>
      </c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8"/>
      <c r="AD192" s="8"/>
      <c r="AE192" s="8"/>
      <c r="AF192" s="8"/>
      <c r="AG192" s="8"/>
      <c r="AH192" s="8"/>
      <c r="AI192" s="8"/>
      <c r="AJ192" s="8"/>
      <c r="AK192" s="8"/>
      <c r="AL192" s="8"/>
      <c r="AM192" s="8"/>
      <c r="AN192" s="8"/>
      <c r="AO192" s="8"/>
      <c r="AP192" s="8"/>
      <c r="AQ192" s="8"/>
      <c r="AR192" s="8"/>
      <c r="AS192" s="10"/>
      <c r="AT192" s="8"/>
      <c r="AU192" s="8"/>
      <c r="AV192" s="10"/>
      <c r="AW192" s="8"/>
      <c r="AX192" s="8"/>
      <c r="AY192" s="10"/>
      <c r="AZ192" s="8"/>
      <c r="BA192" s="8"/>
      <c r="BB192" s="10"/>
    </row>
    <row r="193" ht="15.75" customHeight="1">
      <c r="A193" s="35"/>
      <c r="B193" s="36">
        <f t="shared" si="1"/>
        <v>0</v>
      </c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  <c r="AD193" s="8"/>
      <c r="AE193" s="8"/>
      <c r="AF193" s="8"/>
      <c r="AG193" s="8"/>
      <c r="AH193" s="8"/>
      <c r="AI193" s="8"/>
      <c r="AJ193" s="8"/>
      <c r="AK193" s="8"/>
      <c r="AL193" s="8"/>
      <c r="AM193" s="8"/>
      <c r="AN193" s="8"/>
      <c r="AO193" s="8"/>
      <c r="AP193" s="8"/>
      <c r="AQ193" s="8"/>
      <c r="AR193" s="8"/>
      <c r="AS193" s="10"/>
      <c r="AT193" s="8"/>
      <c r="AU193" s="8"/>
      <c r="AV193" s="10"/>
      <c r="AW193" s="8"/>
      <c r="AX193" s="8"/>
      <c r="AY193" s="10"/>
      <c r="AZ193" s="8"/>
      <c r="BA193" s="8"/>
      <c r="BB193" s="10"/>
    </row>
    <row r="194" ht="15.75" customHeight="1">
      <c r="A194" s="35"/>
      <c r="B194" s="36">
        <f t="shared" si="1"/>
        <v>0</v>
      </c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  <c r="AD194" s="8"/>
      <c r="AE194" s="8"/>
      <c r="AF194" s="8"/>
      <c r="AG194" s="8"/>
      <c r="AH194" s="8"/>
      <c r="AI194" s="8"/>
      <c r="AJ194" s="8"/>
      <c r="AK194" s="8"/>
      <c r="AL194" s="8"/>
      <c r="AM194" s="8"/>
      <c r="AN194" s="8"/>
      <c r="AO194" s="8"/>
      <c r="AP194" s="8"/>
      <c r="AQ194" s="8"/>
      <c r="AR194" s="8"/>
      <c r="AS194" s="10"/>
      <c r="AT194" s="8"/>
      <c r="AU194" s="8"/>
      <c r="AV194" s="10"/>
      <c r="AW194" s="8"/>
      <c r="AX194" s="8"/>
      <c r="AY194" s="10"/>
      <c r="AZ194" s="8"/>
      <c r="BA194" s="8"/>
      <c r="BB194" s="10"/>
    </row>
    <row r="195" ht="15.75" customHeight="1">
      <c r="A195" s="35"/>
      <c r="B195" s="36">
        <f t="shared" si="1"/>
        <v>0</v>
      </c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  <c r="AC195" s="8"/>
      <c r="AD195" s="8"/>
      <c r="AE195" s="8"/>
      <c r="AF195" s="8"/>
      <c r="AG195" s="8"/>
      <c r="AH195" s="8"/>
      <c r="AI195" s="8"/>
      <c r="AJ195" s="8"/>
      <c r="AK195" s="8"/>
      <c r="AL195" s="8"/>
      <c r="AM195" s="8"/>
      <c r="AN195" s="8"/>
      <c r="AO195" s="8"/>
      <c r="AP195" s="8"/>
      <c r="AQ195" s="8"/>
      <c r="AR195" s="8"/>
      <c r="AS195" s="10"/>
      <c r="AT195" s="8"/>
      <c r="AU195" s="8"/>
      <c r="AV195" s="10"/>
      <c r="AW195" s="8"/>
      <c r="AX195" s="8"/>
      <c r="AY195" s="10"/>
      <c r="AZ195" s="8"/>
      <c r="BA195" s="8"/>
      <c r="BB195" s="10"/>
    </row>
    <row r="196" ht="15.75" customHeight="1">
      <c r="A196" s="35"/>
      <c r="B196" s="36">
        <f t="shared" si="1"/>
        <v>0</v>
      </c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  <c r="AC196" s="8"/>
      <c r="AD196" s="8"/>
      <c r="AE196" s="8"/>
      <c r="AF196" s="8"/>
      <c r="AG196" s="8"/>
      <c r="AH196" s="8"/>
      <c r="AI196" s="8"/>
      <c r="AJ196" s="8"/>
      <c r="AK196" s="8"/>
      <c r="AL196" s="8"/>
      <c r="AM196" s="8"/>
      <c r="AN196" s="8"/>
      <c r="AO196" s="8"/>
      <c r="AP196" s="8"/>
      <c r="AQ196" s="8"/>
      <c r="AR196" s="8"/>
      <c r="AS196" s="10"/>
      <c r="AT196" s="8"/>
      <c r="AU196" s="8"/>
      <c r="AV196" s="10"/>
      <c r="AW196" s="8"/>
      <c r="AX196" s="8"/>
      <c r="AY196" s="10"/>
      <c r="AZ196" s="8"/>
      <c r="BA196" s="8"/>
      <c r="BB196" s="10"/>
    </row>
    <row r="197" ht="15.75" customHeight="1">
      <c r="A197" s="35"/>
      <c r="B197" s="36">
        <f t="shared" si="1"/>
        <v>0</v>
      </c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  <c r="AD197" s="8"/>
      <c r="AE197" s="8"/>
      <c r="AF197" s="8"/>
      <c r="AG197" s="8"/>
      <c r="AH197" s="8"/>
      <c r="AI197" s="8"/>
      <c r="AJ197" s="8"/>
      <c r="AK197" s="8"/>
      <c r="AL197" s="8"/>
      <c r="AM197" s="8"/>
      <c r="AN197" s="8"/>
      <c r="AO197" s="8"/>
      <c r="AP197" s="8"/>
      <c r="AQ197" s="8"/>
      <c r="AR197" s="8"/>
      <c r="AS197" s="10"/>
      <c r="AT197" s="8"/>
      <c r="AU197" s="8"/>
      <c r="AV197" s="10"/>
      <c r="AW197" s="8"/>
      <c r="AX197" s="8"/>
      <c r="AY197" s="10"/>
      <c r="AZ197" s="8"/>
      <c r="BA197" s="8"/>
      <c r="BB197" s="10"/>
    </row>
    <row r="198" ht="15.75" customHeight="1">
      <c r="A198" s="35"/>
      <c r="B198" s="36">
        <f t="shared" si="1"/>
        <v>0</v>
      </c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  <c r="AC198" s="8"/>
      <c r="AD198" s="8"/>
      <c r="AE198" s="8"/>
      <c r="AF198" s="8"/>
      <c r="AG198" s="8"/>
      <c r="AH198" s="8"/>
      <c r="AI198" s="8"/>
      <c r="AJ198" s="8"/>
      <c r="AK198" s="8"/>
      <c r="AL198" s="8"/>
      <c r="AM198" s="8"/>
      <c r="AN198" s="8"/>
      <c r="AO198" s="8"/>
      <c r="AP198" s="8"/>
      <c r="AQ198" s="8"/>
      <c r="AR198" s="8"/>
      <c r="AS198" s="10"/>
      <c r="AT198" s="8"/>
      <c r="AU198" s="8"/>
      <c r="AV198" s="10"/>
      <c r="AW198" s="8"/>
      <c r="AX198" s="8"/>
      <c r="AY198" s="10"/>
      <c r="AZ198" s="8"/>
      <c r="BA198" s="8"/>
      <c r="BB198" s="10"/>
    </row>
    <row r="199" ht="15.75" customHeight="1">
      <c r="A199" s="35"/>
      <c r="B199" s="36">
        <f t="shared" si="1"/>
        <v>0</v>
      </c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  <c r="AC199" s="8"/>
      <c r="AD199" s="8"/>
      <c r="AE199" s="8"/>
      <c r="AF199" s="8"/>
      <c r="AG199" s="8"/>
      <c r="AH199" s="8"/>
      <c r="AI199" s="8"/>
      <c r="AJ199" s="8"/>
      <c r="AK199" s="8"/>
      <c r="AL199" s="8"/>
      <c r="AM199" s="8"/>
      <c r="AN199" s="8"/>
      <c r="AO199" s="8"/>
      <c r="AP199" s="8"/>
      <c r="AQ199" s="8"/>
      <c r="AR199" s="8"/>
      <c r="AS199" s="10"/>
      <c r="AT199" s="8"/>
      <c r="AU199" s="8"/>
      <c r="AV199" s="10"/>
      <c r="AW199" s="8"/>
      <c r="AX199" s="8"/>
      <c r="AY199" s="10"/>
      <c r="AZ199" s="8"/>
      <c r="BA199" s="8"/>
      <c r="BB199" s="10"/>
    </row>
    <row r="200" ht="15.75" customHeight="1">
      <c r="A200" s="35"/>
      <c r="B200" s="36">
        <f t="shared" si="1"/>
        <v>0</v>
      </c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  <c r="AD200" s="8"/>
      <c r="AE200" s="8"/>
      <c r="AF200" s="8"/>
      <c r="AG200" s="8"/>
      <c r="AH200" s="8"/>
      <c r="AI200" s="8"/>
      <c r="AJ200" s="8"/>
      <c r="AK200" s="8"/>
      <c r="AL200" s="8"/>
      <c r="AM200" s="8"/>
      <c r="AN200" s="8"/>
      <c r="AO200" s="8"/>
      <c r="AP200" s="8"/>
      <c r="AQ200" s="8"/>
      <c r="AR200" s="8"/>
      <c r="AS200" s="10"/>
      <c r="AT200" s="8"/>
      <c r="AU200" s="8"/>
      <c r="AV200" s="10"/>
      <c r="AW200" s="8"/>
      <c r="AX200" s="8"/>
      <c r="AY200" s="10"/>
      <c r="AZ200" s="8"/>
      <c r="BA200" s="8"/>
      <c r="BB200" s="10"/>
    </row>
    <row r="201" ht="15.75" customHeight="1">
      <c r="A201" s="35"/>
      <c r="B201" s="36">
        <f t="shared" si="1"/>
        <v>0</v>
      </c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8"/>
      <c r="AC201" s="8"/>
      <c r="AD201" s="8"/>
      <c r="AE201" s="8"/>
      <c r="AF201" s="8"/>
      <c r="AG201" s="8"/>
      <c r="AH201" s="8"/>
      <c r="AI201" s="8"/>
      <c r="AJ201" s="8"/>
      <c r="AK201" s="8"/>
      <c r="AL201" s="8"/>
      <c r="AM201" s="8"/>
      <c r="AN201" s="8"/>
      <c r="AO201" s="8"/>
      <c r="AP201" s="8"/>
      <c r="AQ201" s="8"/>
      <c r="AR201" s="8"/>
      <c r="AS201" s="10"/>
      <c r="AT201" s="8"/>
      <c r="AU201" s="8"/>
      <c r="AV201" s="10"/>
      <c r="AW201" s="8"/>
      <c r="AX201" s="8"/>
      <c r="AY201" s="10"/>
      <c r="AZ201" s="8"/>
      <c r="BA201" s="8"/>
      <c r="BB201" s="10"/>
    </row>
    <row r="202" ht="15.75" customHeight="1">
      <c r="A202" s="35"/>
      <c r="B202" s="36">
        <f t="shared" si="1"/>
        <v>0</v>
      </c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  <c r="AB202" s="8"/>
      <c r="AC202" s="8"/>
      <c r="AD202" s="8"/>
      <c r="AE202" s="8"/>
      <c r="AF202" s="8"/>
      <c r="AG202" s="8"/>
      <c r="AH202" s="8"/>
      <c r="AI202" s="8"/>
      <c r="AJ202" s="8"/>
      <c r="AK202" s="8"/>
      <c r="AL202" s="8"/>
      <c r="AM202" s="8"/>
      <c r="AN202" s="8"/>
      <c r="AO202" s="8"/>
      <c r="AP202" s="8"/>
      <c r="AQ202" s="8"/>
      <c r="AR202" s="8"/>
      <c r="AS202" s="10"/>
      <c r="AT202" s="8"/>
      <c r="AU202" s="8"/>
      <c r="AV202" s="10"/>
      <c r="AW202" s="8"/>
      <c r="AX202" s="8"/>
      <c r="AY202" s="10"/>
      <c r="AZ202" s="8"/>
      <c r="BA202" s="8"/>
      <c r="BB202" s="10"/>
    </row>
    <row r="203" ht="15.75" customHeight="1">
      <c r="A203" s="35"/>
      <c r="B203" s="36">
        <f t="shared" si="1"/>
        <v>0</v>
      </c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  <c r="AC203" s="8"/>
      <c r="AD203" s="8"/>
      <c r="AE203" s="8"/>
      <c r="AF203" s="8"/>
      <c r="AG203" s="8"/>
      <c r="AH203" s="8"/>
      <c r="AI203" s="8"/>
      <c r="AJ203" s="8"/>
      <c r="AK203" s="8"/>
      <c r="AL203" s="8"/>
      <c r="AM203" s="8"/>
      <c r="AN203" s="8"/>
      <c r="AO203" s="8"/>
      <c r="AP203" s="8"/>
      <c r="AQ203" s="8"/>
      <c r="AR203" s="8"/>
      <c r="AS203" s="10"/>
      <c r="AT203" s="8"/>
      <c r="AU203" s="8"/>
      <c r="AV203" s="10"/>
      <c r="AW203" s="8"/>
      <c r="AX203" s="8"/>
      <c r="AY203" s="10"/>
      <c r="AZ203" s="8"/>
      <c r="BA203" s="8"/>
      <c r="BB203" s="10"/>
    </row>
    <row r="204" ht="15.75" customHeight="1">
      <c r="A204" s="35"/>
      <c r="B204" s="36">
        <f t="shared" si="1"/>
        <v>0</v>
      </c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  <c r="AC204" s="8"/>
      <c r="AD204" s="8"/>
      <c r="AE204" s="8"/>
      <c r="AF204" s="8"/>
      <c r="AG204" s="8"/>
      <c r="AH204" s="8"/>
      <c r="AI204" s="8"/>
      <c r="AJ204" s="8"/>
      <c r="AK204" s="8"/>
      <c r="AL204" s="8"/>
      <c r="AM204" s="8"/>
      <c r="AN204" s="8"/>
      <c r="AO204" s="8"/>
      <c r="AP204" s="8"/>
      <c r="AQ204" s="8"/>
      <c r="AR204" s="8"/>
      <c r="AS204" s="10"/>
      <c r="AT204" s="8"/>
      <c r="AU204" s="8"/>
      <c r="AV204" s="10"/>
      <c r="AW204" s="8"/>
      <c r="AX204" s="8"/>
      <c r="AY204" s="10"/>
      <c r="AZ204" s="8"/>
      <c r="BA204" s="8"/>
      <c r="BB204" s="10"/>
    </row>
    <row r="205" ht="15.75" customHeight="1">
      <c r="A205" s="35"/>
      <c r="B205" s="36">
        <f t="shared" si="1"/>
        <v>0</v>
      </c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  <c r="AC205" s="8"/>
      <c r="AD205" s="8"/>
      <c r="AE205" s="8"/>
      <c r="AF205" s="8"/>
      <c r="AG205" s="8"/>
      <c r="AH205" s="8"/>
      <c r="AI205" s="8"/>
      <c r="AJ205" s="8"/>
      <c r="AK205" s="8"/>
      <c r="AL205" s="8"/>
      <c r="AM205" s="8"/>
      <c r="AN205" s="8"/>
      <c r="AO205" s="8"/>
      <c r="AP205" s="8"/>
      <c r="AQ205" s="8"/>
      <c r="AR205" s="8"/>
      <c r="AS205" s="10"/>
      <c r="AT205" s="8"/>
      <c r="AU205" s="8"/>
      <c r="AV205" s="10"/>
      <c r="AW205" s="8"/>
      <c r="AX205" s="8"/>
      <c r="AY205" s="10"/>
      <c r="AZ205" s="8"/>
      <c r="BA205" s="8"/>
      <c r="BB205" s="10"/>
    </row>
    <row r="206" ht="15.75" customHeight="1">
      <c r="A206" s="35"/>
      <c r="B206" s="36">
        <f t="shared" si="1"/>
        <v>0</v>
      </c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  <c r="AC206" s="8"/>
      <c r="AD206" s="8"/>
      <c r="AE206" s="8"/>
      <c r="AF206" s="8"/>
      <c r="AG206" s="8"/>
      <c r="AH206" s="8"/>
      <c r="AI206" s="8"/>
      <c r="AJ206" s="8"/>
      <c r="AK206" s="8"/>
      <c r="AL206" s="8"/>
      <c r="AM206" s="8"/>
      <c r="AN206" s="8"/>
      <c r="AO206" s="8"/>
      <c r="AP206" s="8"/>
      <c r="AQ206" s="8"/>
      <c r="AR206" s="8"/>
      <c r="AS206" s="10"/>
      <c r="AT206" s="8"/>
      <c r="AU206" s="8"/>
      <c r="AV206" s="10"/>
      <c r="AW206" s="8"/>
      <c r="AX206" s="8"/>
      <c r="AY206" s="10"/>
      <c r="AZ206" s="8"/>
      <c r="BA206" s="8"/>
      <c r="BB206" s="10"/>
    </row>
    <row r="207" ht="15.75" customHeight="1">
      <c r="A207" s="35"/>
      <c r="B207" s="36">
        <f t="shared" si="1"/>
        <v>0</v>
      </c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  <c r="AC207" s="8"/>
      <c r="AD207" s="8"/>
      <c r="AE207" s="8"/>
      <c r="AF207" s="8"/>
      <c r="AG207" s="8"/>
      <c r="AH207" s="8"/>
      <c r="AI207" s="8"/>
      <c r="AJ207" s="8"/>
      <c r="AK207" s="8"/>
      <c r="AL207" s="8"/>
      <c r="AM207" s="8"/>
      <c r="AN207" s="8"/>
      <c r="AO207" s="8"/>
      <c r="AP207" s="8"/>
      <c r="AQ207" s="8"/>
      <c r="AR207" s="8"/>
      <c r="AS207" s="10"/>
      <c r="AT207" s="8"/>
      <c r="AU207" s="8"/>
      <c r="AV207" s="10"/>
      <c r="AW207" s="8"/>
      <c r="AX207" s="8"/>
      <c r="AY207" s="10"/>
      <c r="AZ207" s="8"/>
      <c r="BA207" s="8"/>
      <c r="BB207" s="10"/>
    </row>
    <row r="208" ht="15.75" customHeight="1">
      <c r="A208" s="35"/>
      <c r="B208" s="36">
        <f t="shared" si="1"/>
        <v>0</v>
      </c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  <c r="AC208" s="8"/>
      <c r="AD208" s="8"/>
      <c r="AE208" s="8"/>
      <c r="AF208" s="8"/>
      <c r="AG208" s="8"/>
      <c r="AH208" s="8"/>
      <c r="AI208" s="8"/>
      <c r="AJ208" s="8"/>
      <c r="AK208" s="8"/>
      <c r="AL208" s="8"/>
      <c r="AM208" s="8"/>
      <c r="AN208" s="8"/>
      <c r="AO208" s="8"/>
      <c r="AP208" s="8"/>
      <c r="AQ208" s="8"/>
      <c r="AR208" s="8"/>
      <c r="AS208" s="10"/>
      <c r="AT208" s="8"/>
      <c r="AU208" s="8"/>
      <c r="AV208" s="10"/>
      <c r="AW208" s="8"/>
      <c r="AX208" s="8"/>
      <c r="AY208" s="10"/>
      <c r="AZ208" s="8"/>
      <c r="BA208" s="8"/>
      <c r="BB208" s="10"/>
    </row>
    <row r="209" ht="15.75" customHeight="1">
      <c r="A209" s="35"/>
      <c r="B209" s="36">
        <f t="shared" si="1"/>
        <v>0</v>
      </c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  <c r="AC209" s="8"/>
      <c r="AD209" s="8"/>
      <c r="AE209" s="8"/>
      <c r="AF209" s="8"/>
      <c r="AG209" s="8"/>
      <c r="AH209" s="8"/>
      <c r="AI209" s="8"/>
      <c r="AJ209" s="8"/>
      <c r="AK209" s="8"/>
      <c r="AL209" s="8"/>
      <c r="AM209" s="8"/>
      <c r="AN209" s="8"/>
      <c r="AO209" s="8"/>
      <c r="AP209" s="8"/>
      <c r="AQ209" s="8"/>
      <c r="AR209" s="8"/>
      <c r="AS209" s="10"/>
      <c r="AT209" s="8"/>
      <c r="AU209" s="8"/>
      <c r="AV209" s="10"/>
      <c r="AW209" s="8"/>
      <c r="AX209" s="8"/>
      <c r="AY209" s="10"/>
      <c r="AZ209" s="8"/>
      <c r="BA209" s="8"/>
      <c r="BB209" s="10"/>
    </row>
    <row r="210" ht="15.75" customHeight="1">
      <c r="A210" s="35"/>
      <c r="B210" s="36">
        <f t="shared" si="1"/>
        <v>0</v>
      </c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  <c r="AC210" s="8"/>
      <c r="AD210" s="8"/>
      <c r="AE210" s="8"/>
      <c r="AF210" s="8"/>
      <c r="AG210" s="8"/>
      <c r="AH210" s="8"/>
      <c r="AI210" s="8"/>
      <c r="AJ210" s="8"/>
      <c r="AK210" s="8"/>
      <c r="AL210" s="8"/>
      <c r="AM210" s="8"/>
      <c r="AN210" s="8"/>
      <c r="AO210" s="8"/>
      <c r="AP210" s="8"/>
      <c r="AQ210" s="8"/>
      <c r="AR210" s="8"/>
      <c r="AS210" s="10"/>
      <c r="AT210" s="8"/>
      <c r="AU210" s="8"/>
      <c r="AV210" s="10"/>
      <c r="AW210" s="8"/>
      <c r="AX210" s="8"/>
      <c r="AY210" s="10"/>
      <c r="AZ210" s="8"/>
      <c r="BA210" s="8"/>
      <c r="BB210" s="10"/>
    </row>
    <row r="211" ht="15.75" customHeight="1">
      <c r="A211" s="35"/>
      <c r="B211" s="36">
        <f t="shared" si="1"/>
        <v>0</v>
      </c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  <c r="AC211" s="8"/>
      <c r="AD211" s="8"/>
      <c r="AE211" s="8"/>
      <c r="AF211" s="8"/>
      <c r="AG211" s="8"/>
      <c r="AH211" s="8"/>
      <c r="AI211" s="8"/>
      <c r="AJ211" s="8"/>
      <c r="AK211" s="8"/>
      <c r="AL211" s="8"/>
      <c r="AM211" s="8"/>
      <c r="AN211" s="8"/>
      <c r="AO211" s="8"/>
      <c r="AP211" s="8"/>
      <c r="AQ211" s="8"/>
      <c r="AR211" s="8"/>
      <c r="AS211" s="10"/>
      <c r="AT211" s="8"/>
      <c r="AU211" s="8"/>
      <c r="AV211" s="10"/>
      <c r="AW211" s="8"/>
      <c r="AX211" s="8"/>
      <c r="AY211" s="10"/>
      <c r="AZ211" s="8"/>
      <c r="BA211" s="8"/>
      <c r="BB211" s="10"/>
    </row>
    <row r="212" ht="15.75" customHeight="1">
      <c r="A212" s="35"/>
      <c r="B212" s="36">
        <f t="shared" si="1"/>
        <v>0</v>
      </c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  <c r="AB212" s="8"/>
      <c r="AC212" s="8"/>
      <c r="AD212" s="8"/>
      <c r="AE212" s="8"/>
      <c r="AF212" s="8"/>
      <c r="AG212" s="8"/>
      <c r="AH212" s="8"/>
      <c r="AI212" s="8"/>
      <c r="AJ212" s="8"/>
      <c r="AK212" s="8"/>
      <c r="AL212" s="8"/>
      <c r="AM212" s="8"/>
      <c r="AN212" s="8"/>
      <c r="AO212" s="8"/>
      <c r="AP212" s="8"/>
      <c r="AQ212" s="8"/>
      <c r="AR212" s="8"/>
      <c r="AS212" s="10"/>
      <c r="AT212" s="8"/>
      <c r="AU212" s="8"/>
      <c r="AV212" s="10"/>
      <c r="AW212" s="8"/>
      <c r="AX212" s="8"/>
      <c r="AY212" s="10"/>
      <c r="AZ212" s="8"/>
      <c r="BA212" s="8"/>
      <c r="BB212" s="10"/>
    </row>
    <row r="213" ht="15.75" customHeight="1">
      <c r="A213" s="35"/>
      <c r="B213" s="36">
        <f t="shared" si="1"/>
        <v>0</v>
      </c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  <c r="AB213" s="8"/>
      <c r="AC213" s="8"/>
      <c r="AD213" s="8"/>
      <c r="AE213" s="8"/>
      <c r="AF213" s="8"/>
      <c r="AG213" s="8"/>
      <c r="AH213" s="8"/>
      <c r="AI213" s="8"/>
      <c r="AJ213" s="8"/>
      <c r="AK213" s="8"/>
      <c r="AL213" s="8"/>
      <c r="AM213" s="8"/>
      <c r="AN213" s="8"/>
      <c r="AO213" s="8"/>
      <c r="AP213" s="8"/>
      <c r="AQ213" s="8"/>
      <c r="AR213" s="8"/>
      <c r="AS213" s="10"/>
      <c r="AT213" s="8"/>
      <c r="AU213" s="8"/>
      <c r="AV213" s="10"/>
      <c r="AW213" s="8"/>
      <c r="AX213" s="8"/>
      <c r="AY213" s="10"/>
      <c r="AZ213" s="8"/>
      <c r="BA213" s="8"/>
      <c r="BB213" s="10"/>
    </row>
    <row r="214" ht="15.75" customHeight="1">
      <c r="A214" s="35"/>
      <c r="B214" s="36">
        <f t="shared" si="1"/>
        <v>0</v>
      </c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  <c r="AB214" s="8"/>
      <c r="AC214" s="8"/>
      <c r="AD214" s="8"/>
      <c r="AE214" s="8"/>
      <c r="AF214" s="8"/>
      <c r="AG214" s="8"/>
      <c r="AH214" s="8"/>
      <c r="AI214" s="8"/>
      <c r="AJ214" s="8"/>
      <c r="AK214" s="8"/>
      <c r="AL214" s="8"/>
      <c r="AM214" s="8"/>
      <c r="AN214" s="8"/>
      <c r="AO214" s="8"/>
      <c r="AP214" s="8"/>
      <c r="AQ214" s="8"/>
      <c r="AR214" s="8"/>
      <c r="AS214" s="10"/>
      <c r="AT214" s="8"/>
      <c r="AU214" s="8"/>
      <c r="AV214" s="10"/>
      <c r="AW214" s="8"/>
      <c r="AX214" s="8"/>
      <c r="AY214" s="10"/>
      <c r="AZ214" s="8"/>
      <c r="BA214" s="8"/>
      <c r="BB214" s="10"/>
    </row>
    <row r="215" ht="15.75" customHeight="1">
      <c r="A215" s="35"/>
      <c r="B215" s="36">
        <f t="shared" si="1"/>
        <v>0</v>
      </c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  <c r="AC215" s="8"/>
      <c r="AD215" s="8"/>
      <c r="AE215" s="8"/>
      <c r="AF215" s="8"/>
      <c r="AG215" s="8"/>
      <c r="AH215" s="8"/>
      <c r="AI215" s="8"/>
      <c r="AJ215" s="8"/>
      <c r="AK215" s="8"/>
      <c r="AL215" s="8"/>
      <c r="AM215" s="8"/>
      <c r="AN215" s="8"/>
      <c r="AO215" s="8"/>
      <c r="AP215" s="8"/>
      <c r="AQ215" s="8"/>
      <c r="AR215" s="8"/>
      <c r="AS215" s="10"/>
      <c r="AT215" s="8"/>
      <c r="AU215" s="8"/>
      <c r="AV215" s="10"/>
      <c r="AW215" s="8"/>
      <c r="AX215" s="8"/>
      <c r="AY215" s="10"/>
      <c r="AZ215" s="8"/>
      <c r="BA215" s="8"/>
      <c r="BB215" s="10"/>
    </row>
    <row r="216" ht="15.75" customHeight="1">
      <c r="A216" s="35"/>
      <c r="B216" s="36">
        <f t="shared" si="1"/>
        <v>0</v>
      </c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  <c r="AC216" s="8"/>
      <c r="AD216" s="8"/>
      <c r="AE216" s="8"/>
      <c r="AF216" s="8"/>
      <c r="AG216" s="8"/>
      <c r="AH216" s="8"/>
      <c r="AI216" s="8"/>
      <c r="AJ216" s="8"/>
      <c r="AK216" s="8"/>
      <c r="AL216" s="8"/>
      <c r="AM216" s="8"/>
      <c r="AN216" s="8"/>
      <c r="AO216" s="8"/>
      <c r="AP216" s="8"/>
      <c r="AQ216" s="8"/>
      <c r="AR216" s="8"/>
      <c r="AS216" s="10"/>
      <c r="AT216" s="8"/>
      <c r="AU216" s="8"/>
      <c r="AV216" s="10"/>
      <c r="AW216" s="8"/>
      <c r="AX216" s="8"/>
      <c r="AY216" s="10"/>
      <c r="AZ216" s="8"/>
      <c r="BA216" s="8"/>
      <c r="BB216" s="10"/>
    </row>
    <row r="217" ht="15.75" customHeight="1">
      <c r="A217" s="35"/>
      <c r="B217" s="36">
        <f t="shared" si="1"/>
        <v>0</v>
      </c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  <c r="AC217" s="8"/>
      <c r="AD217" s="8"/>
      <c r="AE217" s="8"/>
      <c r="AF217" s="8"/>
      <c r="AG217" s="8"/>
      <c r="AH217" s="8"/>
      <c r="AI217" s="8"/>
      <c r="AJ217" s="8"/>
      <c r="AK217" s="8"/>
      <c r="AL217" s="8"/>
      <c r="AM217" s="8"/>
      <c r="AN217" s="8"/>
      <c r="AO217" s="8"/>
      <c r="AP217" s="8"/>
      <c r="AQ217" s="8"/>
      <c r="AR217" s="8"/>
      <c r="AS217" s="10"/>
      <c r="AT217" s="8"/>
      <c r="AU217" s="8"/>
      <c r="AV217" s="10"/>
      <c r="AW217" s="8"/>
      <c r="AX217" s="8"/>
      <c r="AY217" s="10"/>
      <c r="AZ217" s="8"/>
      <c r="BA217" s="8"/>
      <c r="BB217" s="10"/>
    </row>
    <row r="218" ht="15.75" customHeight="1">
      <c r="A218" s="35"/>
      <c r="B218" s="36">
        <f t="shared" si="1"/>
        <v>0</v>
      </c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  <c r="AE218" s="8"/>
      <c r="AF218" s="8"/>
      <c r="AG218" s="8"/>
      <c r="AH218" s="8"/>
      <c r="AI218" s="8"/>
      <c r="AJ218" s="8"/>
      <c r="AK218" s="8"/>
      <c r="AL218" s="8"/>
      <c r="AM218" s="8"/>
      <c r="AN218" s="8"/>
      <c r="AO218" s="8"/>
      <c r="AP218" s="8"/>
      <c r="AQ218" s="8"/>
      <c r="AR218" s="8"/>
      <c r="AS218" s="10"/>
      <c r="AT218" s="8"/>
      <c r="AU218" s="8"/>
      <c r="AV218" s="10"/>
      <c r="AW218" s="8"/>
      <c r="AX218" s="8"/>
      <c r="AY218" s="10"/>
      <c r="AZ218" s="8"/>
      <c r="BA218" s="8"/>
      <c r="BB218" s="10"/>
    </row>
    <row r="219" ht="15.75" customHeight="1">
      <c r="A219" s="35"/>
      <c r="B219" s="36">
        <f t="shared" si="1"/>
        <v>0</v>
      </c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  <c r="AE219" s="8"/>
      <c r="AF219" s="8"/>
      <c r="AG219" s="8"/>
      <c r="AH219" s="8"/>
      <c r="AI219" s="8"/>
      <c r="AJ219" s="8"/>
      <c r="AK219" s="8"/>
      <c r="AL219" s="8"/>
      <c r="AM219" s="8"/>
      <c r="AN219" s="8"/>
      <c r="AO219" s="8"/>
      <c r="AP219" s="8"/>
      <c r="AQ219" s="8"/>
      <c r="AR219" s="8"/>
      <c r="AS219" s="10"/>
      <c r="AT219" s="8"/>
      <c r="AU219" s="8"/>
      <c r="AV219" s="10"/>
      <c r="AW219" s="8"/>
      <c r="AX219" s="8"/>
      <c r="AY219" s="10"/>
      <c r="AZ219" s="8"/>
      <c r="BA219" s="8"/>
      <c r="BB219" s="10"/>
    </row>
    <row r="220" ht="15.75" customHeight="1">
      <c r="A220" s="35"/>
      <c r="B220" s="36">
        <f t="shared" si="1"/>
        <v>0</v>
      </c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  <c r="AE220" s="8"/>
      <c r="AF220" s="8"/>
      <c r="AG220" s="8"/>
      <c r="AH220" s="8"/>
      <c r="AI220" s="8"/>
      <c r="AJ220" s="8"/>
      <c r="AK220" s="8"/>
      <c r="AL220" s="8"/>
      <c r="AM220" s="8"/>
      <c r="AN220" s="8"/>
      <c r="AO220" s="8"/>
      <c r="AP220" s="8"/>
      <c r="AQ220" s="8"/>
      <c r="AR220" s="8"/>
      <c r="AS220" s="10"/>
      <c r="AT220" s="8"/>
      <c r="AU220" s="8"/>
      <c r="AV220" s="10"/>
      <c r="AW220" s="8"/>
      <c r="AX220" s="8"/>
      <c r="AY220" s="10"/>
      <c r="AZ220" s="8"/>
      <c r="BA220" s="8"/>
      <c r="BB220" s="10"/>
    </row>
    <row r="221" ht="15.75" customHeight="1">
      <c r="A221" s="35"/>
      <c r="B221" s="36">
        <f t="shared" si="1"/>
        <v>0</v>
      </c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  <c r="AE221" s="8"/>
      <c r="AF221" s="8"/>
      <c r="AG221" s="8"/>
      <c r="AH221" s="8"/>
      <c r="AI221" s="8"/>
      <c r="AJ221" s="8"/>
      <c r="AK221" s="8"/>
      <c r="AL221" s="8"/>
      <c r="AM221" s="8"/>
      <c r="AN221" s="8"/>
      <c r="AO221" s="8"/>
      <c r="AP221" s="8"/>
      <c r="AQ221" s="8"/>
      <c r="AR221" s="8"/>
      <c r="AS221" s="10"/>
      <c r="AT221" s="8"/>
      <c r="AU221" s="8"/>
      <c r="AV221" s="10"/>
      <c r="AW221" s="8"/>
      <c r="AX221" s="8"/>
      <c r="AY221" s="10"/>
      <c r="AZ221" s="8"/>
      <c r="BA221" s="8"/>
      <c r="BB221" s="10"/>
    </row>
    <row r="222" ht="15.75" customHeight="1">
      <c r="A222" s="35"/>
      <c r="B222" s="36">
        <f t="shared" si="1"/>
        <v>0</v>
      </c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  <c r="AE222" s="8"/>
      <c r="AF222" s="8"/>
      <c r="AG222" s="8"/>
      <c r="AH222" s="8"/>
      <c r="AI222" s="8"/>
      <c r="AJ222" s="8"/>
      <c r="AK222" s="8"/>
      <c r="AL222" s="8"/>
      <c r="AM222" s="8"/>
      <c r="AN222" s="8"/>
      <c r="AO222" s="8"/>
      <c r="AP222" s="8"/>
      <c r="AQ222" s="8"/>
      <c r="AR222" s="8"/>
      <c r="AS222" s="10"/>
      <c r="AT222" s="8"/>
      <c r="AU222" s="8"/>
      <c r="AV222" s="10"/>
      <c r="AW222" s="8"/>
      <c r="AX222" s="8"/>
      <c r="AY222" s="10"/>
      <c r="AZ222" s="8"/>
      <c r="BA222" s="8"/>
      <c r="BB222" s="10"/>
    </row>
    <row r="223" ht="15.75" customHeight="1">
      <c r="A223" s="35"/>
      <c r="B223" s="36">
        <f t="shared" si="1"/>
        <v>0</v>
      </c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  <c r="AE223" s="8"/>
      <c r="AF223" s="8"/>
      <c r="AG223" s="8"/>
      <c r="AH223" s="8"/>
      <c r="AI223" s="8"/>
      <c r="AJ223" s="8"/>
      <c r="AK223" s="8"/>
      <c r="AL223" s="8"/>
      <c r="AM223" s="8"/>
      <c r="AN223" s="8"/>
      <c r="AO223" s="8"/>
      <c r="AP223" s="8"/>
      <c r="AQ223" s="8"/>
      <c r="AR223" s="8"/>
      <c r="AS223" s="10"/>
      <c r="AT223" s="8"/>
      <c r="AU223" s="8"/>
      <c r="AV223" s="10"/>
      <c r="AW223" s="8"/>
      <c r="AX223" s="8"/>
      <c r="AY223" s="10"/>
      <c r="AZ223" s="8"/>
      <c r="BA223" s="8"/>
      <c r="BB223" s="10"/>
    </row>
    <row r="224" ht="15.75" customHeight="1">
      <c r="A224" s="35"/>
      <c r="B224" s="36">
        <f t="shared" si="1"/>
        <v>0</v>
      </c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  <c r="AE224" s="8"/>
      <c r="AF224" s="8"/>
      <c r="AG224" s="8"/>
      <c r="AH224" s="8"/>
      <c r="AI224" s="8"/>
      <c r="AJ224" s="8"/>
      <c r="AK224" s="8"/>
      <c r="AL224" s="8"/>
      <c r="AM224" s="8"/>
      <c r="AN224" s="8"/>
      <c r="AO224" s="8"/>
      <c r="AP224" s="8"/>
      <c r="AQ224" s="8"/>
      <c r="AR224" s="8"/>
      <c r="AS224" s="10"/>
      <c r="AT224" s="8"/>
      <c r="AU224" s="8"/>
      <c r="AV224" s="10"/>
      <c r="AW224" s="8"/>
      <c r="AX224" s="8"/>
      <c r="AY224" s="10"/>
      <c r="AZ224" s="8"/>
      <c r="BA224" s="8"/>
      <c r="BB224" s="10"/>
    </row>
    <row r="225" ht="15.75" customHeight="1">
      <c r="A225" s="35"/>
      <c r="B225" s="36">
        <f t="shared" si="1"/>
        <v>0</v>
      </c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  <c r="AE225" s="8"/>
      <c r="AF225" s="8"/>
      <c r="AG225" s="8"/>
      <c r="AH225" s="8"/>
      <c r="AI225" s="8"/>
      <c r="AJ225" s="8"/>
      <c r="AK225" s="8"/>
      <c r="AL225" s="8"/>
      <c r="AM225" s="8"/>
      <c r="AN225" s="8"/>
      <c r="AO225" s="8"/>
      <c r="AP225" s="8"/>
      <c r="AQ225" s="8"/>
      <c r="AR225" s="8"/>
      <c r="AS225" s="10"/>
      <c r="AT225" s="8"/>
      <c r="AU225" s="8"/>
      <c r="AV225" s="10"/>
      <c r="AW225" s="8"/>
      <c r="AX225" s="8"/>
      <c r="AY225" s="10"/>
      <c r="AZ225" s="8"/>
      <c r="BA225" s="8"/>
      <c r="BB225" s="10"/>
    </row>
    <row r="226" ht="15.75" customHeight="1">
      <c r="A226" s="35"/>
      <c r="B226" s="36">
        <f t="shared" si="1"/>
        <v>0</v>
      </c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  <c r="AE226" s="8"/>
      <c r="AF226" s="8"/>
      <c r="AG226" s="8"/>
      <c r="AH226" s="8"/>
      <c r="AI226" s="8"/>
      <c r="AJ226" s="8"/>
      <c r="AK226" s="8"/>
      <c r="AL226" s="8"/>
      <c r="AM226" s="8"/>
      <c r="AN226" s="8"/>
      <c r="AO226" s="8"/>
      <c r="AP226" s="8"/>
      <c r="AQ226" s="8"/>
      <c r="AR226" s="8"/>
      <c r="AS226" s="10"/>
      <c r="AT226" s="8"/>
      <c r="AU226" s="8"/>
      <c r="AV226" s="10"/>
      <c r="AW226" s="8"/>
      <c r="AX226" s="8"/>
      <c r="AY226" s="10"/>
      <c r="AZ226" s="8"/>
      <c r="BA226" s="8"/>
      <c r="BB226" s="10"/>
    </row>
    <row r="227" ht="15.75" customHeight="1">
      <c r="A227" s="35"/>
      <c r="B227" s="36">
        <f t="shared" si="1"/>
        <v>0</v>
      </c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  <c r="AE227" s="8"/>
      <c r="AF227" s="8"/>
      <c r="AG227" s="8"/>
      <c r="AH227" s="8"/>
      <c r="AI227" s="8"/>
      <c r="AJ227" s="8"/>
      <c r="AK227" s="8"/>
      <c r="AL227" s="8"/>
      <c r="AM227" s="8"/>
      <c r="AN227" s="8"/>
      <c r="AO227" s="8"/>
      <c r="AP227" s="8"/>
      <c r="AQ227" s="8"/>
      <c r="AR227" s="8"/>
      <c r="AS227" s="10"/>
      <c r="AT227" s="8"/>
      <c r="AU227" s="8"/>
      <c r="AV227" s="10"/>
      <c r="AW227" s="8"/>
      <c r="AX227" s="8"/>
      <c r="AY227" s="10"/>
      <c r="AZ227" s="8"/>
      <c r="BA227" s="8"/>
      <c r="BB227" s="10"/>
    </row>
    <row r="228" ht="15.75" customHeight="1">
      <c r="A228" s="35"/>
      <c r="B228" s="36">
        <f t="shared" si="1"/>
        <v>0</v>
      </c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  <c r="AE228" s="8"/>
      <c r="AF228" s="8"/>
      <c r="AG228" s="8"/>
      <c r="AH228" s="8"/>
      <c r="AI228" s="8"/>
      <c r="AJ228" s="8"/>
      <c r="AK228" s="8"/>
      <c r="AL228" s="8"/>
      <c r="AM228" s="8"/>
      <c r="AN228" s="8"/>
      <c r="AO228" s="8"/>
      <c r="AP228" s="8"/>
      <c r="AQ228" s="8"/>
      <c r="AR228" s="8"/>
      <c r="AS228" s="10"/>
      <c r="AT228" s="8"/>
      <c r="AU228" s="8"/>
      <c r="AV228" s="10"/>
      <c r="AW228" s="8"/>
      <c r="AX228" s="8"/>
      <c r="AY228" s="10"/>
      <c r="AZ228" s="8"/>
      <c r="BA228" s="8"/>
      <c r="BB228" s="10"/>
    </row>
    <row r="229" ht="15.75" customHeight="1">
      <c r="A229" s="35"/>
      <c r="B229" s="36">
        <f t="shared" si="1"/>
        <v>0</v>
      </c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  <c r="AE229" s="8"/>
      <c r="AF229" s="8"/>
      <c r="AG229" s="8"/>
      <c r="AH229" s="8"/>
      <c r="AI229" s="8"/>
      <c r="AJ229" s="8"/>
      <c r="AK229" s="8"/>
      <c r="AL229" s="8"/>
      <c r="AM229" s="8"/>
      <c r="AN229" s="8"/>
      <c r="AO229" s="8"/>
      <c r="AP229" s="8"/>
      <c r="AQ229" s="8"/>
      <c r="AR229" s="8"/>
      <c r="AS229" s="10"/>
      <c r="AT229" s="8"/>
      <c r="AU229" s="8"/>
      <c r="AV229" s="10"/>
      <c r="AW229" s="8"/>
      <c r="AX229" s="8"/>
      <c r="AY229" s="10"/>
      <c r="AZ229" s="8"/>
      <c r="BA229" s="8"/>
      <c r="BB229" s="10"/>
    </row>
    <row r="230" ht="15.75" customHeight="1">
      <c r="A230" s="35"/>
      <c r="B230" s="36">
        <f t="shared" si="1"/>
        <v>0</v>
      </c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  <c r="AE230" s="8"/>
      <c r="AF230" s="8"/>
      <c r="AG230" s="8"/>
      <c r="AH230" s="8"/>
      <c r="AI230" s="8"/>
      <c r="AJ230" s="8"/>
      <c r="AK230" s="8"/>
      <c r="AL230" s="8"/>
      <c r="AM230" s="8"/>
      <c r="AN230" s="8"/>
      <c r="AO230" s="8"/>
      <c r="AP230" s="8"/>
      <c r="AQ230" s="8"/>
      <c r="AR230" s="8"/>
      <c r="AS230" s="10"/>
      <c r="AT230" s="8"/>
      <c r="AU230" s="8"/>
      <c r="AV230" s="10"/>
      <c r="AW230" s="8"/>
      <c r="AX230" s="8"/>
      <c r="AY230" s="10"/>
      <c r="AZ230" s="8"/>
      <c r="BA230" s="8"/>
      <c r="BB230" s="10"/>
    </row>
    <row r="231" ht="15.75" customHeight="1">
      <c r="A231" s="35"/>
      <c r="B231" s="36">
        <f t="shared" si="1"/>
        <v>0</v>
      </c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  <c r="AE231" s="8"/>
      <c r="AF231" s="8"/>
      <c r="AG231" s="8"/>
      <c r="AH231" s="8"/>
      <c r="AI231" s="8"/>
      <c r="AJ231" s="8"/>
      <c r="AK231" s="8"/>
      <c r="AL231" s="8"/>
      <c r="AM231" s="8"/>
      <c r="AN231" s="8"/>
      <c r="AO231" s="8"/>
      <c r="AP231" s="8"/>
      <c r="AQ231" s="8"/>
      <c r="AR231" s="8"/>
      <c r="AS231" s="10"/>
      <c r="AT231" s="8"/>
      <c r="AU231" s="8"/>
      <c r="AV231" s="10"/>
      <c r="AW231" s="8"/>
      <c r="AX231" s="8"/>
      <c r="AY231" s="10"/>
      <c r="AZ231" s="8"/>
      <c r="BA231" s="8"/>
      <c r="BB231" s="10"/>
    </row>
    <row r="232" ht="15.75" customHeight="1">
      <c r="A232" s="35"/>
      <c r="B232" s="36">
        <f t="shared" si="1"/>
        <v>0</v>
      </c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  <c r="AE232" s="8"/>
      <c r="AF232" s="8"/>
      <c r="AG232" s="8"/>
      <c r="AH232" s="8"/>
      <c r="AI232" s="8"/>
      <c r="AJ232" s="8"/>
      <c r="AK232" s="8"/>
      <c r="AL232" s="8"/>
      <c r="AM232" s="8"/>
      <c r="AN232" s="8"/>
      <c r="AO232" s="8"/>
      <c r="AP232" s="8"/>
      <c r="AQ232" s="8"/>
      <c r="AR232" s="8"/>
      <c r="AS232" s="10"/>
      <c r="AT232" s="8"/>
      <c r="AU232" s="8"/>
      <c r="AV232" s="10"/>
      <c r="AW232" s="8"/>
      <c r="AX232" s="8"/>
      <c r="AY232" s="10"/>
      <c r="AZ232" s="8"/>
      <c r="BA232" s="8"/>
      <c r="BB232" s="10"/>
    </row>
    <row r="233" ht="15.75" customHeight="1">
      <c r="A233" s="35"/>
      <c r="B233" s="36">
        <f t="shared" si="1"/>
        <v>0</v>
      </c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  <c r="AE233" s="8"/>
      <c r="AF233" s="8"/>
      <c r="AG233" s="8"/>
      <c r="AH233" s="8"/>
      <c r="AI233" s="8"/>
      <c r="AJ233" s="8"/>
      <c r="AK233" s="8"/>
      <c r="AL233" s="8"/>
      <c r="AM233" s="8"/>
      <c r="AN233" s="8"/>
      <c r="AO233" s="8"/>
      <c r="AP233" s="8"/>
      <c r="AQ233" s="8"/>
      <c r="AR233" s="8"/>
      <c r="AS233" s="10"/>
      <c r="AT233" s="8"/>
      <c r="AU233" s="8"/>
      <c r="AV233" s="10"/>
      <c r="AW233" s="8"/>
      <c r="AX233" s="8"/>
      <c r="AY233" s="10"/>
      <c r="AZ233" s="8"/>
      <c r="BA233" s="8"/>
      <c r="BB233" s="10"/>
    </row>
    <row r="234" ht="15.75" customHeight="1">
      <c r="A234" s="35"/>
      <c r="B234" s="36">
        <f t="shared" si="1"/>
        <v>0</v>
      </c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  <c r="AE234" s="8"/>
      <c r="AF234" s="8"/>
      <c r="AG234" s="8"/>
      <c r="AH234" s="8"/>
      <c r="AI234" s="8"/>
      <c r="AJ234" s="8"/>
      <c r="AK234" s="8"/>
      <c r="AL234" s="8"/>
      <c r="AM234" s="8"/>
      <c r="AN234" s="8"/>
      <c r="AO234" s="8"/>
      <c r="AP234" s="8"/>
      <c r="AQ234" s="8"/>
      <c r="AR234" s="8"/>
      <c r="AS234" s="10"/>
      <c r="AT234" s="8"/>
      <c r="AU234" s="8"/>
      <c r="AV234" s="10"/>
      <c r="AW234" s="8"/>
      <c r="AX234" s="8"/>
      <c r="AY234" s="10"/>
      <c r="AZ234" s="8"/>
      <c r="BA234" s="8"/>
      <c r="BB234" s="10"/>
    </row>
    <row r="235" ht="15.75" customHeight="1">
      <c r="A235" s="35"/>
      <c r="B235" s="36">
        <f t="shared" si="1"/>
        <v>0</v>
      </c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  <c r="AE235" s="8"/>
      <c r="AF235" s="8"/>
      <c r="AG235" s="8"/>
      <c r="AH235" s="8"/>
      <c r="AI235" s="8"/>
      <c r="AJ235" s="8"/>
      <c r="AK235" s="8"/>
      <c r="AL235" s="8"/>
      <c r="AM235" s="8"/>
      <c r="AN235" s="8"/>
      <c r="AO235" s="8"/>
      <c r="AP235" s="8"/>
      <c r="AQ235" s="8"/>
      <c r="AR235" s="8"/>
      <c r="AS235" s="10"/>
      <c r="AT235" s="8"/>
      <c r="AU235" s="8"/>
      <c r="AV235" s="10"/>
      <c r="AW235" s="8"/>
      <c r="AX235" s="8"/>
      <c r="AY235" s="10"/>
      <c r="AZ235" s="8"/>
      <c r="BA235" s="8"/>
      <c r="BB235" s="10"/>
    </row>
    <row r="236" ht="15.75" customHeight="1">
      <c r="A236" s="35"/>
      <c r="B236" s="36">
        <f t="shared" si="1"/>
        <v>0</v>
      </c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  <c r="AE236" s="8"/>
      <c r="AF236" s="8"/>
      <c r="AG236" s="8"/>
      <c r="AH236" s="8"/>
      <c r="AI236" s="8"/>
      <c r="AJ236" s="8"/>
      <c r="AK236" s="8"/>
      <c r="AL236" s="8"/>
      <c r="AM236" s="8"/>
      <c r="AN236" s="8"/>
      <c r="AO236" s="8"/>
      <c r="AP236" s="8"/>
      <c r="AQ236" s="8"/>
      <c r="AR236" s="8"/>
      <c r="AS236" s="10"/>
      <c r="AT236" s="8"/>
      <c r="AU236" s="8"/>
      <c r="AV236" s="10"/>
      <c r="AW236" s="8"/>
      <c r="AX236" s="8"/>
      <c r="AY236" s="10"/>
      <c r="AZ236" s="8"/>
      <c r="BA236" s="8"/>
      <c r="BB236" s="10"/>
    </row>
    <row r="237" ht="15.75" customHeight="1">
      <c r="A237" s="35"/>
      <c r="B237" s="36">
        <f t="shared" si="1"/>
        <v>0</v>
      </c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  <c r="AE237" s="8"/>
      <c r="AF237" s="8"/>
      <c r="AG237" s="8"/>
      <c r="AH237" s="8"/>
      <c r="AI237" s="8"/>
      <c r="AJ237" s="8"/>
      <c r="AK237" s="8"/>
      <c r="AL237" s="8"/>
      <c r="AM237" s="8"/>
      <c r="AN237" s="8"/>
      <c r="AO237" s="8"/>
      <c r="AP237" s="8"/>
      <c r="AQ237" s="8"/>
      <c r="AR237" s="8"/>
      <c r="AS237" s="10"/>
      <c r="AT237" s="8"/>
      <c r="AU237" s="8"/>
      <c r="AV237" s="10"/>
      <c r="AW237" s="8"/>
      <c r="AX237" s="8"/>
      <c r="AY237" s="10"/>
      <c r="AZ237" s="8"/>
      <c r="BA237" s="8"/>
      <c r="BB237" s="10"/>
    </row>
    <row r="238" ht="15.75" customHeight="1">
      <c r="A238" s="35"/>
      <c r="B238" s="36">
        <f t="shared" si="1"/>
        <v>0</v>
      </c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  <c r="AE238" s="8"/>
      <c r="AF238" s="8"/>
      <c r="AG238" s="8"/>
      <c r="AH238" s="8"/>
      <c r="AI238" s="8"/>
      <c r="AJ238" s="8"/>
      <c r="AK238" s="8"/>
      <c r="AL238" s="8"/>
      <c r="AM238" s="8"/>
      <c r="AN238" s="8"/>
      <c r="AO238" s="8"/>
      <c r="AP238" s="8"/>
      <c r="AQ238" s="8"/>
      <c r="AR238" s="8"/>
      <c r="AS238" s="10"/>
      <c r="AT238" s="8"/>
      <c r="AU238" s="8"/>
      <c r="AV238" s="10"/>
      <c r="AW238" s="8"/>
      <c r="AX238" s="8"/>
      <c r="AY238" s="10"/>
      <c r="AZ238" s="8"/>
      <c r="BA238" s="8"/>
      <c r="BB238" s="10"/>
    </row>
    <row r="239" ht="15.75" customHeight="1">
      <c r="A239" s="35"/>
      <c r="B239" s="36">
        <f t="shared" si="1"/>
        <v>0</v>
      </c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  <c r="AE239" s="8"/>
      <c r="AF239" s="8"/>
      <c r="AG239" s="8"/>
      <c r="AH239" s="8"/>
      <c r="AI239" s="8"/>
      <c r="AJ239" s="8"/>
      <c r="AK239" s="8"/>
      <c r="AL239" s="8"/>
      <c r="AM239" s="8"/>
      <c r="AN239" s="8"/>
      <c r="AO239" s="8"/>
      <c r="AP239" s="8"/>
      <c r="AQ239" s="8"/>
      <c r="AR239" s="8"/>
      <c r="AS239" s="10"/>
      <c r="AT239" s="8"/>
      <c r="AU239" s="8"/>
      <c r="AV239" s="10"/>
      <c r="AW239" s="8"/>
      <c r="AX239" s="8"/>
      <c r="AY239" s="10"/>
      <c r="AZ239" s="8"/>
      <c r="BA239" s="8"/>
      <c r="BB239" s="10"/>
    </row>
    <row r="240" ht="15.75" customHeight="1">
      <c r="A240" s="35"/>
      <c r="B240" s="36">
        <f t="shared" si="1"/>
        <v>0</v>
      </c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  <c r="AE240" s="8"/>
      <c r="AF240" s="8"/>
      <c r="AG240" s="8"/>
      <c r="AH240" s="8"/>
      <c r="AI240" s="8"/>
      <c r="AJ240" s="8"/>
      <c r="AK240" s="8"/>
      <c r="AL240" s="8"/>
      <c r="AM240" s="8"/>
      <c r="AN240" s="8"/>
      <c r="AO240" s="8"/>
      <c r="AP240" s="8"/>
      <c r="AQ240" s="8"/>
      <c r="AR240" s="8"/>
      <c r="AS240" s="10"/>
      <c r="AT240" s="8"/>
      <c r="AU240" s="8"/>
      <c r="AV240" s="10"/>
      <c r="AW240" s="8"/>
      <c r="AX240" s="8"/>
      <c r="AY240" s="10"/>
      <c r="AZ240" s="8"/>
      <c r="BA240" s="8"/>
      <c r="BB240" s="10"/>
    </row>
    <row r="241" ht="15.75" customHeight="1">
      <c r="A241" s="35"/>
      <c r="B241" s="36">
        <f t="shared" si="1"/>
        <v>0</v>
      </c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  <c r="AE241" s="8"/>
      <c r="AF241" s="8"/>
      <c r="AG241" s="8"/>
      <c r="AH241" s="8"/>
      <c r="AI241" s="8"/>
      <c r="AJ241" s="8"/>
      <c r="AK241" s="8"/>
      <c r="AL241" s="8"/>
      <c r="AM241" s="8"/>
      <c r="AN241" s="8"/>
      <c r="AO241" s="8"/>
      <c r="AP241" s="8"/>
      <c r="AQ241" s="8"/>
      <c r="AR241" s="8"/>
      <c r="AS241" s="10"/>
      <c r="AT241" s="8"/>
      <c r="AU241" s="8"/>
      <c r="AV241" s="10"/>
      <c r="AW241" s="8"/>
      <c r="AX241" s="8"/>
      <c r="AY241" s="10"/>
      <c r="AZ241" s="8"/>
      <c r="BA241" s="8"/>
      <c r="BB241" s="10"/>
    </row>
    <row r="242" ht="15.75" customHeight="1">
      <c r="A242" s="35"/>
      <c r="B242" s="36">
        <f t="shared" si="1"/>
        <v>0</v>
      </c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  <c r="AE242" s="8"/>
      <c r="AF242" s="8"/>
      <c r="AG242" s="8"/>
      <c r="AH242" s="8"/>
      <c r="AI242" s="8"/>
      <c r="AJ242" s="8"/>
      <c r="AK242" s="8"/>
      <c r="AL242" s="8"/>
      <c r="AM242" s="8"/>
      <c r="AN242" s="8"/>
      <c r="AO242" s="8"/>
      <c r="AP242" s="8"/>
      <c r="AQ242" s="8"/>
      <c r="AR242" s="8"/>
      <c r="AS242" s="10"/>
      <c r="AT242" s="8"/>
      <c r="AU242" s="8"/>
      <c r="AV242" s="10"/>
      <c r="AW242" s="8"/>
      <c r="AX242" s="8"/>
      <c r="AY242" s="10"/>
      <c r="AZ242" s="8"/>
      <c r="BA242" s="8"/>
      <c r="BB242" s="10"/>
    </row>
    <row r="243" ht="15.75" customHeight="1">
      <c r="A243" s="35"/>
      <c r="B243" s="36">
        <f t="shared" si="1"/>
        <v>0</v>
      </c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  <c r="AE243" s="8"/>
      <c r="AF243" s="8"/>
      <c r="AG243" s="8"/>
      <c r="AH243" s="8"/>
      <c r="AI243" s="8"/>
      <c r="AJ243" s="8"/>
      <c r="AK243" s="8"/>
      <c r="AL243" s="8"/>
      <c r="AM243" s="8"/>
      <c r="AN243" s="8"/>
      <c r="AO243" s="8"/>
      <c r="AP243" s="8"/>
      <c r="AQ243" s="8"/>
      <c r="AR243" s="8"/>
      <c r="AS243" s="10"/>
      <c r="AT243" s="8"/>
      <c r="AU243" s="8"/>
      <c r="AV243" s="10"/>
      <c r="AW243" s="8"/>
      <c r="AX243" s="8"/>
      <c r="AY243" s="10"/>
      <c r="AZ243" s="8"/>
      <c r="BA243" s="8"/>
      <c r="BB243" s="10"/>
    </row>
    <row r="244" ht="15.75" customHeight="1">
      <c r="A244" s="41"/>
      <c r="B244" s="36">
        <f t="shared" si="1"/>
        <v>0</v>
      </c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8"/>
      <c r="AS244" s="10"/>
      <c r="AT244" s="8"/>
      <c r="AU244" s="8"/>
      <c r="AV244" s="10"/>
      <c r="AW244" s="8"/>
      <c r="AX244" s="8"/>
      <c r="AY244" s="10"/>
      <c r="AZ244" s="8"/>
      <c r="BA244" s="8"/>
      <c r="BB244" s="10"/>
    </row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6.63"/>
    <col customWidth="1" min="2" max="2" width="12.88"/>
    <col customWidth="1" min="3" max="3" width="18.25"/>
    <col customWidth="1" min="4" max="6" width="18.88"/>
    <col customWidth="1" min="7" max="7" width="15.63"/>
    <col customWidth="1" min="8" max="8" width="18.25"/>
    <col customWidth="1" min="9" max="9" width="8.63"/>
    <col customWidth="1" min="10" max="12" width="18.88"/>
    <col customWidth="1" min="13" max="13" width="15.63"/>
    <col customWidth="1" min="14" max="14" width="18.25"/>
    <col customWidth="1" min="15" max="15" width="8.63"/>
    <col customWidth="1" min="16" max="16" width="25.63"/>
    <col customWidth="1" min="17" max="17" width="8.63"/>
    <col customWidth="1" min="18" max="18" width="40.75"/>
    <col customWidth="1" min="19" max="19" width="15.63"/>
    <col customWidth="1" min="20" max="20" width="8.63"/>
    <col customWidth="1" min="21" max="21" width="21.5"/>
    <col customWidth="1" min="22" max="22" width="18.5"/>
    <col customWidth="1" min="23" max="32" width="8.63"/>
  </cols>
  <sheetData>
    <row r="1">
      <c r="A1" s="42" t="s">
        <v>516</v>
      </c>
      <c r="B1" s="42" t="s">
        <v>517</v>
      </c>
      <c r="C1" s="43" t="s">
        <v>518</v>
      </c>
      <c r="D1" s="42" t="s">
        <v>519</v>
      </c>
      <c r="E1" s="42" t="s">
        <v>517</v>
      </c>
      <c r="F1" s="42" t="s">
        <v>520</v>
      </c>
      <c r="G1" s="42" t="s">
        <v>517</v>
      </c>
      <c r="H1" s="43" t="s">
        <v>521</v>
      </c>
      <c r="J1" s="44" t="s">
        <v>519</v>
      </c>
      <c r="K1" s="44" t="s">
        <v>517</v>
      </c>
      <c r="L1" s="44" t="s">
        <v>520</v>
      </c>
      <c r="M1" s="44" t="s">
        <v>517</v>
      </c>
      <c r="N1" s="45" t="s">
        <v>522</v>
      </c>
      <c r="P1" s="46" t="s">
        <v>523</v>
      </c>
      <c r="R1" s="42" t="s">
        <v>524</v>
      </c>
      <c r="S1" s="46">
        <v>53.0</v>
      </c>
      <c r="U1" s="42" t="s">
        <v>518</v>
      </c>
      <c r="V1" s="46">
        <f>Sum(S1:S2)</f>
        <v>665</v>
      </c>
    </row>
    <row r="2">
      <c r="A2" s="47">
        <v>45319.0</v>
      </c>
      <c r="B2" s="48">
        <v>18.0</v>
      </c>
      <c r="C2" s="49">
        <f>SUM(B2:B304)</f>
        <v>3150</v>
      </c>
      <c r="D2" s="47">
        <v>45661.0</v>
      </c>
      <c r="E2" s="48">
        <v>0.0</v>
      </c>
      <c r="F2" s="47">
        <v>45662.0</v>
      </c>
      <c r="G2" s="48">
        <v>108.0</v>
      </c>
      <c r="H2" s="49">
        <f t="array" ref="H2">SUM(G2:G57+E2:E57)</f>
        <v>10809</v>
      </c>
      <c r="J2" s="50">
        <v>46025.0</v>
      </c>
      <c r="K2" s="51">
        <v>198.0</v>
      </c>
      <c r="L2" s="50">
        <v>46026.0</v>
      </c>
      <c r="M2" s="51">
        <v>108.0</v>
      </c>
      <c r="N2" s="49">
        <f t="array" ref="N2">SUM(M2:M57+K2:K57)</f>
        <v>4473</v>
      </c>
      <c r="P2" s="46">
        <f>SUM(C2+H2+N2)</f>
        <v>18432</v>
      </c>
      <c r="R2" s="42" t="s">
        <v>525</v>
      </c>
      <c r="S2" s="46">
        <v>612.0</v>
      </c>
      <c r="U2" s="42" t="s">
        <v>521</v>
      </c>
      <c r="V2" s="46">
        <f>SUM(S3:S6)</f>
        <v>3169.5</v>
      </c>
    </row>
    <row r="3">
      <c r="A3" s="47"/>
      <c r="C3" s="52"/>
      <c r="D3" s="47"/>
      <c r="F3" s="47"/>
      <c r="H3" s="52"/>
      <c r="J3" s="50"/>
      <c r="K3" s="51"/>
      <c r="L3" s="50"/>
      <c r="M3" s="51"/>
      <c r="N3" s="52"/>
      <c r="P3" s="52"/>
      <c r="R3" s="42" t="s">
        <v>526</v>
      </c>
      <c r="S3" s="53">
        <v>1081.0</v>
      </c>
      <c r="U3" s="42" t="s">
        <v>522</v>
      </c>
      <c r="V3" s="46">
        <f>SUM(S7:S10)</f>
        <v>1404</v>
      </c>
    </row>
    <row r="4">
      <c r="A4" s="47"/>
      <c r="C4" s="52"/>
      <c r="D4" s="47"/>
      <c r="F4" s="47"/>
      <c r="H4" s="52"/>
      <c r="J4" s="50"/>
      <c r="K4" s="51"/>
      <c r="L4" s="50"/>
      <c r="M4" s="51"/>
      <c r="N4" s="52"/>
      <c r="P4" s="52"/>
      <c r="R4" s="42" t="s">
        <v>527</v>
      </c>
      <c r="S4" s="53">
        <v>774.75</v>
      </c>
    </row>
    <row r="5">
      <c r="A5" s="47"/>
      <c r="C5" s="52"/>
      <c r="D5" s="47"/>
      <c r="F5" s="47"/>
      <c r="H5" s="52"/>
      <c r="J5" s="50"/>
      <c r="K5" s="51"/>
      <c r="L5" s="50"/>
      <c r="M5" s="51"/>
      <c r="N5" s="52"/>
      <c r="P5" s="52"/>
      <c r="R5" s="42" t="s">
        <v>528</v>
      </c>
      <c r="S5" s="53">
        <v>1042.75</v>
      </c>
    </row>
    <row r="6">
      <c r="A6" s="47"/>
      <c r="C6" s="52"/>
      <c r="D6" s="47"/>
      <c r="F6" s="47"/>
      <c r="H6" s="52"/>
      <c r="J6" s="50"/>
      <c r="K6" s="51"/>
      <c r="L6" s="50"/>
      <c r="M6" s="51"/>
      <c r="N6" s="52"/>
      <c r="P6" s="52"/>
      <c r="R6" s="42" t="s">
        <v>529</v>
      </c>
      <c r="S6" s="53">
        <v>271.0</v>
      </c>
    </row>
    <row r="7">
      <c r="A7" s="47">
        <v>45326.0</v>
      </c>
      <c r="B7" s="48">
        <v>36.0</v>
      </c>
      <c r="C7" s="52"/>
      <c r="D7" s="47">
        <v>45668.0</v>
      </c>
      <c r="E7" s="48">
        <v>0.0</v>
      </c>
      <c r="F7" s="47">
        <v>45669.0</v>
      </c>
      <c r="G7" s="48">
        <v>108.0</v>
      </c>
      <c r="H7" s="52"/>
      <c r="J7" s="50">
        <v>46032.0</v>
      </c>
      <c r="K7" s="51">
        <v>198.0</v>
      </c>
      <c r="L7" s="50">
        <v>46033.0</v>
      </c>
      <c r="M7" s="51">
        <v>108.0</v>
      </c>
      <c r="N7" s="52"/>
      <c r="P7" s="52"/>
      <c r="R7" s="44" t="s">
        <v>530</v>
      </c>
      <c r="S7" s="53">
        <v>386.75</v>
      </c>
    </row>
    <row r="8">
      <c r="A8" s="47">
        <v>45333.0</v>
      </c>
      <c r="B8" s="48">
        <v>54.0</v>
      </c>
      <c r="C8" s="52"/>
      <c r="D8" s="47">
        <v>45675.0</v>
      </c>
      <c r="E8" s="48">
        <v>0.0</v>
      </c>
      <c r="F8" s="47">
        <v>45676.0</v>
      </c>
      <c r="G8" s="48">
        <v>108.0</v>
      </c>
      <c r="H8" s="52"/>
      <c r="J8" s="50">
        <v>46039.0</v>
      </c>
      <c r="K8" s="51">
        <v>198.0</v>
      </c>
      <c r="L8" s="50">
        <v>46040.0</v>
      </c>
      <c r="M8" s="51">
        <v>108.0</v>
      </c>
      <c r="N8" s="52"/>
      <c r="P8" s="52"/>
      <c r="R8" s="44" t="s">
        <v>531</v>
      </c>
      <c r="S8" s="53">
        <v>623.5</v>
      </c>
    </row>
    <row r="9">
      <c r="A9" s="47">
        <v>45340.0</v>
      </c>
      <c r="B9" s="48">
        <v>54.0</v>
      </c>
      <c r="C9" s="52"/>
      <c r="D9" s="47">
        <v>45682.0</v>
      </c>
      <c r="E9" s="48">
        <v>0.0</v>
      </c>
      <c r="F9" s="47">
        <v>45683.0</v>
      </c>
      <c r="G9" s="48">
        <v>108.0</v>
      </c>
      <c r="H9" s="52"/>
      <c r="J9" s="50">
        <v>46046.0</v>
      </c>
      <c r="K9" s="51">
        <v>189.0</v>
      </c>
      <c r="L9" s="50">
        <v>46047.0</v>
      </c>
      <c r="M9" s="51">
        <v>0.0</v>
      </c>
      <c r="N9" s="52"/>
      <c r="P9" s="52"/>
      <c r="R9" s="44" t="s">
        <v>532</v>
      </c>
      <c r="S9" s="53">
        <v>381.25</v>
      </c>
    </row>
    <row r="10">
      <c r="A10" s="47">
        <v>45347.0</v>
      </c>
      <c r="B10" s="48">
        <v>54.0</v>
      </c>
      <c r="C10" s="52"/>
      <c r="D10" s="47">
        <v>45689.0</v>
      </c>
      <c r="E10" s="48">
        <v>0.0</v>
      </c>
      <c r="F10" s="47">
        <v>45690.0</v>
      </c>
      <c r="G10" s="48">
        <v>108.0</v>
      </c>
      <c r="H10" s="52"/>
      <c r="J10" s="50">
        <v>46053.0</v>
      </c>
      <c r="K10" s="51">
        <v>198.0</v>
      </c>
      <c r="L10" s="50">
        <v>46054.0</v>
      </c>
      <c r="M10" s="51">
        <v>108.0</v>
      </c>
      <c r="N10" s="52"/>
      <c r="P10" s="52"/>
      <c r="R10" s="44" t="s">
        <v>533</v>
      </c>
      <c r="S10" s="53">
        <v>12.5</v>
      </c>
    </row>
    <row r="11">
      <c r="A11" s="47">
        <v>45354.0</v>
      </c>
      <c r="B11" s="48">
        <v>0.0</v>
      </c>
      <c r="C11" s="52"/>
      <c r="D11" s="47">
        <v>45696.0</v>
      </c>
      <c r="E11" s="48">
        <v>0.0</v>
      </c>
      <c r="F11" s="47">
        <v>45697.0</v>
      </c>
      <c r="G11" s="48">
        <v>108.0</v>
      </c>
      <c r="H11" s="52"/>
      <c r="J11" s="50">
        <v>46060.0</v>
      </c>
      <c r="K11" s="51">
        <v>198.0</v>
      </c>
      <c r="L11" s="50">
        <v>46061.0</v>
      </c>
      <c r="M11" s="51">
        <v>108.0</v>
      </c>
      <c r="N11" s="52"/>
      <c r="P11" s="52"/>
      <c r="R11" s="42" t="s">
        <v>534</v>
      </c>
      <c r="S11" s="46">
        <f>SUM(S1:S10)</f>
        <v>5238.5</v>
      </c>
    </row>
    <row r="12">
      <c r="A12" s="47">
        <v>45361.0</v>
      </c>
      <c r="B12" s="48">
        <v>54.0</v>
      </c>
      <c r="C12" s="52"/>
      <c r="D12" s="47">
        <v>45703.0</v>
      </c>
      <c r="E12" s="48">
        <v>0.0</v>
      </c>
      <c r="F12" s="47">
        <v>45704.0</v>
      </c>
      <c r="G12" s="48">
        <v>108.0</v>
      </c>
      <c r="H12" s="52"/>
      <c r="J12" s="50">
        <v>46067.0</v>
      </c>
      <c r="K12" s="51">
        <v>198.0</v>
      </c>
      <c r="L12" s="50">
        <v>46068.0</v>
      </c>
      <c r="M12" s="51">
        <v>108.0</v>
      </c>
      <c r="N12" s="52"/>
      <c r="P12" s="52"/>
      <c r="S12" s="52"/>
    </row>
    <row r="13">
      <c r="A13" s="47">
        <v>45368.0</v>
      </c>
      <c r="B13" s="48">
        <v>54.0</v>
      </c>
      <c r="C13" s="52"/>
      <c r="D13" s="47">
        <v>45710.0</v>
      </c>
      <c r="E13" s="48">
        <v>0.0</v>
      </c>
      <c r="F13" s="47">
        <v>45711.0</v>
      </c>
      <c r="G13" s="48">
        <v>108.0</v>
      </c>
      <c r="H13" s="52"/>
      <c r="J13" s="50">
        <v>46074.0</v>
      </c>
      <c r="K13" s="51">
        <v>198.0</v>
      </c>
      <c r="L13" s="50">
        <v>46075.0</v>
      </c>
      <c r="M13" s="51">
        <v>108.0</v>
      </c>
      <c r="N13" s="52"/>
      <c r="P13" s="52"/>
      <c r="S13" s="52"/>
    </row>
    <row r="14">
      <c r="A14" s="47">
        <v>45375.0</v>
      </c>
      <c r="B14" s="48">
        <v>63.0</v>
      </c>
      <c r="C14" s="52"/>
      <c r="D14" s="47">
        <v>45717.0</v>
      </c>
      <c r="E14" s="48">
        <v>0.0</v>
      </c>
      <c r="F14" s="47">
        <v>45718.0</v>
      </c>
      <c r="G14" s="48">
        <v>108.0</v>
      </c>
      <c r="H14" s="52"/>
      <c r="J14" s="50">
        <v>46081.0</v>
      </c>
      <c r="K14" s="51">
        <v>198.0</v>
      </c>
      <c r="L14" s="50">
        <v>46082.0</v>
      </c>
      <c r="M14" s="51">
        <v>108.0</v>
      </c>
      <c r="N14" s="52"/>
      <c r="P14" s="52"/>
      <c r="S14" s="52"/>
    </row>
    <row r="15">
      <c r="A15" s="47">
        <v>45382.0</v>
      </c>
      <c r="B15" s="48">
        <v>54.0</v>
      </c>
      <c r="C15" s="52"/>
      <c r="D15" s="47">
        <v>45724.0</v>
      </c>
      <c r="E15" s="48">
        <v>0.0</v>
      </c>
      <c r="F15" s="47">
        <v>45725.0</v>
      </c>
      <c r="G15" s="48">
        <v>108.0</v>
      </c>
      <c r="H15" s="52"/>
      <c r="J15" s="50">
        <v>46088.0</v>
      </c>
      <c r="K15" s="51">
        <v>198.0</v>
      </c>
      <c r="L15" s="50">
        <v>46089.0</v>
      </c>
      <c r="M15" s="51">
        <v>108.0</v>
      </c>
      <c r="N15" s="52"/>
      <c r="P15" s="52"/>
      <c r="S15" s="52"/>
    </row>
    <row r="16">
      <c r="A16" s="47">
        <v>45389.0</v>
      </c>
      <c r="B16" s="48">
        <v>54.0</v>
      </c>
      <c r="C16" s="52"/>
      <c r="D16" s="47">
        <v>45731.0</v>
      </c>
      <c r="E16" s="48">
        <v>0.0</v>
      </c>
      <c r="F16" s="47">
        <v>45732.0</v>
      </c>
      <c r="G16" s="48">
        <v>108.0</v>
      </c>
      <c r="H16" s="52"/>
      <c r="J16" s="50">
        <v>46095.0</v>
      </c>
      <c r="K16" s="51">
        <v>198.0</v>
      </c>
      <c r="L16" s="50">
        <v>46096.0</v>
      </c>
      <c r="M16" s="51">
        <v>108.0</v>
      </c>
      <c r="N16" s="52"/>
      <c r="P16" s="52"/>
      <c r="S16" s="52"/>
    </row>
    <row r="17">
      <c r="A17" s="47">
        <v>45396.0</v>
      </c>
      <c r="B17" s="48">
        <v>54.0</v>
      </c>
      <c r="C17" s="52"/>
      <c r="D17" s="47">
        <v>45738.0</v>
      </c>
      <c r="E17" s="48">
        <v>0.0</v>
      </c>
      <c r="F17" s="47">
        <v>45739.0</v>
      </c>
      <c r="G17" s="48">
        <v>108.0</v>
      </c>
      <c r="H17" s="52"/>
      <c r="J17" s="50">
        <v>46102.0</v>
      </c>
      <c r="K17" s="51">
        <v>198.0</v>
      </c>
      <c r="L17" s="50">
        <v>46103.0</v>
      </c>
      <c r="M17" s="51">
        <v>108.0</v>
      </c>
      <c r="N17" s="52"/>
      <c r="P17" s="52"/>
      <c r="S17" s="52"/>
    </row>
    <row r="18">
      <c r="A18" s="47">
        <v>45403.0</v>
      </c>
      <c r="B18" s="48">
        <v>0.0</v>
      </c>
      <c r="C18" s="52"/>
      <c r="D18" s="47">
        <v>45745.0</v>
      </c>
      <c r="E18" s="48">
        <v>0.0</v>
      </c>
      <c r="F18" s="47">
        <v>45746.0</v>
      </c>
      <c r="G18" s="48">
        <v>108.0</v>
      </c>
      <c r="H18" s="52"/>
      <c r="J18" s="50">
        <v>46109.0</v>
      </c>
      <c r="K18" s="51">
        <v>198.0</v>
      </c>
      <c r="L18" s="50">
        <v>46110.0</v>
      </c>
      <c r="M18" s="51">
        <v>108.0</v>
      </c>
      <c r="N18" s="52"/>
      <c r="P18" s="52"/>
      <c r="S18" s="52"/>
    </row>
    <row r="19">
      <c r="A19" s="47">
        <v>45410.0</v>
      </c>
      <c r="B19" s="48">
        <v>0.0</v>
      </c>
      <c r="C19" s="52"/>
      <c r="D19" s="47">
        <v>45752.0</v>
      </c>
      <c r="E19" s="48">
        <v>108.0</v>
      </c>
      <c r="F19" s="47">
        <v>45753.0</v>
      </c>
      <c r="G19" s="48">
        <v>108.0</v>
      </c>
      <c r="H19" s="52"/>
      <c r="J19" s="50">
        <v>46116.0</v>
      </c>
      <c r="K19" s="51">
        <v>198.0</v>
      </c>
      <c r="L19" s="50">
        <v>46117.0</v>
      </c>
      <c r="M19" s="51">
        <v>108.0</v>
      </c>
      <c r="N19" s="52"/>
      <c r="P19" s="52"/>
      <c r="S19" s="52"/>
    </row>
    <row r="20">
      <c r="A20" s="47">
        <v>45417.0</v>
      </c>
      <c r="B20" s="48">
        <v>63.0</v>
      </c>
      <c r="C20" s="52"/>
      <c r="D20" s="47">
        <v>45759.0</v>
      </c>
      <c r="E20" s="48">
        <v>108.0</v>
      </c>
      <c r="F20" s="47">
        <v>45760.0</v>
      </c>
      <c r="G20" s="48">
        <v>108.0</v>
      </c>
      <c r="H20" s="52"/>
      <c r="J20" s="50">
        <v>46123.0</v>
      </c>
      <c r="K20" s="51">
        <v>198.0</v>
      </c>
      <c r="L20" s="50">
        <v>46124.0</v>
      </c>
      <c r="M20" s="51">
        <v>108.0</v>
      </c>
      <c r="N20" s="52"/>
      <c r="P20" s="52"/>
      <c r="S20" s="52"/>
    </row>
    <row r="21">
      <c r="A21" s="47">
        <v>45424.0</v>
      </c>
      <c r="B21" s="48">
        <v>54.0</v>
      </c>
      <c r="C21" s="52"/>
      <c r="D21" s="47">
        <v>45766.0</v>
      </c>
      <c r="E21" s="48">
        <v>108.0</v>
      </c>
      <c r="F21" s="47">
        <v>45767.0</v>
      </c>
      <c r="G21" s="48">
        <v>108.0</v>
      </c>
      <c r="H21" s="52"/>
      <c r="J21" s="50">
        <v>46130.0</v>
      </c>
      <c r="K21" s="51"/>
      <c r="L21" s="50">
        <v>46131.0</v>
      </c>
      <c r="M21" s="51"/>
      <c r="N21" s="52"/>
      <c r="P21" s="52"/>
      <c r="S21" s="52"/>
    </row>
    <row r="22">
      <c r="A22" s="47">
        <v>45431.0</v>
      </c>
      <c r="B22" s="48">
        <v>54.0</v>
      </c>
      <c r="C22" s="52"/>
      <c r="D22" s="47">
        <v>45773.0</v>
      </c>
      <c r="E22" s="48">
        <v>108.0</v>
      </c>
      <c r="F22" s="47">
        <v>45774.0</v>
      </c>
      <c r="G22" s="48">
        <v>108.0</v>
      </c>
      <c r="H22" s="52"/>
      <c r="J22" s="50">
        <v>46137.0</v>
      </c>
      <c r="K22" s="51"/>
      <c r="L22" s="50">
        <v>46138.0</v>
      </c>
      <c r="M22" s="51"/>
      <c r="N22" s="52"/>
      <c r="P22" s="52"/>
      <c r="S22" s="52"/>
    </row>
    <row r="23">
      <c r="A23" s="47">
        <v>45438.0</v>
      </c>
      <c r="B23" s="48">
        <v>54.0</v>
      </c>
      <c r="C23" s="52"/>
      <c r="D23" s="47">
        <v>45780.0</v>
      </c>
      <c r="E23" s="48">
        <v>108.0</v>
      </c>
      <c r="F23" s="47">
        <v>45781.0</v>
      </c>
      <c r="G23" s="48">
        <v>108.0</v>
      </c>
      <c r="H23" s="52"/>
      <c r="J23" s="50">
        <v>46144.0</v>
      </c>
      <c r="K23" s="51"/>
      <c r="L23" s="50">
        <v>46145.0</v>
      </c>
      <c r="M23" s="51"/>
      <c r="N23" s="52"/>
      <c r="P23" s="52"/>
      <c r="S23" s="52"/>
    </row>
    <row r="24">
      <c r="A24" s="47">
        <v>45445.0</v>
      </c>
      <c r="B24" s="48">
        <v>54.0</v>
      </c>
      <c r="C24" s="52"/>
      <c r="D24" s="47">
        <v>45787.0</v>
      </c>
      <c r="E24" s="48">
        <v>0.0</v>
      </c>
      <c r="F24" s="47">
        <v>45788.0</v>
      </c>
      <c r="G24" s="48">
        <v>216.0</v>
      </c>
      <c r="H24" s="52"/>
      <c r="J24" s="50">
        <v>46151.0</v>
      </c>
      <c r="K24" s="51"/>
      <c r="L24" s="50">
        <v>46152.0</v>
      </c>
      <c r="M24" s="51"/>
      <c r="N24" s="52"/>
      <c r="P24" s="52"/>
      <c r="S24" s="52"/>
    </row>
    <row r="25" ht="15.75" customHeight="1">
      <c r="A25" s="47">
        <v>45452.0</v>
      </c>
      <c r="B25" s="48">
        <v>54.0</v>
      </c>
      <c r="C25" s="52"/>
      <c r="D25" s="47">
        <v>45794.0</v>
      </c>
      <c r="E25" s="48">
        <v>108.0</v>
      </c>
      <c r="F25" s="47">
        <v>45795.0</v>
      </c>
      <c r="G25" s="48">
        <v>108.0</v>
      </c>
      <c r="H25" s="52"/>
      <c r="J25" s="50">
        <v>46158.0</v>
      </c>
      <c r="K25" s="51"/>
      <c r="L25" s="50">
        <v>46159.0</v>
      </c>
      <c r="M25" s="51"/>
      <c r="N25" s="52"/>
      <c r="P25" s="52"/>
      <c r="S25" s="52"/>
    </row>
    <row r="26" ht="15.75" customHeight="1">
      <c r="A26" s="47">
        <v>45459.0</v>
      </c>
      <c r="B26" s="48">
        <v>0.0</v>
      </c>
      <c r="C26" s="52"/>
      <c r="D26" s="47">
        <v>45801.0</v>
      </c>
      <c r="E26" s="48">
        <v>108.0</v>
      </c>
      <c r="F26" s="47">
        <v>45802.0</v>
      </c>
      <c r="G26" s="48">
        <v>108.0</v>
      </c>
      <c r="H26" s="52"/>
      <c r="J26" s="50">
        <v>46165.0</v>
      </c>
      <c r="K26" s="51"/>
      <c r="L26" s="50">
        <v>46166.0</v>
      </c>
      <c r="M26" s="51"/>
      <c r="N26" s="52"/>
      <c r="P26" s="52"/>
      <c r="S26" s="52"/>
    </row>
    <row r="27" ht="15.75" customHeight="1">
      <c r="A27" s="47">
        <v>45466.0</v>
      </c>
      <c r="B27" s="48">
        <v>54.0</v>
      </c>
      <c r="C27" s="52"/>
      <c r="D27" s="47">
        <v>45808.0</v>
      </c>
      <c r="E27" s="48">
        <v>108.0</v>
      </c>
      <c r="F27" s="47">
        <v>45809.0</v>
      </c>
      <c r="G27" s="48">
        <v>108.0</v>
      </c>
      <c r="H27" s="52"/>
      <c r="J27" s="50">
        <v>46172.0</v>
      </c>
      <c r="K27" s="51"/>
      <c r="L27" s="50">
        <v>46173.0</v>
      </c>
      <c r="M27" s="51"/>
      <c r="N27" s="52"/>
      <c r="P27" s="52"/>
      <c r="S27" s="52"/>
    </row>
    <row r="28" ht="15.75" customHeight="1">
      <c r="A28" s="47">
        <v>45473.0</v>
      </c>
      <c r="B28" s="48">
        <v>54.0</v>
      </c>
      <c r="C28" s="52"/>
      <c r="D28" s="47">
        <v>45815.0</v>
      </c>
      <c r="E28" s="48">
        <v>108.0</v>
      </c>
      <c r="F28" s="47">
        <v>45816.0</v>
      </c>
      <c r="G28" s="48">
        <v>108.0</v>
      </c>
      <c r="H28" s="52"/>
      <c r="J28" s="50">
        <v>46179.0</v>
      </c>
      <c r="K28" s="51"/>
      <c r="L28" s="50">
        <v>46180.0</v>
      </c>
      <c r="M28" s="51"/>
      <c r="N28" s="52"/>
      <c r="P28" s="52"/>
      <c r="S28" s="52"/>
    </row>
    <row r="29" ht="15.75" customHeight="1">
      <c r="A29" s="47">
        <v>45480.0</v>
      </c>
      <c r="B29" s="48">
        <v>54.0</v>
      </c>
      <c r="C29" s="52"/>
      <c r="D29" s="47">
        <v>45822.0</v>
      </c>
      <c r="E29" s="48">
        <v>108.0</v>
      </c>
      <c r="F29" s="47">
        <v>45823.0</v>
      </c>
      <c r="G29" s="48">
        <v>108.0</v>
      </c>
      <c r="H29" s="52"/>
      <c r="J29" s="50">
        <v>46186.0</v>
      </c>
      <c r="K29" s="51"/>
      <c r="L29" s="50">
        <v>46187.0</v>
      </c>
      <c r="M29" s="51"/>
      <c r="N29" s="52"/>
      <c r="P29" s="52"/>
      <c r="S29" s="52"/>
    </row>
    <row r="30" ht="15.75" customHeight="1">
      <c r="A30" s="47">
        <v>45487.0</v>
      </c>
      <c r="B30" s="48">
        <v>54.0</v>
      </c>
      <c r="C30" s="52"/>
      <c r="D30" s="47">
        <v>45829.0</v>
      </c>
      <c r="E30" s="48">
        <v>108.0</v>
      </c>
      <c r="F30" s="47">
        <v>45830.0</v>
      </c>
      <c r="G30" s="48">
        <v>108.0</v>
      </c>
      <c r="H30" s="52"/>
      <c r="J30" s="50">
        <v>46193.0</v>
      </c>
      <c r="K30" s="51"/>
      <c r="L30" s="50">
        <v>46194.0</v>
      </c>
      <c r="M30" s="51"/>
      <c r="N30" s="52"/>
      <c r="P30" s="52"/>
      <c r="S30" s="52"/>
    </row>
    <row r="31" ht="15.75" customHeight="1">
      <c r="A31" s="47">
        <v>45494.0</v>
      </c>
      <c r="B31" s="48">
        <v>54.0</v>
      </c>
      <c r="C31" s="52"/>
      <c r="D31" s="47">
        <v>45836.0</v>
      </c>
      <c r="E31" s="48">
        <v>108.0</v>
      </c>
      <c r="F31" s="47">
        <v>45837.0</v>
      </c>
      <c r="G31" s="48">
        <v>108.0</v>
      </c>
      <c r="H31" s="52"/>
      <c r="J31" s="50">
        <v>46200.0</v>
      </c>
      <c r="K31" s="51"/>
      <c r="L31" s="50">
        <v>46201.0</v>
      </c>
      <c r="M31" s="51"/>
      <c r="N31" s="52"/>
      <c r="P31" s="52"/>
      <c r="S31" s="52"/>
    </row>
    <row r="32" ht="15.75" customHeight="1">
      <c r="A32" s="47">
        <v>45501.0</v>
      </c>
      <c r="B32" s="48">
        <v>0.0</v>
      </c>
      <c r="C32" s="52"/>
      <c r="D32" s="47">
        <v>45843.0</v>
      </c>
      <c r="E32" s="48">
        <v>108.0</v>
      </c>
      <c r="F32" s="47">
        <v>45844.0</v>
      </c>
      <c r="G32" s="48">
        <v>108.0</v>
      </c>
      <c r="H32" s="52"/>
      <c r="J32" s="50">
        <v>46207.0</v>
      </c>
      <c r="K32" s="51"/>
      <c r="L32" s="50">
        <v>46208.0</v>
      </c>
      <c r="M32" s="51"/>
      <c r="N32" s="52"/>
      <c r="P32" s="52"/>
      <c r="S32" s="52"/>
    </row>
    <row r="33" ht="15.75" customHeight="1">
      <c r="A33" s="47">
        <v>45508.0</v>
      </c>
      <c r="B33" s="48">
        <v>54.0</v>
      </c>
      <c r="C33" s="52"/>
      <c r="D33" s="47">
        <v>45850.0</v>
      </c>
      <c r="E33" s="48">
        <v>108.0</v>
      </c>
      <c r="F33" s="47">
        <v>45851.0</v>
      </c>
      <c r="G33" s="48">
        <v>108.0</v>
      </c>
      <c r="H33" s="52"/>
      <c r="J33" s="50">
        <v>46214.0</v>
      </c>
      <c r="K33" s="51"/>
      <c r="L33" s="50">
        <v>46215.0</v>
      </c>
      <c r="M33" s="51"/>
      <c r="N33" s="52"/>
      <c r="P33" s="52"/>
      <c r="S33" s="52"/>
    </row>
    <row r="34" ht="15.75" customHeight="1">
      <c r="A34" s="47">
        <v>45515.0</v>
      </c>
      <c r="B34" s="48">
        <v>63.0</v>
      </c>
      <c r="C34" s="52"/>
      <c r="D34" s="47">
        <v>45857.0</v>
      </c>
      <c r="E34" s="48">
        <v>108.0</v>
      </c>
      <c r="F34" s="47">
        <v>45858.0</v>
      </c>
      <c r="G34" s="48">
        <v>108.0</v>
      </c>
      <c r="H34" s="52"/>
      <c r="J34" s="50">
        <v>46221.0</v>
      </c>
      <c r="K34" s="51"/>
      <c r="L34" s="50">
        <v>46222.0</v>
      </c>
      <c r="M34" s="51"/>
      <c r="N34" s="52"/>
      <c r="P34" s="52"/>
      <c r="S34" s="52"/>
    </row>
    <row r="35" ht="15.75" customHeight="1">
      <c r="A35" s="47">
        <v>45522.0</v>
      </c>
      <c r="B35" s="48">
        <v>63.0</v>
      </c>
      <c r="C35" s="52"/>
      <c r="D35" s="47">
        <v>45864.0</v>
      </c>
      <c r="E35" s="48">
        <v>110.0</v>
      </c>
      <c r="F35" s="47">
        <v>45865.0</v>
      </c>
      <c r="G35" s="48">
        <v>110.0</v>
      </c>
      <c r="H35" s="52"/>
      <c r="J35" s="50">
        <v>46228.0</v>
      </c>
      <c r="K35" s="51"/>
      <c r="L35" s="50">
        <v>46229.0</v>
      </c>
      <c r="M35" s="51"/>
      <c r="N35" s="52"/>
      <c r="P35" s="52"/>
      <c r="S35" s="52"/>
    </row>
    <row r="36" ht="15.75" customHeight="1">
      <c r="A36" s="47">
        <v>45529.0</v>
      </c>
      <c r="B36" s="48">
        <v>54.0</v>
      </c>
      <c r="C36" s="52"/>
      <c r="D36" s="47">
        <v>45871.0</v>
      </c>
      <c r="E36" s="48">
        <v>108.0</v>
      </c>
      <c r="F36" s="47">
        <v>45872.0</v>
      </c>
      <c r="G36" s="48">
        <v>108.0</v>
      </c>
      <c r="H36" s="52"/>
      <c r="J36" s="50">
        <v>46235.0</v>
      </c>
      <c r="K36" s="51"/>
      <c r="L36" s="50">
        <v>46236.0</v>
      </c>
      <c r="M36" s="51"/>
      <c r="N36" s="52"/>
      <c r="P36" s="52"/>
      <c r="S36" s="52"/>
    </row>
    <row r="37" ht="15.75" customHeight="1">
      <c r="A37" s="47">
        <v>45536.0</v>
      </c>
      <c r="B37" s="48">
        <v>54.0</v>
      </c>
      <c r="C37" s="52"/>
      <c r="D37" s="47">
        <v>45878.0</v>
      </c>
      <c r="E37" s="48">
        <v>108.0</v>
      </c>
      <c r="F37" s="47">
        <v>45879.0</v>
      </c>
      <c r="G37" s="48">
        <v>108.0</v>
      </c>
      <c r="H37" s="52"/>
      <c r="J37" s="50">
        <v>46242.0</v>
      </c>
      <c r="K37" s="51"/>
      <c r="L37" s="50">
        <v>46243.0</v>
      </c>
      <c r="M37" s="51"/>
      <c r="N37" s="52"/>
      <c r="P37" s="52"/>
      <c r="S37" s="52"/>
    </row>
    <row r="38" ht="15.75" customHeight="1">
      <c r="A38" s="47">
        <v>45543.0</v>
      </c>
      <c r="B38" s="48">
        <v>54.0</v>
      </c>
      <c r="C38" s="52"/>
      <c r="D38" s="47">
        <v>45885.0</v>
      </c>
      <c r="E38" s="48">
        <v>108.0</v>
      </c>
      <c r="F38" s="47">
        <v>45886.0</v>
      </c>
      <c r="G38" s="48">
        <v>108.0</v>
      </c>
      <c r="H38" s="52"/>
      <c r="J38" s="50">
        <v>46249.0</v>
      </c>
      <c r="K38" s="51"/>
      <c r="L38" s="50">
        <v>46250.0</v>
      </c>
      <c r="M38" s="51"/>
      <c r="N38" s="52"/>
      <c r="P38" s="52"/>
      <c r="S38" s="52"/>
    </row>
    <row r="39" ht="15.75" customHeight="1">
      <c r="A39" s="47">
        <v>45550.0</v>
      </c>
      <c r="B39" s="48">
        <v>72.0</v>
      </c>
      <c r="C39" s="52"/>
      <c r="D39" s="47">
        <v>45892.0</v>
      </c>
      <c r="E39" s="48">
        <v>108.0</v>
      </c>
      <c r="F39" s="47">
        <v>45893.0</v>
      </c>
      <c r="G39" s="48">
        <v>108.0</v>
      </c>
      <c r="H39" s="52"/>
      <c r="J39" s="50">
        <v>46256.0</v>
      </c>
      <c r="K39" s="51"/>
      <c r="L39" s="50">
        <v>46257.0</v>
      </c>
      <c r="M39" s="51"/>
      <c r="N39" s="52"/>
      <c r="P39" s="52"/>
      <c r="S39" s="52"/>
    </row>
    <row r="40" ht="15.75" customHeight="1">
      <c r="A40" s="47">
        <v>45557.0</v>
      </c>
      <c r="B40" s="48">
        <v>72.0</v>
      </c>
      <c r="C40" s="52"/>
      <c r="D40" s="47">
        <v>45899.0</v>
      </c>
      <c r="E40" s="48">
        <v>108.0</v>
      </c>
      <c r="F40" s="47">
        <v>45900.0</v>
      </c>
      <c r="G40" s="48">
        <v>108.0</v>
      </c>
      <c r="H40" s="52"/>
      <c r="J40" s="50">
        <v>46263.0</v>
      </c>
      <c r="K40" s="51"/>
      <c r="L40" s="50">
        <v>46264.0</v>
      </c>
      <c r="M40" s="51"/>
      <c r="N40" s="52"/>
      <c r="P40" s="52"/>
      <c r="S40" s="52"/>
    </row>
    <row r="41" ht="15.75" customHeight="1">
      <c r="A41" s="47">
        <v>45564.0</v>
      </c>
      <c r="B41" s="48">
        <v>108.0</v>
      </c>
      <c r="C41" s="52"/>
      <c r="D41" s="47">
        <v>45906.0</v>
      </c>
      <c r="E41" s="48">
        <v>108.0</v>
      </c>
      <c r="F41" s="47">
        <v>45907.0</v>
      </c>
      <c r="G41" s="48">
        <v>108.0</v>
      </c>
      <c r="H41" s="52"/>
      <c r="J41" s="50">
        <v>46270.0</v>
      </c>
      <c r="K41" s="51"/>
      <c r="L41" s="50">
        <v>46271.0</v>
      </c>
      <c r="M41" s="51"/>
      <c r="N41" s="52"/>
      <c r="P41" s="52"/>
      <c r="S41" s="52"/>
    </row>
    <row r="42" ht="15.75" customHeight="1">
      <c r="A42" s="47">
        <v>45571.0</v>
      </c>
      <c r="B42" s="48">
        <v>108.0</v>
      </c>
      <c r="C42" s="52"/>
      <c r="D42" s="47">
        <v>45913.0</v>
      </c>
      <c r="E42" s="48">
        <v>108.0</v>
      </c>
      <c r="F42" s="47">
        <v>45914.0</v>
      </c>
      <c r="G42" s="48">
        <v>108.0</v>
      </c>
      <c r="H42" s="52"/>
      <c r="J42" s="50">
        <v>46277.0</v>
      </c>
      <c r="K42" s="51"/>
      <c r="L42" s="50">
        <v>46278.0</v>
      </c>
      <c r="M42" s="51"/>
      <c r="N42" s="52"/>
      <c r="P42" s="52"/>
      <c r="S42" s="52"/>
    </row>
    <row r="43" ht="15.75" customHeight="1">
      <c r="A43" s="47">
        <v>45578.0</v>
      </c>
      <c r="B43" s="48">
        <v>108.0</v>
      </c>
      <c r="C43" s="52"/>
      <c r="D43" s="47">
        <v>45920.0</v>
      </c>
      <c r="E43" s="48">
        <v>108.0</v>
      </c>
      <c r="F43" s="47">
        <v>45921.0</v>
      </c>
      <c r="G43" s="48">
        <v>108.0</v>
      </c>
      <c r="H43" s="52"/>
      <c r="J43" s="50">
        <v>46284.0</v>
      </c>
      <c r="K43" s="51"/>
      <c r="L43" s="50">
        <v>46285.0</v>
      </c>
      <c r="M43" s="51"/>
      <c r="N43" s="52"/>
      <c r="P43" s="52"/>
      <c r="S43" s="52"/>
    </row>
    <row r="44" ht="15.75" customHeight="1">
      <c r="A44" s="47">
        <v>45585.0</v>
      </c>
      <c r="B44" s="48">
        <v>108.0</v>
      </c>
      <c r="C44" s="52"/>
      <c r="D44" s="47">
        <v>45927.0</v>
      </c>
      <c r="E44" s="48">
        <v>108.0</v>
      </c>
      <c r="F44" s="47">
        <v>45928.0</v>
      </c>
      <c r="G44" s="48">
        <v>108.0</v>
      </c>
      <c r="H44" s="52"/>
      <c r="J44" s="50">
        <v>46291.0</v>
      </c>
      <c r="K44" s="51"/>
      <c r="L44" s="50">
        <v>46292.0</v>
      </c>
      <c r="M44" s="51"/>
      <c r="N44" s="52"/>
      <c r="P44" s="52"/>
      <c r="S44" s="52"/>
    </row>
    <row r="45" ht="15.75" customHeight="1">
      <c r="A45" s="47">
        <v>45592.0</v>
      </c>
      <c r="B45" s="48">
        <v>108.0</v>
      </c>
      <c r="C45" s="52"/>
      <c r="D45" s="47">
        <v>45934.0</v>
      </c>
      <c r="E45" s="48">
        <v>108.0</v>
      </c>
      <c r="F45" s="47">
        <v>45935.0</v>
      </c>
      <c r="G45" s="48">
        <v>108.0</v>
      </c>
      <c r="H45" s="52"/>
      <c r="J45" s="50">
        <v>46298.0</v>
      </c>
      <c r="K45" s="51"/>
      <c r="L45" s="50">
        <v>46299.0</v>
      </c>
      <c r="M45" s="51"/>
      <c r="N45" s="52"/>
      <c r="P45" s="52"/>
      <c r="S45" s="52"/>
    </row>
    <row r="46" ht="15.75" customHeight="1">
      <c r="A46" s="47">
        <v>45599.0</v>
      </c>
      <c r="B46" s="48">
        <v>108.0</v>
      </c>
      <c r="C46" s="52"/>
      <c r="D46" s="47">
        <v>45941.0</v>
      </c>
      <c r="E46" s="51">
        <v>108.0</v>
      </c>
      <c r="F46" s="47">
        <v>45942.0</v>
      </c>
      <c r="G46" s="51">
        <v>108.0</v>
      </c>
      <c r="H46" s="52"/>
      <c r="J46" s="50">
        <v>46305.0</v>
      </c>
      <c r="K46" s="51"/>
      <c r="L46" s="50">
        <v>46306.0</v>
      </c>
      <c r="M46" s="51"/>
      <c r="N46" s="52"/>
      <c r="P46" s="52"/>
      <c r="S46" s="52"/>
    </row>
    <row r="47" ht="15.75" customHeight="1">
      <c r="A47" s="47">
        <v>45606.0</v>
      </c>
      <c r="B47" s="48">
        <v>108.0</v>
      </c>
      <c r="C47" s="52"/>
      <c r="D47" s="47">
        <v>45948.0</v>
      </c>
      <c r="E47" s="51">
        <v>198.0</v>
      </c>
      <c r="F47" s="47">
        <v>45949.0</v>
      </c>
      <c r="G47" s="51">
        <v>108.0</v>
      </c>
      <c r="H47" s="52"/>
      <c r="J47" s="50">
        <v>46312.0</v>
      </c>
      <c r="K47" s="51"/>
      <c r="L47" s="50">
        <v>46313.0</v>
      </c>
      <c r="M47" s="51"/>
      <c r="N47" s="52"/>
      <c r="P47" s="52"/>
      <c r="S47" s="52"/>
    </row>
    <row r="48" ht="15.75" customHeight="1">
      <c r="A48" s="47">
        <v>45613.0</v>
      </c>
      <c r="B48" s="48">
        <v>108.0</v>
      </c>
      <c r="C48" s="52"/>
      <c r="D48" s="47">
        <v>45955.0</v>
      </c>
      <c r="E48" s="51">
        <v>198.0</v>
      </c>
      <c r="F48" s="47">
        <v>45956.0</v>
      </c>
      <c r="G48" s="51">
        <v>95.0</v>
      </c>
      <c r="H48" s="52"/>
      <c r="J48" s="50">
        <v>46319.0</v>
      </c>
      <c r="K48" s="51"/>
      <c r="L48" s="50">
        <v>46320.0</v>
      </c>
      <c r="M48" s="51"/>
      <c r="N48" s="52"/>
      <c r="P48" s="52"/>
      <c r="S48" s="52"/>
    </row>
    <row r="49" ht="15.75" customHeight="1">
      <c r="A49" s="47">
        <v>45620.0</v>
      </c>
      <c r="B49" s="48">
        <v>108.0</v>
      </c>
      <c r="C49" s="52"/>
      <c r="D49" s="47">
        <v>45962.0</v>
      </c>
      <c r="E49" s="51">
        <v>198.0</v>
      </c>
      <c r="F49" s="47">
        <v>45963.0</v>
      </c>
      <c r="G49" s="51">
        <v>108.0</v>
      </c>
      <c r="H49" s="52"/>
      <c r="J49" s="50">
        <v>46326.0</v>
      </c>
      <c r="K49" s="51"/>
      <c r="L49" s="50">
        <v>46327.0</v>
      </c>
      <c r="M49" s="51"/>
      <c r="N49" s="52"/>
      <c r="P49" s="52"/>
      <c r="S49" s="52"/>
    </row>
    <row r="50" ht="15.75" customHeight="1">
      <c r="A50" s="47">
        <v>45627.0</v>
      </c>
      <c r="B50" s="48">
        <v>108.0</v>
      </c>
      <c r="C50" s="52"/>
      <c r="D50" s="47">
        <v>45969.0</v>
      </c>
      <c r="E50" s="51">
        <v>198.0</v>
      </c>
      <c r="F50" s="47">
        <v>45970.0</v>
      </c>
      <c r="G50" s="51">
        <v>108.0</v>
      </c>
      <c r="H50" s="52"/>
      <c r="J50" s="50">
        <v>46333.0</v>
      </c>
      <c r="K50" s="51"/>
      <c r="L50" s="50">
        <v>46334.0</v>
      </c>
      <c r="M50" s="51"/>
      <c r="N50" s="52"/>
      <c r="P50" s="52"/>
      <c r="S50" s="52"/>
    </row>
    <row r="51" ht="15.75" customHeight="1">
      <c r="A51" s="47">
        <v>45634.0</v>
      </c>
      <c r="B51" s="48">
        <v>108.0</v>
      </c>
      <c r="C51" s="52"/>
      <c r="D51" s="47">
        <v>45976.0</v>
      </c>
      <c r="E51" s="51">
        <v>198.0</v>
      </c>
      <c r="F51" s="47">
        <v>45977.0</v>
      </c>
      <c r="G51" s="51">
        <v>108.0</v>
      </c>
      <c r="H51" s="52"/>
      <c r="J51" s="50">
        <v>46340.0</v>
      </c>
      <c r="K51" s="51"/>
      <c r="L51" s="50">
        <v>46341.0</v>
      </c>
      <c r="M51" s="51"/>
      <c r="N51" s="52"/>
      <c r="P51" s="52"/>
      <c r="S51" s="52"/>
    </row>
    <row r="52" ht="15.75" customHeight="1">
      <c r="A52" s="47">
        <v>45641.0</v>
      </c>
      <c r="B52" s="48">
        <v>108.0</v>
      </c>
      <c r="C52" s="52"/>
      <c r="D52" s="47">
        <v>45983.0</v>
      </c>
      <c r="E52" s="51">
        <v>198.0</v>
      </c>
      <c r="F52" s="47">
        <v>45984.0</v>
      </c>
      <c r="G52" s="51">
        <v>108.0</v>
      </c>
      <c r="H52" s="52"/>
      <c r="J52" s="50">
        <v>46347.0</v>
      </c>
      <c r="K52" s="51"/>
      <c r="L52" s="50">
        <v>46348.0</v>
      </c>
      <c r="M52" s="51"/>
      <c r="N52" s="52"/>
      <c r="P52" s="52"/>
      <c r="S52" s="52"/>
    </row>
    <row r="53" ht="15.75" customHeight="1">
      <c r="A53" s="47">
        <v>45648.0</v>
      </c>
      <c r="B53" s="48">
        <v>108.0</v>
      </c>
      <c r="C53" s="52"/>
      <c r="D53" s="47">
        <v>45990.0</v>
      </c>
      <c r="E53" s="51">
        <v>198.0</v>
      </c>
      <c r="F53" s="47">
        <v>45991.0</v>
      </c>
      <c r="G53" s="51">
        <v>108.0</v>
      </c>
      <c r="H53" s="52"/>
      <c r="J53" s="50">
        <v>46354.0</v>
      </c>
      <c r="K53" s="51"/>
      <c r="L53" s="50">
        <v>46355.0</v>
      </c>
      <c r="M53" s="51"/>
      <c r="N53" s="52"/>
      <c r="P53" s="52"/>
      <c r="S53" s="52"/>
    </row>
    <row r="54" ht="15.75" customHeight="1">
      <c r="A54" s="47">
        <v>45655.0</v>
      </c>
      <c r="B54" s="48">
        <v>108.0</v>
      </c>
      <c r="C54" s="52"/>
      <c r="D54" s="47">
        <v>45997.0</v>
      </c>
      <c r="E54" s="51">
        <v>198.0</v>
      </c>
      <c r="F54" s="47">
        <v>45998.0</v>
      </c>
      <c r="G54" s="51">
        <v>108.0</v>
      </c>
      <c r="H54" s="52"/>
      <c r="J54" s="50">
        <v>46361.0</v>
      </c>
      <c r="K54" s="51"/>
      <c r="L54" s="50">
        <v>46362.0</v>
      </c>
      <c r="M54" s="51"/>
      <c r="N54" s="52"/>
      <c r="P54" s="52"/>
      <c r="S54" s="52"/>
    </row>
    <row r="55" ht="15.75" customHeight="1">
      <c r="A55" s="47"/>
      <c r="C55" s="52"/>
      <c r="D55" s="47">
        <v>46004.0</v>
      </c>
      <c r="E55" s="51">
        <v>198.0</v>
      </c>
      <c r="F55" s="47">
        <v>46005.0</v>
      </c>
      <c r="G55" s="51">
        <v>108.0</v>
      </c>
      <c r="H55" s="52"/>
      <c r="J55" s="50">
        <v>46368.0</v>
      </c>
      <c r="K55" s="51"/>
      <c r="L55" s="50">
        <v>46369.0</v>
      </c>
      <c r="M55" s="51"/>
      <c r="N55" s="52"/>
      <c r="P55" s="52"/>
      <c r="S55" s="52"/>
    </row>
    <row r="56" ht="15.75" customHeight="1">
      <c r="C56" s="52"/>
      <c r="D56" s="47">
        <v>46011.0</v>
      </c>
      <c r="E56" s="51">
        <v>198.0</v>
      </c>
      <c r="F56" s="47">
        <v>46012.0</v>
      </c>
      <c r="G56" s="51">
        <v>108.0</v>
      </c>
      <c r="H56" s="52"/>
      <c r="J56" s="50">
        <v>46375.0</v>
      </c>
      <c r="K56" s="51"/>
      <c r="L56" s="50">
        <v>46376.0</v>
      </c>
      <c r="M56" s="51"/>
      <c r="N56" s="52"/>
      <c r="P56" s="52"/>
      <c r="S56" s="52"/>
    </row>
    <row r="57" ht="15.75" customHeight="1">
      <c r="C57" s="52"/>
      <c r="D57" s="47">
        <v>46018.0</v>
      </c>
      <c r="E57" s="51">
        <v>198.0</v>
      </c>
      <c r="F57" s="47">
        <v>46019.0</v>
      </c>
      <c r="G57" s="51">
        <v>108.0</v>
      </c>
      <c r="H57" s="52"/>
      <c r="J57" s="50">
        <v>46382.0</v>
      </c>
      <c r="K57" s="51"/>
      <c r="L57" s="50">
        <v>46383.0</v>
      </c>
      <c r="M57" s="51"/>
      <c r="N57" s="52"/>
      <c r="P57" s="52"/>
      <c r="S57" s="52"/>
    </row>
    <row r="58" ht="15.75" customHeight="1">
      <c r="C58" s="52"/>
      <c r="H58" s="52"/>
      <c r="N58" s="52"/>
      <c r="P58" s="52"/>
      <c r="S58" s="52"/>
    </row>
    <row r="59" ht="15.75" customHeight="1">
      <c r="C59" s="52"/>
      <c r="H59" s="52"/>
      <c r="N59" s="52"/>
      <c r="P59" s="52"/>
      <c r="S59" s="52"/>
    </row>
    <row r="60" ht="15.75" customHeight="1">
      <c r="C60" s="52"/>
      <c r="H60" s="52"/>
      <c r="N60" s="52"/>
      <c r="P60" s="52"/>
      <c r="S60" s="52"/>
    </row>
    <row r="61" ht="15.75" customHeight="1">
      <c r="C61" s="52"/>
      <c r="H61" s="52"/>
      <c r="N61" s="52"/>
      <c r="P61" s="52"/>
      <c r="S61" s="52"/>
    </row>
    <row r="62" ht="15.75" customHeight="1">
      <c r="C62" s="52"/>
      <c r="H62" s="52"/>
      <c r="N62" s="52"/>
      <c r="P62" s="52"/>
      <c r="S62" s="52"/>
    </row>
    <row r="63" ht="15.75" customHeight="1">
      <c r="C63" s="52"/>
      <c r="H63" s="52"/>
      <c r="N63" s="52"/>
      <c r="P63" s="52"/>
      <c r="S63" s="52"/>
    </row>
    <row r="64" ht="15.75" customHeight="1">
      <c r="C64" s="52"/>
      <c r="H64" s="52"/>
      <c r="N64" s="52"/>
      <c r="P64" s="52"/>
      <c r="S64" s="52"/>
    </row>
    <row r="65" ht="15.75" customHeight="1">
      <c r="C65" s="52"/>
      <c r="H65" s="52"/>
      <c r="N65" s="52"/>
      <c r="P65" s="52"/>
      <c r="S65" s="52"/>
    </row>
    <row r="66" ht="15.75" customHeight="1">
      <c r="C66" s="52"/>
      <c r="H66" s="52"/>
      <c r="N66" s="52"/>
      <c r="P66" s="52"/>
      <c r="S66" s="52"/>
    </row>
    <row r="67" ht="15.75" customHeight="1">
      <c r="C67" s="52"/>
      <c r="H67" s="52"/>
      <c r="N67" s="52"/>
      <c r="P67" s="52"/>
      <c r="S67" s="52"/>
    </row>
    <row r="68" ht="15.75" customHeight="1">
      <c r="C68" s="52"/>
      <c r="H68" s="52"/>
      <c r="N68" s="52"/>
      <c r="P68" s="52"/>
      <c r="S68" s="52"/>
    </row>
    <row r="69" ht="15.75" customHeight="1">
      <c r="C69" s="52"/>
      <c r="H69" s="52"/>
      <c r="N69" s="52"/>
      <c r="P69" s="52"/>
      <c r="S69" s="52"/>
    </row>
    <row r="70" ht="15.75" customHeight="1">
      <c r="C70" s="52"/>
      <c r="H70" s="52"/>
      <c r="N70" s="52"/>
      <c r="P70" s="52"/>
      <c r="S70" s="52"/>
    </row>
    <row r="71" ht="15.75" customHeight="1">
      <c r="C71" s="52"/>
      <c r="H71" s="52"/>
      <c r="N71" s="52"/>
      <c r="P71" s="52"/>
      <c r="S71" s="52"/>
    </row>
    <row r="72" ht="15.75" customHeight="1">
      <c r="C72" s="52"/>
      <c r="H72" s="52"/>
      <c r="N72" s="52"/>
      <c r="P72" s="52"/>
      <c r="S72" s="52"/>
    </row>
    <row r="73" ht="15.75" customHeight="1">
      <c r="C73" s="52"/>
      <c r="H73" s="52"/>
      <c r="N73" s="52"/>
      <c r="P73" s="52"/>
      <c r="S73" s="52"/>
    </row>
    <row r="74" ht="15.75" customHeight="1">
      <c r="C74" s="52"/>
      <c r="H74" s="52"/>
      <c r="N74" s="52"/>
      <c r="P74" s="52"/>
      <c r="S74" s="52"/>
    </row>
    <row r="75" ht="15.75" customHeight="1">
      <c r="C75" s="52"/>
      <c r="H75" s="52"/>
      <c r="N75" s="52"/>
      <c r="P75" s="52"/>
      <c r="S75" s="52"/>
    </row>
    <row r="76" ht="15.75" customHeight="1">
      <c r="C76" s="52"/>
      <c r="H76" s="52"/>
      <c r="N76" s="52"/>
      <c r="P76" s="52"/>
      <c r="S76" s="52"/>
    </row>
    <row r="77" ht="15.75" customHeight="1">
      <c r="C77" s="52"/>
      <c r="H77" s="52"/>
      <c r="N77" s="52"/>
      <c r="P77" s="52"/>
      <c r="S77" s="52"/>
    </row>
    <row r="78" ht="15.75" customHeight="1">
      <c r="C78" s="52"/>
      <c r="H78" s="52"/>
      <c r="N78" s="52"/>
      <c r="P78" s="52"/>
      <c r="S78" s="52"/>
    </row>
    <row r="79" ht="15.75" customHeight="1">
      <c r="C79" s="52"/>
      <c r="H79" s="52"/>
      <c r="N79" s="52"/>
      <c r="P79" s="52"/>
      <c r="S79" s="52"/>
    </row>
    <row r="80" ht="15.75" customHeight="1">
      <c r="C80" s="52"/>
      <c r="H80" s="52"/>
      <c r="N80" s="52"/>
      <c r="P80" s="52"/>
      <c r="S80" s="52"/>
    </row>
    <row r="81" ht="15.75" customHeight="1">
      <c r="C81" s="52"/>
      <c r="H81" s="52"/>
      <c r="N81" s="52"/>
      <c r="P81" s="52"/>
      <c r="S81" s="52"/>
    </row>
    <row r="82" ht="15.75" customHeight="1">
      <c r="C82" s="52"/>
      <c r="H82" s="52"/>
      <c r="N82" s="52"/>
      <c r="P82" s="52"/>
      <c r="S82" s="52"/>
    </row>
    <row r="83" ht="15.75" customHeight="1">
      <c r="C83" s="52"/>
      <c r="H83" s="52"/>
      <c r="N83" s="52"/>
      <c r="P83" s="52"/>
      <c r="S83" s="52"/>
    </row>
    <row r="84" ht="15.75" customHeight="1">
      <c r="C84" s="52"/>
      <c r="H84" s="52"/>
      <c r="N84" s="52"/>
      <c r="P84" s="52"/>
      <c r="S84" s="52"/>
    </row>
    <row r="85" ht="15.75" customHeight="1">
      <c r="C85" s="52"/>
      <c r="H85" s="52"/>
      <c r="N85" s="52"/>
      <c r="P85" s="52"/>
      <c r="S85" s="52"/>
    </row>
    <row r="86" ht="15.75" customHeight="1">
      <c r="C86" s="52"/>
      <c r="H86" s="52"/>
      <c r="N86" s="52"/>
      <c r="P86" s="52"/>
      <c r="S86" s="52"/>
    </row>
    <row r="87" ht="15.75" customHeight="1">
      <c r="C87" s="52"/>
      <c r="H87" s="52"/>
      <c r="N87" s="52"/>
      <c r="P87" s="52"/>
      <c r="S87" s="52"/>
    </row>
    <row r="88" ht="15.75" customHeight="1">
      <c r="C88" s="52"/>
      <c r="H88" s="52"/>
      <c r="N88" s="52"/>
      <c r="P88" s="52"/>
      <c r="S88" s="52"/>
    </row>
    <row r="89" ht="15.75" customHeight="1">
      <c r="C89" s="52"/>
      <c r="H89" s="52"/>
      <c r="N89" s="52"/>
      <c r="P89" s="52"/>
      <c r="S89" s="52"/>
    </row>
    <row r="90" ht="15.75" customHeight="1">
      <c r="C90" s="52"/>
      <c r="H90" s="52"/>
      <c r="N90" s="52"/>
      <c r="P90" s="52"/>
      <c r="S90" s="52"/>
    </row>
    <row r="91" ht="15.75" customHeight="1">
      <c r="C91" s="52"/>
      <c r="H91" s="52"/>
      <c r="N91" s="52"/>
      <c r="P91" s="52"/>
      <c r="S91" s="52"/>
    </row>
    <row r="92" ht="15.75" customHeight="1">
      <c r="C92" s="52"/>
      <c r="H92" s="52"/>
      <c r="N92" s="52"/>
      <c r="P92" s="52"/>
      <c r="S92" s="52"/>
    </row>
    <row r="93" ht="15.75" customHeight="1">
      <c r="C93" s="52"/>
      <c r="H93" s="52"/>
      <c r="N93" s="52"/>
      <c r="P93" s="52"/>
      <c r="S93" s="52"/>
    </row>
    <row r="94" ht="15.75" customHeight="1">
      <c r="C94" s="52"/>
      <c r="H94" s="52"/>
      <c r="N94" s="52"/>
      <c r="P94" s="52"/>
      <c r="S94" s="52"/>
    </row>
    <row r="95" ht="15.75" customHeight="1">
      <c r="C95" s="52"/>
      <c r="H95" s="52"/>
      <c r="N95" s="52"/>
      <c r="P95" s="52"/>
      <c r="S95" s="52"/>
    </row>
    <row r="96" ht="15.75" customHeight="1">
      <c r="C96" s="52"/>
      <c r="H96" s="52"/>
      <c r="N96" s="52"/>
      <c r="P96" s="52"/>
      <c r="S96" s="52"/>
    </row>
    <row r="97" ht="15.75" customHeight="1">
      <c r="C97" s="52"/>
      <c r="H97" s="52"/>
      <c r="N97" s="52"/>
      <c r="P97" s="52"/>
      <c r="S97" s="52"/>
    </row>
    <row r="98" ht="15.75" customHeight="1">
      <c r="C98" s="52"/>
      <c r="H98" s="52"/>
      <c r="N98" s="52"/>
      <c r="P98" s="52"/>
      <c r="S98" s="52"/>
    </row>
    <row r="99" ht="15.75" customHeight="1">
      <c r="C99" s="52"/>
      <c r="H99" s="52"/>
      <c r="N99" s="52"/>
      <c r="P99" s="52"/>
      <c r="S99" s="52"/>
    </row>
    <row r="100" ht="15.75" customHeight="1">
      <c r="C100" s="52"/>
      <c r="H100" s="52"/>
      <c r="N100" s="52"/>
      <c r="P100" s="52"/>
      <c r="S100" s="52"/>
    </row>
    <row r="101" ht="15.75" customHeight="1">
      <c r="C101" s="52"/>
      <c r="H101" s="52"/>
      <c r="N101" s="52"/>
      <c r="P101" s="52"/>
      <c r="S101" s="52"/>
    </row>
    <row r="102" ht="15.75" customHeight="1">
      <c r="C102" s="52"/>
      <c r="H102" s="52"/>
      <c r="N102" s="52"/>
      <c r="P102" s="52"/>
      <c r="S102" s="52"/>
    </row>
    <row r="103" ht="15.75" customHeight="1">
      <c r="C103" s="52"/>
      <c r="H103" s="52"/>
      <c r="N103" s="52"/>
      <c r="P103" s="52"/>
      <c r="S103" s="52"/>
    </row>
    <row r="104" ht="15.75" customHeight="1">
      <c r="C104" s="52"/>
      <c r="H104" s="52"/>
      <c r="N104" s="52"/>
      <c r="P104" s="52"/>
      <c r="S104" s="52"/>
    </row>
    <row r="105" ht="15.75" customHeight="1">
      <c r="C105" s="52"/>
      <c r="H105" s="52"/>
      <c r="N105" s="52"/>
      <c r="P105" s="52"/>
      <c r="S105" s="52"/>
    </row>
    <row r="106" ht="15.75" customHeight="1">
      <c r="C106" s="52"/>
      <c r="H106" s="52"/>
      <c r="N106" s="52"/>
      <c r="P106" s="52"/>
      <c r="S106" s="52"/>
    </row>
    <row r="107" ht="15.75" customHeight="1">
      <c r="C107" s="52"/>
      <c r="H107" s="52"/>
      <c r="N107" s="52"/>
      <c r="P107" s="52"/>
      <c r="S107" s="52"/>
    </row>
    <row r="108" ht="15.75" customHeight="1">
      <c r="C108" s="52"/>
      <c r="H108" s="52"/>
      <c r="N108" s="52"/>
      <c r="P108" s="52"/>
      <c r="S108" s="52"/>
    </row>
    <row r="109" ht="15.75" customHeight="1">
      <c r="C109" s="52"/>
      <c r="H109" s="52"/>
      <c r="N109" s="52"/>
      <c r="P109" s="52"/>
      <c r="S109" s="52"/>
    </row>
    <row r="110" ht="15.75" customHeight="1">
      <c r="C110" s="52"/>
      <c r="H110" s="52"/>
      <c r="N110" s="52"/>
      <c r="P110" s="52"/>
      <c r="S110" s="52"/>
    </row>
    <row r="111" ht="15.75" customHeight="1">
      <c r="C111" s="52"/>
      <c r="H111" s="52"/>
      <c r="N111" s="52"/>
      <c r="P111" s="52"/>
      <c r="S111" s="52"/>
    </row>
    <row r="112" ht="15.75" customHeight="1">
      <c r="C112" s="52"/>
      <c r="H112" s="52"/>
      <c r="N112" s="52"/>
      <c r="P112" s="52"/>
      <c r="S112" s="52"/>
    </row>
    <row r="113" ht="15.75" customHeight="1">
      <c r="C113" s="52"/>
      <c r="H113" s="52"/>
      <c r="N113" s="52"/>
      <c r="P113" s="52"/>
      <c r="S113" s="52"/>
    </row>
    <row r="114" ht="15.75" customHeight="1">
      <c r="C114" s="52"/>
      <c r="H114" s="52"/>
      <c r="N114" s="52"/>
      <c r="P114" s="52"/>
      <c r="S114" s="52"/>
    </row>
    <row r="115" ht="15.75" customHeight="1">
      <c r="C115" s="52"/>
      <c r="H115" s="52"/>
      <c r="N115" s="52"/>
      <c r="P115" s="52"/>
      <c r="S115" s="52"/>
    </row>
    <row r="116" ht="15.75" customHeight="1">
      <c r="C116" s="52"/>
      <c r="H116" s="52"/>
      <c r="N116" s="52"/>
      <c r="P116" s="52"/>
      <c r="S116" s="52"/>
    </row>
    <row r="117" ht="15.75" customHeight="1">
      <c r="C117" s="52"/>
      <c r="H117" s="52"/>
      <c r="N117" s="52"/>
      <c r="P117" s="52"/>
      <c r="S117" s="52"/>
    </row>
    <row r="118" ht="15.75" customHeight="1">
      <c r="C118" s="52"/>
      <c r="H118" s="52"/>
      <c r="N118" s="52"/>
      <c r="P118" s="52"/>
      <c r="S118" s="52"/>
    </row>
    <row r="119" ht="15.75" customHeight="1">
      <c r="C119" s="52"/>
      <c r="H119" s="52"/>
      <c r="N119" s="52"/>
      <c r="P119" s="52"/>
      <c r="S119" s="52"/>
    </row>
    <row r="120" ht="15.75" customHeight="1">
      <c r="C120" s="52"/>
      <c r="H120" s="52"/>
      <c r="N120" s="52"/>
      <c r="P120" s="52"/>
      <c r="S120" s="52"/>
    </row>
    <row r="121" ht="15.75" customHeight="1">
      <c r="C121" s="52"/>
      <c r="H121" s="52"/>
      <c r="N121" s="52"/>
      <c r="P121" s="52"/>
      <c r="S121" s="52"/>
    </row>
    <row r="122" ht="15.75" customHeight="1">
      <c r="C122" s="52"/>
      <c r="H122" s="52"/>
      <c r="N122" s="52"/>
      <c r="P122" s="52"/>
      <c r="S122" s="52"/>
    </row>
    <row r="123" ht="15.75" customHeight="1">
      <c r="C123" s="52"/>
      <c r="H123" s="52"/>
      <c r="N123" s="52"/>
      <c r="P123" s="52"/>
      <c r="S123" s="52"/>
    </row>
    <row r="124" ht="15.75" customHeight="1">
      <c r="C124" s="52"/>
      <c r="H124" s="52"/>
      <c r="N124" s="52"/>
      <c r="P124" s="52"/>
      <c r="S124" s="52"/>
    </row>
    <row r="125" ht="15.75" customHeight="1">
      <c r="C125" s="52"/>
      <c r="H125" s="52"/>
      <c r="N125" s="52"/>
      <c r="P125" s="52"/>
      <c r="S125" s="52"/>
    </row>
    <row r="126" ht="15.75" customHeight="1">
      <c r="C126" s="52"/>
      <c r="H126" s="52"/>
      <c r="N126" s="52"/>
      <c r="P126" s="52"/>
      <c r="S126" s="52"/>
    </row>
    <row r="127" ht="15.75" customHeight="1">
      <c r="C127" s="52"/>
      <c r="H127" s="52"/>
      <c r="N127" s="52"/>
      <c r="P127" s="52"/>
      <c r="S127" s="52"/>
    </row>
    <row r="128" ht="15.75" customHeight="1">
      <c r="C128" s="52"/>
      <c r="H128" s="52"/>
      <c r="N128" s="52"/>
      <c r="P128" s="52"/>
      <c r="S128" s="52"/>
    </row>
    <row r="129" ht="15.75" customHeight="1">
      <c r="C129" s="52"/>
      <c r="H129" s="52"/>
      <c r="N129" s="52"/>
      <c r="P129" s="52"/>
      <c r="S129" s="52"/>
    </row>
    <row r="130" ht="15.75" customHeight="1">
      <c r="C130" s="52"/>
      <c r="H130" s="52"/>
      <c r="N130" s="52"/>
      <c r="P130" s="52"/>
      <c r="S130" s="52"/>
    </row>
    <row r="131" ht="15.75" customHeight="1">
      <c r="C131" s="52"/>
      <c r="H131" s="52"/>
      <c r="N131" s="52"/>
      <c r="P131" s="52"/>
      <c r="S131" s="52"/>
    </row>
    <row r="132" ht="15.75" customHeight="1">
      <c r="C132" s="52"/>
      <c r="H132" s="52"/>
      <c r="N132" s="52"/>
      <c r="P132" s="52"/>
      <c r="S132" s="52"/>
    </row>
    <row r="133" ht="15.75" customHeight="1">
      <c r="C133" s="52"/>
      <c r="H133" s="52"/>
      <c r="N133" s="52"/>
      <c r="P133" s="52"/>
      <c r="S133" s="52"/>
    </row>
    <row r="134" ht="15.75" customHeight="1">
      <c r="C134" s="52"/>
      <c r="H134" s="52"/>
      <c r="N134" s="52"/>
      <c r="P134" s="52"/>
      <c r="S134" s="52"/>
    </row>
    <row r="135" ht="15.75" customHeight="1">
      <c r="C135" s="52"/>
      <c r="H135" s="52"/>
      <c r="N135" s="52"/>
      <c r="P135" s="52"/>
      <c r="S135" s="52"/>
    </row>
    <row r="136" ht="15.75" customHeight="1">
      <c r="C136" s="52"/>
      <c r="H136" s="52"/>
      <c r="N136" s="52"/>
      <c r="P136" s="52"/>
      <c r="S136" s="52"/>
    </row>
    <row r="137" ht="15.75" customHeight="1">
      <c r="C137" s="52"/>
      <c r="H137" s="52"/>
      <c r="N137" s="52"/>
      <c r="P137" s="52"/>
      <c r="S137" s="52"/>
    </row>
    <row r="138" ht="15.75" customHeight="1">
      <c r="C138" s="52"/>
      <c r="H138" s="52"/>
      <c r="N138" s="52"/>
      <c r="P138" s="52"/>
      <c r="S138" s="52"/>
    </row>
    <row r="139" ht="15.75" customHeight="1">
      <c r="C139" s="52"/>
      <c r="H139" s="52"/>
      <c r="N139" s="52"/>
      <c r="P139" s="52"/>
      <c r="S139" s="52"/>
    </row>
    <row r="140" ht="15.75" customHeight="1">
      <c r="C140" s="52"/>
      <c r="H140" s="52"/>
      <c r="N140" s="52"/>
      <c r="P140" s="52"/>
      <c r="S140" s="52"/>
    </row>
    <row r="141" ht="15.75" customHeight="1">
      <c r="C141" s="52"/>
      <c r="H141" s="52"/>
      <c r="N141" s="52"/>
      <c r="P141" s="52"/>
      <c r="S141" s="52"/>
    </row>
    <row r="142" ht="15.75" customHeight="1">
      <c r="C142" s="52"/>
      <c r="H142" s="52"/>
      <c r="N142" s="52"/>
      <c r="P142" s="52"/>
      <c r="S142" s="52"/>
    </row>
    <row r="143" ht="15.75" customHeight="1">
      <c r="C143" s="52"/>
      <c r="H143" s="52"/>
      <c r="N143" s="52"/>
      <c r="P143" s="52"/>
      <c r="S143" s="52"/>
    </row>
    <row r="144" ht="15.75" customHeight="1">
      <c r="C144" s="52"/>
      <c r="H144" s="52"/>
      <c r="N144" s="52"/>
      <c r="P144" s="52"/>
      <c r="S144" s="52"/>
    </row>
    <row r="145" ht="15.75" customHeight="1">
      <c r="C145" s="52"/>
      <c r="H145" s="52"/>
      <c r="N145" s="52"/>
      <c r="P145" s="52"/>
      <c r="S145" s="52"/>
    </row>
    <row r="146" ht="15.75" customHeight="1">
      <c r="C146" s="52"/>
      <c r="H146" s="52"/>
      <c r="N146" s="52"/>
      <c r="P146" s="52"/>
      <c r="S146" s="52"/>
    </row>
    <row r="147" ht="15.75" customHeight="1">
      <c r="C147" s="52"/>
      <c r="H147" s="52"/>
      <c r="N147" s="52"/>
      <c r="P147" s="52"/>
      <c r="S147" s="52"/>
    </row>
    <row r="148" ht="15.75" customHeight="1">
      <c r="C148" s="52"/>
      <c r="H148" s="52"/>
      <c r="N148" s="52"/>
      <c r="P148" s="52"/>
      <c r="S148" s="52"/>
    </row>
    <row r="149" ht="15.75" customHeight="1">
      <c r="C149" s="52"/>
      <c r="H149" s="52"/>
      <c r="N149" s="52"/>
      <c r="P149" s="52"/>
      <c r="S149" s="52"/>
    </row>
    <row r="150" ht="15.75" customHeight="1">
      <c r="C150" s="52"/>
      <c r="H150" s="52"/>
      <c r="N150" s="52"/>
      <c r="P150" s="52"/>
      <c r="S150" s="52"/>
    </row>
    <row r="151" ht="15.75" customHeight="1">
      <c r="C151" s="52"/>
      <c r="H151" s="52"/>
      <c r="N151" s="52"/>
      <c r="P151" s="52"/>
      <c r="S151" s="52"/>
    </row>
    <row r="152" ht="15.75" customHeight="1">
      <c r="C152" s="52"/>
      <c r="H152" s="52"/>
      <c r="N152" s="52"/>
      <c r="P152" s="52"/>
      <c r="S152" s="52"/>
    </row>
    <row r="153" ht="15.75" customHeight="1">
      <c r="C153" s="52"/>
      <c r="H153" s="52"/>
      <c r="N153" s="52"/>
      <c r="P153" s="52"/>
      <c r="S153" s="52"/>
    </row>
    <row r="154" ht="15.75" customHeight="1">
      <c r="C154" s="52"/>
      <c r="H154" s="52"/>
      <c r="N154" s="52"/>
      <c r="P154" s="52"/>
      <c r="S154" s="52"/>
    </row>
    <row r="155" ht="15.75" customHeight="1">
      <c r="C155" s="52"/>
      <c r="H155" s="52"/>
      <c r="N155" s="52"/>
      <c r="P155" s="52"/>
      <c r="S155" s="52"/>
    </row>
    <row r="156" ht="15.75" customHeight="1">
      <c r="C156" s="52"/>
      <c r="H156" s="52"/>
      <c r="N156" s="52"/>
      <c r="P156" s="52"/>
      <c r="S156" s="52"/>
    </row>
    <row r="157" ht="15.75" customHeight="1">
      <c r="C157" s="52"/>
      <c r="H157" s="52"/>
      <c r="N157" s="52"/>
      <c r="P157" s="52"/>
      <c r="S157" s="52"/>
    </row>
    <row r="158" ht="15.75" customHeight="1">
      <c r="C158" s="52"/>
      <c r="H158" s="52"/>
      <c r="N158" s="52"/>
      <c r="P158" s="52"/>
      <c r="S158" s="52"/>
    </row>
    <row r="159" ht="15.75" customHeight="1">
      <c r="C159" s="52"/>
      <c r="H159" s="52"/>
      <c r="N159" s="52"/>
      <c r="P159" s="52"/>
      <c r="S159" s="52"/>
    </row>
    <row r="160" ht="15.75" customHeight="1">
      <c r="C160" s="52"/>
      <c r="H160" s="52"/>
      <c r="N160" s="52"/>
      <c r="P160" s="52"/>
      <c r="S160" s="52"/>
    </row>
    <row r="161" ht="15.75" customHeight="1">
      <c r="C161" s="52"/>
      <c r="H161" s="52"/>
      <c r="N161" s="52"/>
      <c r="P161" s="52"/>
      <c r="S161" s="52"/>
    </row>
    <row r="162" ht="15.75" customHeight="1">
      <c r="C162" s="52"/>
      <c r="H162" s="52"/>
      <c r="N162" s="52"/>
      <c r="P162" s="52"/>
      <c r="S162" s="52"/>
    </row>
    <row r="163" ht="15.75" customHeight="1">
      <c r="C163" s="52"/>
      <c r="H163" s="52"/>
      <c r="N163" s="52"/>
      <c r="P163" s="52"/>
      <c r="S163" s="52"/>
    </row>
    <row r="164" ht="15.75" customHeight="1">
      <c r="C164" s="52"/>
      <c r="H164" s="52"/>
      <c r="N164" s="52"/>
      <c r="P164" s="52"/>
      <c r="S164" s="52"/>
    </row>
    <row r="165" ht="15.75" customHeight="1">
      <c r="C165" s="52"/>
      <c r="H165" s="52"/>
      <c r="N165" s="52"/>
      <c r="P165" s="52"/>
      <c r="S165" s="52"/>
    </row>
    <row r="166" ht="15.75" customHeight="1">
      <c r="C166" s="52"/>
      <c r="H166" s="52"/>
      <c r="N166" s="52"/>
      <c r="P166" s="52"/>
      <c r="S166" s="52"/>
    </row>
    <row r="167" ht="15.75" customHeight="1">
      <c r="C167" s="52"/>
      <c r="H167" s="52"/>
      <c r="N167" s="52"/>
      <c r="P167" s="52"/>
      <c r="S167" s="52"/>
    </row>
    <row r="168" ht="15.75" customHeight="1">
      <c r="C168" s="52"/>
      <c r="H168" s="52"/>
      <c r="N168" s="52"/>
      <c r="P168" s="52"/>
      <c r="S168" s="52"/>
    </row>
    <row r="169" ht="15.75" customHeight="1">
      <c r="C169" s="52"/>
      <c r="H169" s="52"/>
      <c r="N169" s="52"/>
      <c r="P169" s="52"/>
      <c r="S169" s="52"/>
    </row>
    <row r="170" ht="15.75" customHeight="1">
      <c r="C170" s="52"/>
      <c r="H170" s="52"/>
      <c r="N170" s="52"/>
      <c r="P170" s="52"/>
      <c r="S170" s="52"/>
    </row>
    <row r="171" ht="15.75" customHeight="1">
      <c r="C171" s="52"/>
      <c r="H171" s="52"/>
      <c r="N171" s="52"/>
      <c r="P171" s="52"/>
      <c r="S171" s="52"/>
    </row>
    <row r="172" ht="15.75" customHeight="1">
      <c r="C172" s="52"/>
      <c r="H172" s="52"/>
      <c r="N172" s="52"/>
      <c r="P172" s="52"/>
      <c r="S172" s="52"/>
    </row>
    <row r="173" ht="15.75" customHeight="1">
      <c r="C173" s="52"/>
      <c r="H173" s="52"/>
      <c r="N173" s="52"/>
      <c r="P173" s="52"/>
      <c r="S173" s="52"/>
    </row>
    <row r="174" ht="15.75" customHeight="1">
      <c r="C174" s="52"/>
      <c r="H174" s="52"/>
      <c r="N174" s="52"/>
      <c r="P174" s="52"/>
      <c r="S174" s="52"/>
    </row>
    <row r="175" ht="15.75" customHeight="1">
      <c r="C175" s="52"/>
      <c r="H175" s="52"/>
      <c r="N175" s="52"/>
      <c r="P175" s="52"/>
      <c r="S175" s="52"/>
    </row>
    <row r="176" ht="15.75" customHeight="1">
      <c r="C176" s="52"/>
      <c r="H176" s="52"/>
      <c r="N176" s="52"/>
      <c r="P176" s="52"/>
      <c r="S176" s="52"/>
    </row>
    <row r="177" ht="15.75" customHeight="1">
      <c r="C177" s="52"/>
      <c r="H177" s="52"/>
      <c r="N177" s="52"/>
      <c r="P177" s="52"/>
      <c r="S177" s="52"/>
    </row>
    <row r="178" ht="15.75" customHeight="1">
      <c r="C178" s="52"/>
      <c r="H178" s="52"/>
      <c r="N178" s="52"/>
      <c r="P178" s="52"/>
      <c r="S178" s="52"/>
    </row>
    <row r="179" ht="15.75" customHeight="1">
      <c r="C179" s="52"/>
      <c r="H179" s="52"/>
      <c r="N179" s="52"/>
      <c r="P179" s="52"/>
      <c r="S179" s="52"/>
    </row>
    <row r="180" ht="15.75" customHeight="1">
      <c r="C180" s="52"/>
      <c r="H180" s="52"/>
      <c r="N180" s="52"/>
      <c r="P180" s="52"/>
      <c r="S180" s="52"/>
    </row>
    <row r="181" ht="15.75" customHeight="1">
      <c r="C181" s="52"/>
      <c r="H181" s="52"/>
      <c r="N181" s="52"/>
      <c r="P181" s="52"/>
      <c r="S181" s="52"/>
    </row>
    <row r="182" ht="15.75" customHeight="1">
      <c r="C182" s="52"/>
      <c r="H182" s="52"/>
      <c r="N182" s="52"/>
      <c r="P182" s="52"/>
      <c r="S182" s="52"/>
    </row>
    <row r="183" ht="15.75" customHeight="1">
      <c r="C183" s="52"/>
      <c r="H183" s="52"/>
      <c r="N183" s="52"/>
      <c r="P183" s="52"/>
      <c r="S183" s="52"/>
    </row>
    <row r="184" ht="15.75" customHeight="1">
      <c r="C184" s="52"/>
      <c r="H184" s="52"/>
      <c r="N184" s="52"/>
      <c r="P184" s="52"/>
      <c r="S184" s="52"/>
    </row>
    <row r="185" ht="15.75" customHeight="1">
      <c r="C185" s="52"/>
      <c r="H185" s="52"/>
      <c r="N185" s="52"/>
      <c r="P185" s="52"/>
      <c r="S185" s="52"/>
    </row>
    <row r="186" ht="15.75" customHeight="1">
      <c r="C186" s="52"/>
      <c r="H186" s="52"/>
      <c r="N186" s="52"/>
      <c r="P186" s="52"/>
      <c r="S186" s="52"/>
    </row>
    <row r="187" ht="15.75" customHeight="1">
      <c r="C187" s="52"/>
      <c r="H187" s="52"/>
      <c r="N187" s="52"/>
      <c r="P187" s="52"/>
      <c r="S187" s="52"/>
    </row>
    <row r="188" ht="15.75" customHeight="1">
      <c r="C188" s="52"/>
      <c r="H188" s="52"/>
      <c r="N188" s="52"/>
      <c r="P188" s="52"/>
      <c r="S188" s="52"/>
    </row>
    <row r="189" ht="15.75" customHeight="1">
      <c r="C189" s="52"/>
      <c r="H189" s="52"/>
      <c r="N189" s="52"/>
      <c r="P189" s="52"/>
      <c r="S189" s="52"/>
    </row>
    <row r="190" ht="15.75" customHeight="1">
      <c r="C190" s="52"/>
      <c r="H190" s="52"/>
      <c r="N190" s="52"/>
      <c r="P190" s="52"/>
      <c r="S190" s="52"/>
    </row>
    <row r="191" ht="15.75" customHeight="1">
      <c r="C191" s="52"/>
      <c r="H191" s="52"/>
      <c r="N191" s="52"/>
      <c r="P191" s="52"/>
      <c r="S191" s="52"/>
    </row>
    <row r="192" ht="15.75" customHeight="1">
      <c r="C192" s="52"/>
      <c r="H192" s="52"/>
      <c r="N192" s="52"/>
      <c r="P192" s="52"/>
      <c r="S192" s="52"/>
    </row>
    <row r="193" ht="15.75" customHeight="1">
      <c r="C193" s="52"/>
      <c r="H193" s="52"/>
      <c r="N193" s="52"/>
      <c r="P193" s="52"/>
      <c r="S193" s="52"/>
    </row>
    <row r="194" ht="15.75" customHeight="1">
      <c r="C194" s="52"/>
      <c r="H194" s="52"/>
      <c r="N194" s="52"/>
      <c r="P194" s="52"/>
      <c r="S194" s="52"/>
    </row>
    <row r="195" ht="15.75" customHeight="1">
      <c r="C195" s="52"/>
      <c r="H195" s="52"/>
      <c r="N195" s="52"/>
      <c r="P195" s="52"/>
      <c r="S195" s="52"/>
    </row>
    <row r="196" ht="15.75" customHeight="1">
      <c r="C196" s="52"/>
      <c r="H196" s="52"/>
      <c r="N196" s="52"/>
      <c r="P196" s="52"/>
      <c r="S196" s="52"/>
    </row>
    <row r="197" ht="15.75" customHeight="1">
      <c r="C197" s="52"/>
      <c r="H197" s="52"/>
      <c r="N197" s="52"/>
      <c r="P197" s="52"/>
      <c r="S197" s="52"/>
    </row>
    <row r="198" ht="15.75" customHeight="1">
      <c r="C198" s="52"/>
      <c r="H198" s="52"/>
      <c r="N198" s="52"/>
      <c r="P198" s="52"/>
      <c r="S198" s="52"/>
    </row>
    <row r="199" ht="15.75" customHeight="1">
      <c r="C199" s="52"/>
      <c r="H199" s="52"/>
      <c r="N199" s="52"/>
      <c r="P199" s="52"/>
      <c r="S199" s="52"/>
    </row>
    <row r="200" ht="15.75" customHeight="1">
      <c r="C200" s="52"/>
      <c r="H200" s="52"/>
      <c r="N200" s="52"/>
      <c r="P200" s="52"/>
      <c r="S200" s="52"/>
    </row>
    <row r="201" ht="15.75" customHeight="1">
      <c r="C201" s="52"/>
      <c r="H201" s="52"/>
      <c r="N201" s="52"/>
      <c r="P201" s="52"/>
      <c r="S201" s="52"/>
    </row>
    <row r="202" ht="15.75" customHeight="1">
      <c r="C202" s="52"/>
      <c r="H202" s="52"/>
      <c r="N202" s="52"/>
      <c r="P202" s="52"/>
      <c r="S202" s="52"/>
    </row>
    <row r="203" ht="15.75" customHeight="1">
      <c r="C203" s="52"/>
      <c r="H203" s="52"/>
      <c r="N203" s="52"/>
      <c r="P203" s="52"/>
      <c r="S203" s="52"/>
    </row>
    <row r="204" ht="15.75" customHeight="1">
      <c r="C204" s="52"/>
      <c r="H204" s="52"/>
      <c r="N204" s="52"/>
      <c r="P204" s="52"/>
      <c r="S204" s="52"/>
    </row>
    <row r="205" ht="15.75" customHeight="1">
      <c r="C205" s="52"/>
      <c r="H205" s="52"/>
      <c r="N205" s="52"/>
      <c r="P205" s="52"/>
      <c r="S205" s="52"/>
    </row>
    <row r="206" ht="15.75" customHeight="1">
      <c r="C206" s="52"/>
      <c r="H206" s="52"/>
      <c r="N206" s="52"/>
      <c r="P206" s="52"/>
      <c r="S206" s="52"/>
    </row>
    <row r="207" ht="15.75" customHeight="1">
      <c r="C207" s="52"/>
      <c r="H207" s="52"/>
      <c r="N207" s="52"/>
      <c r="P207" s="52"/>
      <c r="S207" s="52"/>
    </row>
    <row r="208" ht="15.75" customHeight="1">
      <c r="C208" s="52"/>
      <c r="H208" s="52"/>
      <c r="N208" s="52"/>
      <c r="P208" s="52"/>
      <c r="S208" s="52"/>
    </row>
    <row r="209" ht="15.75" customHeight="1">
      <c r="C209" s="52"/>
      <c r="H209" s="52"/>
      <c r="N209" s="52"/>
      <c r="P209" s="52"/>
      <c r="S209" s="52"/>
    </row>
    <row r="210" ht="15.75" customHeight="1">
      <c r="C210" s="52"/>
      <c r="H210" s="52"/>
      <c r="N210" s="52"/>
      <c r="P210" s="52"/>
      <c r="S210" s="52"/>
    </row>
    <row r="211" ht="15.75" customHeight="1">
      <c r="C211" s="52"/>
      <c r="H211" s="52"/>
      <c r="N211" s="52"/>
      <c r="P211" s="52"/>
      <c r="S211" s="52"/>
    </row>
    <row r="212" ht="15.75" customHeight="1">
      <c r="C212" s="52"/>
      <c r="H212" s="52"/>
      <c r="N212" s="52"/>
      <c r="P212" s="52"/>
      <c r="S212" s="52"/>
    </row>
    <row r="213" ht="15.75" customHeight="1">
      <c r="C213" s="52"/>
      <c r="H213" s="52"/>
      <c r="N213" s="52"/>
      <c r="P213" s="52"/>
      <c r="S213" s="52"/>
    </row>
    <row r="214" ht="15.75" customHeight="1">
      <c r="C214" s="52"/>
      <c r="H214" s="52"/>
      <c r="N214" s="52"/>
      <c r="P214" s="52"/>
      <c r="S214" s="52"/>
    </row>
    <row r="215" ht="15.75" customHeight="1">
      <c r="C215" s="52"/>
      <c r="H215" s="52"/>
      <c r="N215" s="52"/>
      <c r="P215" s="52"/>
      <c r="S215" s="52"/>
    </row>
    <row r="216" ht="15.75" customHeight="1">
      <c r="C216" s="52"/>
      <c r="H216" s="52"/>
      <c r="N216" s="52"/>
      <c r="P216" s="52"/>
      <c r="S216" s="52"/>
    </row>
    <row r="217" ht="15.75" customHeight="1">
      <c r="C217" s="52"/>
      <c r="H217" s="52"/>
      <c r="N217" s="52"/>
      <c r="P217" s="52"/>
      <c r="S217" s="52"/>
    </row>
    <row r="218" ht="15.75" customHeight="1">
      <c r="C218" s="52"/>
      <c r="H218" s="52"/>
      <c r="N218" s="52"/>
      <c r="P218" s="52"/>
      <c r="S218" s="52"/>
    </row>
    <row r="219" ht="15.75" customHeight="1">
      <c r="C219" s="52"/>
      <c r="H219" s="52"/>
      <c r="N219" s="52"/>
      <c r="P219" s="52"/>
      <c r="S219" s="52"/>
    </row>
    <row r="220" ht="15.75" customHeight="1">
      <c r="C220" s="52"/>
      <c r="H220" s="52"/>
      <c r="N220" s="52"/>
      <c r="P220" s="52"/>
      <c r="S220" s="52"/>
    </row>
    <row r="221" ht="15.75" customHeight="1">
      <c r="C221" s="52"/>
      <c r="H221" s="52"/>
      <c r="N221" s="52"/>
      <c r="P221" s="52"/>
      <c r="S221" s="52"/>
    </row>
    <row r="222" ht="15.75" customHeight="1">
      <c r="C222" s="52"/>
      <c r="H222" s="52"/>
      <c r="N222" s="52"/>
      <c r="P222" s="52"/>
      <c r="S222" s="52"/>
    </row>
    <row r="223" ht="15.75" customHeight="1">
      <c r="C223" s="52"/>
      <c r="H223" s="52"/>
      <c r="N223" s="52"/>
      <c r="P223" s="52"/>
      <c r="S223" s="52"/>
    </row>
    <row r="224" ht="15.75" customHeight="1">
      <c r="C224" s="52"/>
      <c r="H224" s="52"/>
      <c r="N224" s="52"/>
      <c r="P224" s="52"/>
      <c r="S224" s="52"/>
    </row>
    <row r="225" ht="15.75" customHeight="1">
      <c r="C225" s="52"/>
      <c r="H225" s="52"/>
      <c r="N225" s="52"/>
      <c r="P225" s="52"/>
      <c r="S225" s="52"/>
    </row>
    <row r="226" ht="15.75" customHeight="1">
      <c r="C226" s="52"/>
      <c r="H226" s="52"/>
      <c r="N226" s="52"/>
      <c r="P226" s="52"/>
      <c r="S226" s="52"/>
    </row>
    <row r="227" ht="15.75" customHeight="1">
      <c r="C227" s="52"/>
      <c r="H227" s="52"/>
      <c r="N227" s="52"/>
      <c r="P227" s="52"/>
      <c r="S227" s="52"/>
    </row>
    <row r="228" ht="15.75" customHeight="1">
      <c r="C228" s="52"/>
      <c r="H228" s="52"/>
      <c r="N228" s="52"/>
      <c r="P228" s="52"/>
      <c r="S228" s="52"/>
    </row>
    <row r="229" ht="15.75" customHeight="1">
      <c r="C229" s="52"/>
      <c r="H229" s="52"/>
      <c r="N229" s="52"/>
      <c r="P229" s="52"/>
      <c r="S229" s="52"/>
    </row>
    <row r="230" ht="15.75" customHeight="1">
      <c r="C230" s="52"/>
      <c r="H230" s="52"/>
      <c r="N230" s="52"/>
      <c r="P230" s="52"/>
      <c r="S230" s="52"/>
    </row>
    <row r="231" ht="15.75" customHeight="1">
      <c r="C231" s="52"/>
      <c r="H231" s="52"/>
      <c r="N231" s="52"/>
      <c r="P231" s="52"/>
      <c r="S231" s="52"/>
    </row>
    <row r="232" ht="15.75" customHeight="1">
      <c r="C232" s="52"/>
      <c r="H232" s="52"/>
      <c r="N232" s="52"/>
      <c r="P232" s="52"/>
      <c r="S232" s="52"/>
    </row>
    <row r="233" ht="15.75" customHeight="1">
      <c r="C233" s="52"/>
      <c r="H233" s="52"/>
      <c r="N233" s="52"/>
      <c r="P233" s="52"/>
      <c r="S233" s="52"/>
    </row>
    <row r="234" ht="15.75" customHeight="1">
      <c r="C234" s="52"/>
      <c r="H234" s="52"/>
      <c r="N234" s="52"/>
      <c r="P234" s="52"/>
      <c r="S234" s="52"/>
    </row>
    <row r="235" ht="15.75" customHeight="1">
      <c r="C235" s="52"/>
      <c r="H235" s="52"/>
      <c r="N235" s="52"/>
      <c r="P235" s="52"/>
      <c r="S235" s="52"/>
    </row>
    <row r="236" ht="15.75" customHeight="1">
      <c r="C236" s="52"/>
      <c r="H236" s="52"/>
      <c r="N236" s="52"/>
      <c r="P236" s="52"/>
      <c r="S236" s="52"/>
    </row>
    <row r="237" ht="15.75" customHeight="1">
      <c r="C237" s="52"/>
      <c r="H237" s="52"/>
      <c r="N237" s="52"/>
      <c r="P237" s="52"/>
      <c r="S237" s="52"/>
    </row>
    <row r="238" ht="15.75" customHeight="1">
      <c r="C238" s="52"/>
      <c r="H238" s="52"/>
      <c r="N238" s="52"/>
      <c r="P238" s="52"/>
      <c r="S238" s="52"/>
    </row>
    <row r="239" ht="15.75" customHeight="1">
      <c r="C239" s="52"/>
      <c r="H239" s="52"/>
      <c r="N239" s="52"/>
      <c r="P239" s="52"/>
      <c r="S239" s="52"/>
    </row>
    <row r="240" ht="15.75" customHeight="1">
      <c r="C240" s="52"/>
      <c r="H240" s="52"/>
      <c r="N240" s="52"/>
      <c r="P240" s="52"/>
      <c r="S240" s="52"/>
    </row>
    <row r="241" ht="15.75" customHeight="1">
      <c r="C241" s="52"/>
      <c r="H241" s="52"/>
      <c r="N241" s="52"/>
      <c r="P241" s="52"/>
      <c r="S241" s="52"/>
    </row>
    <row r="242" ht="15.75" customHeight="1">
      <c r="C242" s="52"/>
      <c r="H242" s="52"/>
      <c r="N242" s="52"/>
      <c r="P242" s="52"/>
      <c r="S242" s="52"/>
    </row>
    <row r="243" ht="15.75" customHeight="1">
      <c r="C243" s="52"/>
      <c r="H243" s="52"/>
      <c r="N243" s="52"/>
      <c r="P243" s="52"/>
      <c r="S243" s="52"/>
    </row>
    <row r="244" ht="15.75" customHeight="1">
      <c r="C244" s="52"/>
      <c r="H244" s="52"/>
      <c r="N244" s="52"/>
      <c r="P244" s="52"/>
      <c r="S244" s="52"/>
    </row>
    <row r="245" ht="15.75" customHeight="1">
      <c r="C245" s="52"/>
      <c r="H245" s="52"/>
      <c r="N245" s="52"/>
      <c r="P245" s="52"/>
      <c r="S245" s="52"/>
    </row>
    <row r="246" ht="15.75" customHeight="1">
      <c r="C246" s="52"/>
      <c r="H246" s="52"/>
      <c r="N246" s="52"/>
      <c r="P246" s="52"/>
      <c r="S246" s="52"/>
    </row>
    <row r="247" ht="15.75" customHeight="1">
      <c r="C247" s="52"/>
      <c r="H247" s="52"/>
      <c r="N247" s="52"/>
      <c r="P247" s="52"/>
      <c r="S247" s="52"/>
    </row>
    <row r="248" ht="15.75" customHeight="1">
      <c r="C248" s="52"/>
      <c r="H248" s="52"/>
      <c r="N248" s="52"/>
      <c r="P248" s="52"/>
      <c r="S248" s="52"/>
    </row>
    <row r="249" ht="15.75" customHeight="1">
      <c r="C249" s="52"/>
      <c r="H249" s="52"/>
      <c r="N249" s="52"/>
      <c r="P249" s="52"/>
      <c r="S249" s="52"/>
    </row>
    <row r="250" ht="15.75" customHeight="1">
      <c r="C250" s="52"/>
      <c r="H250" s="52"/>
      <c r="N250" s="52"/>
      <c r="P250" s="52"/>
      <c r="S250" s="52"/>
    </row>
    <row r="251" ht="15.75" customHeight="1">
      <c r="C251" s="52"/>
      <c r="H251" s="52"/>
      <c r="N251" s="52"/>
      <c r="P251" s="52"/>
      <c r="S251" s="52"/>
    </row>
    <row r="252" ht="15.75" customHeight="1">
      <c r="C252" s="52"/>
      <c r="H252" s="52"/>
      <c r="N252" s="52"/>
      <c r="P252" s="52"/>
      <c r="S252" s="52"/>
    </row>
    <row r="253" ht="15.75" customHeight="1">
      <c r="C253" s="52"/>
      <c r="H253" s="52"/>
      <c r="N253" s="52"/>
      <c r="P253" s="52"/>
      <c r="S253" s="52"/>
    </row>
    <row r="254" ht="15.75" customHeight="1">
      <c r="C254" s="52"/>
      <c r="H254" s="52"/>
      <c r="N254" s="52"/>
      <c r="P254" s="52"/>
      <c r="S254" s="52"/>
    </row>
    <row r="255" ht="15.75" customHeight="1">
      <c r="C255" s="52"/>
      <c r="H255" s="52"/>
      <c r="N255" s="52"/>
      <c r="P255" s="52"/>
      <c r="S255" s="52"/>
    </row>
    <row r="256" ht="15.75" customHeight="1">
      <c r="C256" s="52"/>
      <c r="H256" s="52"/>
      <c r="N256" s="52"/>
      <c r="P256" s="52"/>
      <c r="S256" s="52"/>
    </row>
    <row r="257" ht="15.75" customHeight="1">
      <c r="C257" s="52"/>
      <c r="H257" s="52"/>
      <c r="N257" s="52"/>
      <c r="P257" s="52"/>
      <c r="S257" s="52"/>
    </row>
    <row r="258" ht="15.75" customHeight="1">
      <c r="C258" s="52"/>
      <c r="H258" s="52"/>
      <c r="N258" s="52"/>
      <c r="P258" s="52"/>
      <c r="S258" s="52"/>
    </row>
    <row r="259" ht="15.75" customHeight="1">
      <c r="C259" s="52"/>
      <c r="H259" s="52"/>
      <c r="N259" s="52"/>
      <c r="P259" s="52"/>
      <c r="S259" s="52"/>
    </row>
    <row r="260" ht="15.75" customHeight="1">
      <c r="C260" s="52"/>
      <c r="H260" s="52"/>
      <c r="N260" s="52"/>
      <c r="P260" s="52"/>
      <c r="S260" s="52"/>
    </row>
    <row r="261" ht="15.75" customHeight="1">
      <c r="C261" s="52"/>
      <c r="H261" s="52"/>
      <c r="N261" s="52"/>
      <c r="P261" s="52"/>
      <c r="S261" s="52"/>
    </row>
    <row r="262" ht="15.75" customHeight="1">
      <c r="C262" s="52"/>
      <c r="H262" s="52"/>
      <c r="N262" s="52"/>
      <c r="P262" s="52"/>
      <c r="S262" s="52"/>
    </row>
    <row r="263" ht="15.75" customHeight="1">
      <c r="C263" s="52"/>
      <c r="H263" s="52"/>
      <c r="N263" s="52"/>
      <c r="P263" s="52"/>
      <c r="S263" s="52"/>
    </row>
    <row r="264" ht="15.75" customHeight="1">
      <c r="C264" s="52"/>
      <c r="H264" s="52"/>
      <c r="N264" s="52"/>
      <c r="P264" s="52"/>
      <c r="S264" s="52"/>
    </row>
    <row r="265" ht="15.75" customHeight="1">
      <c r="C265" s="52"/>
      <c r="H265" s="52"/>
      <c r="N265" s="52"/>
      <c r="P265" s="52"/>
      <c r="S265" s="52"/>
    </row>
    <row r="266" ht="15.75" customHeight="1">
      <c r="C266" s="52"/>
      <c r="H266" s="52"/>
      <c r="N266" s="52"/>
      <c r="P266" s="52"/>
      <c r="S266" s="52"/>
    </row>
    <row r="267" ht="15.75" customHeight="1">
      <c r="C267" s="52"/>
      <c r="H267" s="52"/>
      <c r="N267" s="52"/>
      <c r="P267" s="52"/>
      <c r="S267" s="52"/>
    </row>
    <row r="268" ht="15.75" customHeight="1">
      <c r="C268" s="52"/>
      <c r="H268" s="52"/>
      <c r="N268" s="52"/>
      <c r="P268" s="52"/>
      <c r="S268" s="52"/>
    </row>
    <row r="269" ht="15.75" customHeight="1">
      <c r="C269" s="52"/>
      <c r="H269" s="52"/>
      <c r="N269" s="52"/>
      <c r="P269" s="52"/>
      <c r="S269" s="52"/>
    </row>
    <row r="270" ht="15.75" customHeight="1">
      <c r="C270" s="52"/>
      <c r="H270" s="52"/>
      <c r="N270" s="52"/>
      <c r="P270" s="52"/>
      <c r="S270" s="52"/>
    </row>
    <row r="271" ht="15.75" customHeight="1">
      <c r="C271" s="52"/>
      <c r="H271" s="52"/>
      <c r="N271" s="52"/>
      <c r="P271" s="52"/>
      <c r="S271" s="52"/>
    </row>
    <row r="272" ht="15.75" customHeight="1">
      <c r="C272" s="52"/>
      <c r="H272" s="52"/>
      <c r="N272" s="52"/>
      <c r="P272" s="52"/>
      <c r="S272" s="52"/>
    </row>
    <row r="273" ht="15.75" customHeight="1">
      <c r="C273" s="52"/>
      <c r="H273" s="52"/>
      <c r="N273" s="52"/>
      <c r="P273" s="52"/>
      <c r="S273" s="52"/>
    </row>
    <row r="274" ht="15.75" customHeight="1">
      <c r="C274" s="52"/>
      <c r="H274" s="52"/>
      <c r="N274" s="52"/>
      <c r="P274" s="52"/>
      <c r="S274" s="52"/>
    </row>
    <row r="275" ht="15.75" customHeight="1">
      <c r="C275" s="52"/>
      <c r="H275" s="52"/>
      <c r="N275" s="52"/>
      <c r="P275" s="52"/>
      <c r="S275" s="52"/>
    </row>
    <row r="276" ht="15.75" customHeight="1">
      <c r="C276" s="52"/>
      <c r="H276" s="52"/>
      <c r="N276" s="52"/>
      <c r="P276" s="52"/>
      <c r="S276" s="52"/>
    </row>
    <row r="277" ht="15.75" customHeight="1">
      <c r="C277" s="52"/>
      <c r="H277" s="52"/>
      <c r="N277" s="52"/>
      <c r="P277" s="52"/>
      <c r="S277" s="52"/>
    </row>
    <row r="278" ht="15.75" customHeight="1">
      <c r="C278" s="52"/>
      <c r="H278" s="52"/>
      <c r="N278" s="52"/>
      <c r="P278" s="52"/>
      <c r="S278" s="52"/>
    </row>
    <row r="279" ht="15.75" customHeight="1">
      <c r="C279" s="52"/>
      <c r="H279" s="52"/>
      <c r="N279" s="52"/>
      <c r="P279" s="52"/>
      <c r="S279" s="52"/>
    </row>
    <row r="280" ht="15.75" customHeight="1">
      <c r="C280" s="52"/>
      <c r="H280" s="52"/>
      <c r="N280" s="52"/>
      <c r="P280" s="52"/>
      <c r="S280" s="52"/>
    </row>
    <row r="281" ht="15.75" customHeight="1">
      <c r="C281" s="52"/>
      <c r="H281" s="52"/>
      <c r="N281" s="52"/>
      <c r="P281" s="52"/>
      <c r="S281" s="52"/>
    </row>
    <row r="282" ht="15.75" customHeight="1">
      <c r="C282" s="52"/>
      <c r="H282" s="52"/>
      <c r="N282" s="52"/>
      <c r="P282" s="52"/>
      <c r="S282" s="52"/>
    </row>
    <row r="283" ht="15.75" customHeight="1">
      <c r="C283" s="52"/>
      <c r="H283" s="52"/>
      <c r="N283" s="52"/>
      <c r="P283" s="52"/>
      <c r="S283" s="52"/>
    </row>
    <row r="284" ht="15.75" customHeight="1">
      <c r="C284" s="52"/>
      <c r="H284" s="52"/>
      <c r="N284" s="52"/>
      <c r="P284" s="52"/>
      <c r="S284" s="52"/>
    </row>
    <row r="285" ht="15.75" customHeight="1">
      <c r="C285" s="52"/>
      <c r="H285" s="52"/>
      <c r="N285" s="52"/>
      <c r="P285" s="52"/>
      <c r="S285" s="52"/>
    </row>
    <row r="286" ht="15.75" customHeight="1">
      <c r="C286" s="52"/>
      <c r="H286" s="52"/>
      <c r="N286" s="52"/>
      <c r="P286" s="52"/>
      <c r="S286" s="52"/>
    </row>
    <row r="287" ht="15.75" customHeight="1">
      <c r="C287" s="52"/>
      <c r="H287" s="52"/>
      <c r="N287" s="52"/>
      <c r="P287" s="52"/>
      <c r="S287" s="52"/>
    </row>
    <row r="288" ht="15.75" customHeight="1">
      <c r="C288" s="52"/>
      <c r="H288" s="52"/>
      <c r="N288" s="52"/>
      <c r="P288" s="52"/>
      <c r="S288" s="52"/>
    </row>
    <row r="289" ht="15.75" customHeight="1">
      <c r="C289" s="52"/>
      <c r="H289" s="52"/>
      <c r="N289" s="52"/>
      <c r="P289" s="52"/>
      <c r="S289" s="52"/>
    </row>
    <row r="290" ht="15.75" customHeight="1">
      <c r="C290" s="52"/>
      <c r="H290" s="52"/>
      <c r="N290" s="52"/>
      <c r="P290" s="52"/>
      <c r="S290" s="52"/>
    </row>
    <row r="291" ht="15.75" customHeight="1">
      <c r="C291" s="52"/>
      <c r="H291" s="52"/>
      <c r="N291" s="52"/>
      <c r="P291" s="52"/>
      <c r="S291" s="52"/>
    </row>
    <row r="292" ht="15.75" customHeight="1">
      <c r="C292" s="52"/>
      <c r="H292" s="52"/>
      <c r="N292" s="52"/>
      <c r="P292" s="52"/>
      <c r="S292" s="52"/>
    </row>
    <row r="293" ht="15.75" customHeight="1">
      <c r="C293" s="52"/>
      <c r="H293" s="52"/>
      <c r="N293" s="52"/>
      <c r="P293" s="52"/>
      <c r="S293" s="52"/>
    </row>
    <row r="294" ht="15.75" customHeight="1">
      <c r="C294" s="52"/>
      <c r="H294" s="52"/>
      <c r="N294" s="52"/>
      <c r="P294" s="52"/>
      <c r="S294" s="52"/>
    </row>
    <row r="295" ht="15.75" customHeight="1">
      <c r="C295" s="52"/>
      <c r="H295" s="52"/>
      <c r="N295" s="52"/>
      <c r="P295" s="52"/>
      <c r="S295" s="52"/>
    </row>
    <row r="296" ht="15.75" customHeight="1">
      <c r="C296" s="52"/>
      <c r="H296" s="52"/>
      <c r="N296" s="52"/>
      <c r="P296" s="52"/>
      <c r="S296" s="52"/>
    </row>
    <row r="297" ht="15.75" customHeight="1">
      <c r="C297" s="52"/>
      <c r="H297" s="52"/>
      <c r="N297" s="52"/>
      <c r="P297" s="52"/>
      <c r="S297" s="52"/>
    </row>
    <row r="298" ht="15.75" customHeight="1">
      <c r="C298" s="52"/>
      <c r="H298" s="52"/>
      <c r="N298" s="52"/>
      <c r="P298" s="52"/>
      <c r="S298" s="52"/>
    </row>
    <row r="299" ht="15.75" customHeight="1">
      <c r="C299" s="52"/>
      <c r="H299" s="52"/>
      <c r="N299" s="52"/>
      <c r="P299" s="52"/>
      <c r="S299" s="52"/>
    </row>
    <row r="300" ht="15.75" customHeight="1">
      <c r="C300" s="52"/>
      <c r="H300" s="52"/>
      <c r="N300" s="52"/>
      <c r="P300" s="52"/>
      <c r="S300" s="52"/>
    </row>
    <row r="301" ht="15.75" customHeight="1">
      <c r="C301" s="52"/>
      <c r="H301" s="52"/>
      <c r="N301" s="52"/>
      <c r="P301" s="52"/>
      <c r="S301" s="52"/>
    </row>
    <row r="302" ht="15.75" customHeight="1">
      <c r="C302" s="52"/>
      <c r="H302" s="52"/>
      <c r="N302" s="52"/>
      <c r="P302" s="52"/>
      <c r="S302" s="52"/>
    </row>
    <row r="303" ht="15.75" customHeight="1">
      <c r="C303" s="52"/>
      <c r="H303" s="52"/>
      <c r="N303" s="52"/>
      <c r="P303" s="52"/>
      <c r="S303" s="52"/>
    </row>
    <row r="304" ht="15.75" customHeight="1">
      <c r="C304" s="52"/>
      <c r="H304" s="52"/>
      <c r="N304" s="52"/>
      <c r="P304" s="52"/>
      <c r="S304" s="52"/>
    </row>
    <row r="305" ht="15.75" customHeight="1">
      <c r="C305" s="52"/>
      <c r="H305" s="52"/>
      <c r="N305" s="52"/>
      <c r="P305" s="52"/>
      <c r="S305" s="52"/>
    </row>
    <row r="306" ht="15.75" customHeight="1">
      <c r="C306" s="52"/>
      <c r="H306" s="52"/>
      <c r="N306" s="52"/>
      <c r="P306" s="52"/>
      <c r="S306" s="52"/>
    </row>
    <row r="307" ht="15.75" customHeight="1">
      <c r="C307" s="52"/>
      <c r="H307" s="52"/>
      <c r="N307" s="52"/>
      <c r="P307" s="52"/>
      <c r="S307" s="52"/>
    </row>
    <row r="308" ht="15.75" customHeight="1">
      <c r="C308" s="52"/>
      <c r="H308" s="52"/>
      <c r="N308" s="52"/>
      <c r="P308" s="52"/>
      <c r="S308" s="52"/>
    </row>
    <row r="309" ht="15.75" customHeight="1">
      <c r="C309" s="52"/>
      <c r="H309" s="52"/>
      <c r="N309" s="52"/>
      <c r="P309" s="52"/>
      <c r="S309" s="52"/>
    </row>
    <row r="310" ht="15.75" customHeight="1">
      <c r="C310" s="52"/>
      <c r="H310" s="52"/>
      <c r="N310" s="52"/>
      <c r="P310" s="52"/>
      <c r="S310" s="52"/>
    </row>
    <row r="311" ht="15.75" customHeight="1">
      <c r="C311" s="52"/>
      <c r="H311" s="52"/>
      <c r="N311" s="52"/>
      <c r="P311" s="52"/>
      <c r="S311" s="52"/>
    </row>
    <row r="312" ht="15.75" customHeight="1">
      <c r="C312" s="52"/>
      <c r="H312" s="52"/>
      <c r="N312" s="52"/>
      <c r="P312" s="52"/>
      <c r="S312" s="52"/>
    </row>
    <row r="313" ht="15.75" customHeight="1">
      <c r="C313" s="52"/>
      <c r="H313" s="52"/>
      <c r="N313" s="52"/>
      <c r="P313" s="52"/>
      <c r="S313" s="52"/>
    </row>
    <row r="314" ht="15.75" customHeight="1">
      <c r="C314" s="52"/>
      <c r="H314" s="52"/>
      <c r="N314" s="52"/>
      <c r="P314" s="52"/>
      <c r="S314" s="52"/>
    </row>
    <row r="315" ht="15.75" customHeight="1">
      <c r="C315" s="52"/>
      <c r="H315" s="52"/>
      <c r="N315" s="52"/>
      <c r="P315" s="52"/>
      <c r="S315" s="52"/>
    </row>
    <row r="316" ht="15.75" customHeight="1">
      <c r="C316" s="52"/>
      <c r="H316" s="52"/>
      <c r="N316" s="52"/>
      <c r="P316" s="52"/>
      <c r="S316" s="52"/>
    </row>
    <row r="317" ht="15.75" customHeight="1">
      <c r="C317" s="52"/>
      <c r="H317" s="52"/>
      <c r="N317" s="52"/>
      <c r="P317" s="52"/>
      <c r="S317" s="52"/>
    </row>
    <row r="318" ht="15.75" customHeight="1">
      <c r="C318" s="52"/>
      <c r="H318" s="52"/>
      <c r="N318" s="52"/>
      <c r="P318" s="52"/>
      <c r="S318" s="52"/>
    </row>
    <row r="319" ht="15.75" customHeight="1">
      <c r="C319" s="52"/>
      <c r="H319" s="52"/>
      <c r="N319" s="52"/>
      <c r="P319" s="52"/>
      <c r="S319" s="52"/>
    </row>
    <row r="320" ht="15.75" customHeight="1">
      <c r="C320" s="52"/>
      <c r="H320" s="52"/>
      <c r="N320" s="52"/>
      <c r="P320" s="52"/>
      <c r="S320" s="52"/>
    </row>
    <row r="321" ht="15.75" customHeight="1">
      <c r="C321" s="52"/>
      <c r="H321" s="52"/>
      <c r="N321" s="52"/>
      <c r="P321" s="52"/>
      <c r="S321" s="52"/>
    </row>
    <row r="322" ht="15.75" customHeight="1">
      <c r="C322" s="52"/>
      <c r="H322" s="52"/>
      <c r="N322" s="52"/>
      <c r="P322" s="52"/>
      <c r="S322" s="52"/>
    </row>
    <row r="323" ht="15.75" customHeight="1">
      <c r="C323" s="52"/>
      <c r="H323" s="52"/>
      <c r="N323" s="52"/>
      <c r="P323" s="52"/>
      <c r="S323" s="52"/>
    </row>
    <row r="324" ht="15.75" customHeight="1">
      <c r="C324" s="52"/>
      <c r="H324" s="52"/>
      <c r="N324" s="52"/>
      <c r="P324" s="52"/>
      <c r="S324" s="52"/>
    </row>
    <row r="325" ht="15.75" customHeight="1">
      <c r="C325" s="52"/>
      <c r="H325" s="52"/>
      <c r="N325" s="52"/>
      <c r="P325" s="52"/>
      <c r="S325" s="52"/>
    </row>
    <row r="326" ht="15.75" customHeight="1">
      <c r="C326" s="52"/>
      <c r="H326" s="52"/>
      <c r="N326" s="52"/>
      <c r="P326" s="52"/>
      <c r="S326" s="52"/>
    </row>
    <row r="327" ht="15.75" customHeight="1">
      <c r="C327" s="52"/>
      <c r="H327" s="52"/>
      <c r="N327" s="52"/>
      <c r="P327" s="52"/>
      <c r="S327" s="52"/>
    </row>
    <row r="328" ht="15.75" customHeight="1">
      <c r="C328" s="52"/>
      <c r="H328" s="52"/>
      <c r="N328" s="52"/>
      <c r="P328" s="52"/>
      <c r="S328" s="52"/>
    </row>
    <row r="329" ht="15.75" customHeight="1">
      <c r="C329" s="52"/>
      <c r="H329" s="52"/>
      <c r="N329" s="52"/>
      <c r="P329" s="52"/>
      <c r="S329" s="52"/>
    </row>
    <row r="330" ht="15.75" customHeight="1">
      <c r="C330" s="52"/>
      <c r="H330" s="52"/>
      <c r="N330" s="52"/>
      <c r="P330" s="52"/>
      <c r="S330" s="52"/>
    </row>
    <row r="331" ht="15.75" customHeight="1">
      <c r="C331" s="52"/>
      <c r="H331" s="52"/>
      <c r="N331" s="52"/>
      <c r="P331" s="52"/>
      <c r="S331" s="52"/>
    </row>
    <row r="332" ht="15.75" customHeight="1">
      <c r="C332" s="52"/>
      <c r="H332" s="52"/>
      <c r="N332" s="52"/>
      <c r="P332" s="52"/>
      <c r="S332" s="52"/>
    </row>
    <row r="333" ht="15.75" customHeight="1">
      <c r="C333" s="52"/>
      <c r="H333" s="52"/>
      <c r="N333" s="52"/>
      <c r="P333" s="52"/>
      <c r="S333" s="52"/>
    </row>
    <row r="334" ht="15.75" customHeight="1">
      <c r="C334" s="52"/>
      <c r="H334" s="52"/>
      <c r="N334" s="52"/>
      <c r="P334" s="52"/>
      <c r="S334" s="52"/>
    </row>
    <row r="335" ht="15.75" customHeight="1">
      <c r="C335" s="52"/>
      <c r="H335" s="52"/>
      <c r="N335" s="52"/>
      <c r="P335" s="52"/>
      <c r="S335" s="52"/>
    </row>
    <row r="336" ht="15.75" customHeight="1">
      <c r="C336" s="52"/>
      <c r="H336" s="52"/>
      <c r="N336" s="52"/>
      <c r="P336" s="52"/>
      <c r="S336" s="52"/>
    </row>
    <row r="337" ht="15.75" customHeight="1">
      <c r="C337" s="52"/>
      <c r="H337" s="52"/>
      <c r="N337" s="52"/>
      <c r="P337" s="52"/>
      <c r="S337" s="52"/>
    </row>
    <row r="338" ht="15.75" customHeight="1">
      <c r="C338" s="52"/>
      <c r="H338" s="52"/>
      <c r="N338" s="52"/>
      <c r="P338" s="52"/>
      <c r="S338" s="52"/>
    </row>
    <row r="339" ht="15.75" customHeight="1">
      <c r="C339" s="52"/>
      <c r="H339" s="52"/>
      <c r="N339" s="52"/>
      <c r="P339" s="52"/>
      <c r="S339" s="52"/>
    </row>
    <row r="340" ht="15.75" customHeight="1">
      <c r="C340" s="52"/>
      <c r="H340" s="52"/>
      <c r="N340" s="52"/>
      <c r="P340" s="52"/>
      <c r="S340" s="52"/>
    </row>
    <row r="341" ht="15.75" customHeight="1">
      <c r="C341" s="52"/>
      <c r="H341" s="52"/>
      <c r="N341" s="52"/>
      <c r="P341" s="52"/>
      <c r="S341" s="52"/>
    </row>
    <row r="342" ht="15.75" customHeight="1">
      <c r="C342" s="52"/>
      <c r="H342" s="52"/>
      <c r="N342" s="52"/>
      <c r="P342" s="52"/>
      <c r="S342" s="52"/>
    </row>
    <row r="343" ht="15.75" customHeight="1">
      <c r="C343" s="52"/>
      <c r="H343" s="52"/>
      <c r="N343" s="52"/>
      <c r="P343" s="52"/>
      <c r="S343" s="52"/>
    </row>
    <row r="344" ht="15.75" customHeight="1">
      <c r="C344" s="52"/>
      <c r="H344" s="52"/>
      <c r="N344" s="52"/>
      <c r="P344" s="52"/>
      <c r="S344" s="52"/>
    </row>
    <row r="345" ht="15.75" customHeight="1">
      <c r="C345" s="52"/>
      <c r="H345" s="52"/>
      <c r="N345" s="52"/>
      <c r="P345" s="52"/>
      <c r="S345" s="52"/>
    </row>
    <row r="346" ht="15.75" customHeight="1">
      <c r="C346" s="52"/>
      <c r="H346" s="52"/>
      <c r="N346" s="52"/>
      <c r="P346" s="52"/>
      <c r="S346" s="52"/>
    </row>
    <row r="347" ht="15.75" customHeight="1">
      <c r="C347" s="52"/>
      <c r="H347" s="52"/>
      <c r="N347" s="52"/>
      <c r="P347" s="52"/>
      <c r="S347" s="52"/>
    </row>
    <row r="348" ht="15.75" customHeight="1">
      <c r="C348" s="52"/>
      <c r="H348" s="52"/>
      <c r="N348" s="52"/>
      <c r="P348" s="52"/>
      <c r="S348" s="52"/>
    </row>
    <row r="349" ht="15.75" customHeight="1">
      <c r="C349" s="52"/>
      <c r="H349" s="52"/>
      <c r="N349" s="52"/>
      <c r="P349" s="52"/>
      <c r="S349" s="52"/>
    </row>
    <row r="350" ht="15.75" customHeight="1">
      <c r="C350" s="52"/>
      <c r="H350" s="52"/>
      <c r="N350" s="52"/>
      <c r="P350" s="52"/>
      <c r="S350" s="52"/>
    </row>
    <row r="351" ht="15.75" customHeight="1">
      <c r="C351" s="52"/>
      <c r="H351" s="52"/>
      <c r="N351" s="52"/>
      <c r="P351" s="52"/>
      <c r="S351" s="52"/>
    </row>
    <row r="352" ht="15.75" customHeight="1">
      <c r="C352" s="52"/>
      <c r="H352" s="52"/>
      <c r="N352" s="52"/>
      <c r="P352" s="52"/>
      <c r="S352" s="52"/>
    </row>
    <row r="353" ht="15.75" customHeight="1">
      <c r="C353" s="52"/>
      <c r="H353" s="52"/>
      <c r="N353" s="52"/>
      <c r="P353" s="52"/>
      <c r="S353" s="52"/>
    </row>
    <row r="354" ht="15.75" customHeight="1">
      <c r="C354" s="52"/>
      <c r="H354" s="52"/>
      <c r="N354" s="52"/>
      <c r="P354" s="52"/>
      <c r="S354" s="52"/>
    </row>
    <row r="355" ht="15.75" customHeight="1">
      <c r="C355" s="52"/>
      <c r="H355" s="52"/>
      <c r="N355" s="52"/>
      <c r="P355" s="52"/>
      <c r="S355" s="52"/>
    </row>
    <row r="356" ht="15.75" customHeight="1">
      <c r="C356" s="52"/>
      <c r="H356" s="52"/>
      <c r="N356" s="52"/>
      <c r="P356" s="52"/>
      <c r="S356" s="52"/>
    </row>
    <row r="357" ht="15.75" customHeight="1">
      <c r="C357" s="52"/>
      <c r="H357" s="52"/>
      <c r="N357" s="52"/>
      <c r="P357" s="52"/>
      <c r="S357" s="52"/>
    </row>
    <row r="358" ht="15.75" customHeight="1">
      <c r="C358" s="52"/>
      <c r="H358" s="52"/>
      <c r="N358" s="52"/>
      <c r="P358" s="52"/>
      <c r="S358" s="52"/>
    </row>
    <row r="359" ht="15.75" customHeight="1">
      <c r="C359" s="52"/>
      <c r="H359" s="52"/>
      <c r="N359" s="52"/>
      <c r="P359" s="52"/>
      <c r="S359" s="52"/>
    </row>
    <row r="360" ht="15.75" customHeight="1">
      <c r="C360" s="52"/>
      <c r="H360" s="52"/>
      <c r="N360" s="52"/>
      <c r="P360" s="52"/>
      <c r="S360" s="52"/>
    </row>
    <row r="361" ht="15.75" customHeight="1">
      <c r="C361" s="52"/>
      <c r="H361" s="52"/>
      <c r="N361" s="52"/>
      <c r="P361" s="52"/>
      <c r="S361" s="52"/>
    </row>
    <row r="362" ht="15.75" customHeight="1">
      <c r="C362" s="52"/>
      <c r="H362" s="52"/>
      <c r="N362" s="52"/>
      <c r="P362" s="52"/>
      <c r="S362" s="52"/>
    </row>
    <row r="363" ht="15.75" customHeight="1">
      <c r="C363" s="52"/>
      <c r="H363" s="52"/>
      <c r="N363" s="52"/>
      <c r="P363" s="52"/>
      <c r="S363" s="52"/>
    </row>
    <row r="364" ht="15.75" customHeight="1">
      <c r="C364" s="52"/>
      <c r="H364" s="52"/>
      <c r="N364" s="52"/>
      <c r="P364" s="52"/>
      <c r="S364" s="52"/>
    </row>
    <row r="365" ht="15.75" customHeight="1">
      <c r="C365" s="52"/>
      <c r="H365" s="52"/>
      <c r="N365" s="52"/>
      <c r="P365" s="52"/>
      <c r="S365" s="52"/>
    </row>
    <row r="366" ht="15.75" customHeight="1">
      <c r="C366" s="52"/>
      <c r="H366" s="52"/>
      <c r="N366" s="52"/>
      <c r="P366" s="52"/>
      <c r="S366" s="52"/>
    </row>
    <row r="367" ht="15.75" customHeight="1">
      <c r="C367" s="52"/>
      <c r="H367" s="52"/>
      <c r="N367" s="52"/>
      <c r="P367" s="52"/>
      <c r="S367" s="52"/>
    </row>
    <row r="368" ht="15.75" customHeight="1">
      <c r="C368" s="52"/>
      <c r="H368" s="52"/>
      <c r="N368" s="52"/>
      <c r="P368" s="52"/>
      <c r="S368" s="52"/>
    </row>
    <row r="369" ht="15.75" customHeight="1">
      <c r="C369" s="52"/>
      <c r="H369" s="52"/>
      <c r="N369" s="52"/>
      <c r="P369" s="52"/>
      <c r="S369" s="52"/>
    </row>
    <row r="370" ht="15.75" customHeight="1">
      <c r="C370" s="52"/>
      <c r="H370" s="52"/>
      <c r="N370" s="52"/>
      <c r="P370" s="52"/>
      <c r="S370" s="52"/>
    </row>
    <row r="371" ht="15.75" customHeight="1">
      <c r="C371" s="52"/>
      <c r="H371" s="52"/>
      <c r="N371" s="52"/>
      <c r="P371" s="52"/>
      <c r="S371" s="52"/>
    </row>
    <row r="372" ht="15.75" customHeight="1">
      <c r="C372" s="52"/>
      <c r="H372" s="52"/>
      <c r="N372" s="52"/>
      <c r="P372" s="52"/>
      <c r="S372" s="52"/>
    </row>
    <row r="373" ht="15.75" customHeight="1">
      <c r="C373" s="52"/>
      <c r="H373" s="52"/>
      <c r="N373" s="52"/>
      <c r="P373" s="52"/>
      <c r="S373" s="52"/>
    </row>
    <row r="374" ht="15.75" customHeight="1">
      <c r="C374" s="52"/>
      <c r="H374" s="52"/>
      <c r="N374" s="52"/>
      <c r="P374" s="52"/>
      <c r="S374" s="52"/>
    </row>
    <row r="375" ht="15.75" customHeight="1">
      <c r="C375" s="52"/>
      <c r="H375" s="52"/>
      <c r="N375" s="52"/>
      <c r="P375" s="52"/>
      <c r="S375" s="52"/>
    </row>
    <row r="376" ht="15.75" customHeight="1">
      <c r="C376" s="52"/>
      <c r="H376" s="52"/>
      <c r="N376" s="52"/>
      <c r="P376" s="52"/>
      <c r="S376" s="52"/>
    </row>
    <row r="377" ht="15.75" customHeight="1">
      <c r="C377" s="52"/>
      <c r="H377" s="52"/>
      <c r="N377" s="52"/>
      <c r="P377" s="52"/>
      <c r="S377" s="52"/>
    </row>
    <row r="378" ht="15.75" customHeight="1">
      <c r="C378" s="52"/>
      <c r="H378" s="52"/>
      <c r="N378" s="52"/>
      <c r="P378" s="52"/>
      <c r="S378" s="52"/>
    </row>
    <row r="379" ht="15.75" customHeight="1">
      <c r="C379" s="52"/>
      <c r="H379" s="52"/>
      <c r="N379" s="52"/>
      <c r="P379" s="52"/>
      <c r="S379" s="52"/>
    </row>
    <row r="380" ht="15.75" customHeight="1">
      <c r="C380" s="52"/>
      <c r="H380" s="52"/>
      <c r="N380" s="52"/>
      <c r="P380" s="52"/>
      <c r="S380" s="52"/>
    </row>
    <row r="381" ht="15.75" customHeight="1">
      <c r="C381" s="52"/>
      <c r="H381" s="52"/>
      <c r="N381" s="52"/>
      <c r="P381" s="52"/>
      <c r="S381" s="52"/>
    </row>
    <row r="382" ht="15.75" customHeight="1">
      <c r="C382" s="52"/>
      <c r="H382" s="52"/>
      <c r="N382" s="52"/>
      <c r="P382" s="52"/>
      <c r="S382" s="52"/>
    </row>
    <row r="383" ht="15.75" customHeight="1">
      <c r="C383" s="52"/>
      <c r="H383" s="52"/>
      <c r="N383" s="52"/>
      <c r="P383" s="52"/>
      <c r="S383" s="52"/>
    </row>
    <row r="384" ht="15.75" customHeight="1">
      <c r="C384" s="52"/>
      <c r="H384" s="52"/>
      <c r="N384" s="52"/>
      <c r="P384" s="52"/>
      <c r="S384" s="52"/>
    </row>
    <row r="385" ht="15.75" customHeight="1">
      <c r="C385" s="52"/>
      <c r="H385" s="52"/>
      <c r="N385" s="52"/>
      <c r="P385" s="52"/>
      <c r="S385" s="52"/>
    </row>
    <row r="386" ht="15.75" customHeight="1">
      <c r="C386" s="52"/>
      <c r="H386" s="52"/>
      <c r="N386" s="52"/>
      <c r="P386" s="52"/>
      <c r="S386" s="52"/>
    </row>
    <row r="387" ht="15.75" customHeight="1">
      <c r="C387" s="52"/>
      <c r="H387" s="52"/>
      <c r="N387" s="52"/>
      <c r="P387" s="52"/>
      <c r="S387" s="52"/>
    </row>
    <row r="388" ht="15.75" customHeight="1">
      <c r="C388" s="52"/>
      <c r="H388" s="52"/>
      <c r="N388" s="52"/>
      <c r="P388" s="52"/>
      <c r="S388" s="52"/>
    </row>
    <row r="389" ht="15.75" customHeight="1">
      <c r="C389" s="52"/>
      <c r="H389" s="52"/>
      <c r="N389" s="52"/>
      <c r="P389" s="52"/>
      <c r="S389" s="52"/>
    </row>
    <row r="390" ht="15.75" customHeight="1">
      <c r="C390" s="52"/>
      <c r="H390" s="52"/>
      <c r="N390" s="52"/>
      <c r="P390" s="52"/>
      <c r="S390" s="52"/>
    </row>
    <row r="391" ht="15.75" customHeight="1">
      <c r="C391" s="52"/>
      <c r="H391" s="52"/>
      <c r="N391" s="52"/>
      <c r="P391" s="52"/>
      <c r="S391" s="52"/>
    </row>
    <row r="392" ht="15.75" customHeight="1">
      <c r="C392" s="52"/>
      <c r="H392" s="52"/>
      <c r="N392" s="52"/>
      <c r="P392" s="52"/>
      <c r="S392" s="52"/>
    </row>
    <row r="393" ht="15.75" customHeight="1">
      <c r="C393" s="52"/>
      <c r="H393" s="52"/>
      <c r="N393" s="52"/>
      <c r="P393" s="52"/>
      <c r="S393" s="52"/>
    </row>
    <row r="394" ht="15.75" customHeight="1">
      <c r="C394" s="52"/>
      <c r="H394" s="52"/>
      <c r="N394" s="52"/>
      <c r="P394" s="52"/>
      <c r="S394" s="52"/>
    </row>
    <row r="395" ht="15.75" customHeight="1">
      <c r="C395" s="52"/>
      <c r="H395" s="52"/>
      <c r="N395" s="52"/>
      <c r="P395" s="52"/>
      <c r="S395" s="52"/>
    </row>
    <row r="396" ht="15.75" customHeight="1">
      <c r="C396" s="52"/>
      <c r="H396" s="52"/>
      <c r="N396" s="52"/>
      <c r="P396" s="52"/>
      <c r="S396" s="52"/>
    </row>
    <row r="397" ht="15.75" customHeight="1">
      <c r="C397" s="52"/>
      <c r="H397" s="52"/>
      <c r="N397" s="52"/>
      <c r="P397" s="52"/>
      <c r="S397" s="52"/>
    </row>
    <row r="398" ht="15.75" customHeight="1">
      <c r="C398" s="52"/>
      <c r="H398" s="52"/>
      <c r="N398" s="52"/>
      <c r="P398" s="52"/>
      <c r="S398" s="52"/>
    </row>
    <row r="399" ht="15.75" customHeight="1">
      <c r="C399" s="52"/>
      <c r="H399" s="52"/>
      <c r="N399" s="52"/>
      <c r="P399" s="52"/>
      <c r="S399" s="52"/>
    </row>
    <row r="400" ht="15.75" customHeight="1">
      <c r="C400" s="52"/>
      <c r="H400" s="52"/>
      <c r="N400" s="52"/>
      <c r="P400" s="52"/>
      <c r="S400" s="52"/>
    </row>
    <row r="401" ht="15.75" customHeight="1">
      <c r="C401" s="52"/>
      <c r="H401" s="52"/>
      <c r="N401" s="52"/>
      <c r="P401" s="52"/>
      <c r="S401" s="52"/>
    </row>
    <row r="402" ht="15.75" customHeight="1">
      <c r="C402" s="52"/>
      <c r="H402" s="52"/>
      <c r="N402" s="52"/>
      <c r="P402" s="52"/>
      <c r="S402" s="52"/>
    </row>
    <row r="403" ht="15.75" customHeight="1">
      <c r="C403" s="52"/>
      <c r="H403" s="52"/>
      <c r="N403" s="52"/>
      <c r="P403" s="52"/>
      <c r="S403" s="52"/>
    </row>
    <row r="404" ht="15.75" customHeight="1">
      <c r="C404" s="52"/>
      <c r="H404" s="52"/>
      <c r="N404" s="52"/>
      <c r="P404" s="52"/>
      <c r="S404" s="52"/>
    </row>
    <row r="405" ht="15.75" customHeight="1">
      <c r="C405" s="52"/>
      <c r="H405" s="52"/>
      <c r="N405" s="52"/>
      <c r="P405" s="52"/>
      <c r="S405" s="52"/>
    </row>
    <row r="406" ht="15.75" customHeight="1">
      <c r="C406" s="52"/>
      <c r="H406" s="52"/>
      <c r="N406" s="52"/>
      <c r="P406" s="52"/>
      <c r="S406" s="52"/>
    </row>
    <row r="407" ht="15.75" customHeight="1">
      <c r="C407" s="52"/>
      <c r="H407" s="52"/>
      <c r="N407" s="52"/>
      <c r="P407" s="52"/>
      <c r="S407" s="52"/>
    </row>
    <row r="408" ht="15.75" customHeight="1">
      <c r="C408" s="52"/>
      <c r="H408" s="52"/>
      <c r="N408" s="52"/>
      <c r="P408" s="52"/>
      <c r="S408" s="52"/>
    </row>
    <row r="409" ht="15.75" customHeight="1">
      <c r="C409" s="52"/>
      <c r="H409" s="52"/>
      <c r="N409" s="52"/>
      <c r="P409" s="52"/>
      <c r="S409" s="52"/>
    </row>
    <row r="410" ht="15.75" customHeight="1">
      <c r="C410" s="52"/>
      <c r="H410" s="52"/>
      <c r="N410" s="52"/>
      <c r="P410" s="52"/>
      <c r="S410" s="52"/>
    </row>
    <row r="411" ht="15.75" customHeight="1">
      <c r="C411" s="52"/>
      <c r="H411" s="52"/>
      <c r="N411" s="52"/>
      <c r="P411" s="52"/>
      <c r="S411" s="52"/>
    </row>
    <row r="412" ht="15.75" customHeight="1">
      <c r="C412" s="52"/>
      <c r="H412" s="52"/>
      <c r="N412" s="52"/>
      <c r="P412" s="52"/>
      <c r="S412" s="52"/>
    </row>
    <row r="413" ht="15.75" customHeight="1">
      <c r="C413" s="52"/>
      <c r="H413" s="52"/>
      <c r="N413" s="52"/>
      <c r="P413" s="52"/>
      <c r="S413" s="52"/>
    </row>
    <row r="414" ht="15.75" customHeight="1">
      <c r="C414" s="52"/>
      <c r="H414" s="52"/>
      <c r="N414" s="52"/>
      <c r="P414" s="52"/>
      <c r="S414" s="52"/>
    </row>
    <row r="415" ht="15.75" customHeight="1">
      <c r="C415" s="52"/>
      <c r="H415" s="52"/>
      <c r="N415" s="52"/>
      <c r="P415" s="52"/>
      <c r="S415" s="52"/>
    </row>
    <row r="416" ht="15.75" customHeight="1">
      <c r="C416" s="52"/>
      <c r="H416" s="52"/>
      <c r="N416" s="52"/>
      <c r="P416" s="52"/>
      <c r="S416" s="52"/>
    </row>
    <row r="417" ht="15.75" customHeight="1">
      <c r="C417" s="52"/>
      <c r="H417" s="52"/>
      <c r="N417" s="52"/>
      <c r="P417" s="52"/>
      <c r="S417" s="52"/>
    </row>
    <row r="418" ht="15.75" customHeight="1">
      <c r="C418" s="52"/>
      <c r="H418" s="52"/>
      <c r="N418" s="52"/>
      <c r="P418" s="52"/>
      <c r="S418" s="52"/>
    </row>
    <row r="419" ht="15.75" customHeight="1">
      <c r="C419" s="52"/>
      <c r="H419" s="52"/>
      <c r="N419" s="52"/>
      <c r="P419" s="52"/>
      <c r="S419" s="52"/>
    </row>
    <row r="420" ht="15.75" customHeight="1">
      <c r="C420" s="52"/>
      <c r="H420" s="52"/>
      <c r="N420" s="52"/>
      <c r="P420" s="52"/>
      <c r="S420" s="52"/>
    </row>
    <row r="421" ht="15.75" customHeight="1">
      <c r="C421" s="52"/>
      <c r="H421" s="52"/>
      <c r="N421" s="52"/>
      <c r="P421" s="52"/>
      <c r="S421" s="52"/>
    </row>
    <row r="422" ht="15.75" customHeight="1">
      <c r="C422" s="52"/>
      <c r="H422" s="52"/>
      <c r="N422" s="52"/>
      <c r="P422" s="52"/>
      <c r="S422" s="52"/>
    </row>
    <row r="423" ht="15.75" customHeight="1">
      <c r="C423" s="52"/>
      <c r="H423" s="52"/>
      <c r="N423" s="52"/>
      <c r="P423" s="52"/>
      <c r="S423" s="52"/>
    </row>
    <row r="424" ht="15.75" customHeight="1">
      <c r="C424" s="52"/>
      <c r="H424" s="52"/>
      <c r="N424" s="52"/>
      <c r="P424" s="52"/>
      <c r="S424" s="52"/>
    </row>
    <row r="425" ht="15.75" customHeight="1">
      <c r="C425" s="52"/>
      <c r="H425" s="52"/>
      <c r="N425" s="52"/>
      <c r="P425" s="52"/>
      <c r="S425" s="52"/>
    </row>
    <row r="426" ht="15.75" customHeight="1">
      <c r="C426" s="52"/>
      <c r="H426" s="52"/>
      <c r="N426" s="52"/>
      <c r="P426" s="52"/>
      <c r="S426" s="52"/>
    </row>
    <row r="427" ht="15.75" customHeight="1">
      <c r="C427" s="52"/>
      <c r="H427" s="52"/>
      <c r="N427" s="52"/>
      <c r="P427" s="52"/>
      <c r="S427" s="52"/>
    </row>
    <row r="428" ht="15.75" customHeight="1">
      <c r="C428" s="52"/>
      <c r="H428" s="52"/>
      <c r="N428" s="52"/>
      <c r="P428" s="52"/>
      <c r="S428" s="52"/>
    </row>
    <row r="429" ht="15.75" customHeight="1">
      <c r="C429" s="52"/>
      <c r="H429" s="52"/>
      <c r="N429" s="52"/>
      <c r="P429" s="52"/>
      <c r="S429" s="52"/>
    </row>
    <row r="430" ht="15.75" customHeight="1">
      <c r="C430" s="52"/>
      <c r="H430" s="52"/>
      <c r="N430" s="52"/>
      <c r="P430" s="52"/>
      <c r="S430" s="52"/>
    </row>
    <row r="431" ht="15.75" customHeight="1">
      <c r="C431" s="52"/>
      <c r="H431" s="52"/>
      <c r="N431" s="52"/>
      <c r="P431" s="52"/>
      <c r="S431" s="52"/>
    </row>
    <row r="432" ht="15.75" customHeight="1">
      <c r="C432" s="52"/>
      <c r="H432" s="52"/>
      <c r="N432" s="52"/>
      <c r="P432" s="52"/>
      <c r="S432" s="52"/>
    </row>
    <row r="433" ht="15.75" customHeight="1">
      <c r="C433" s="52"/>
      <c r="H433" s="52"/>
      <c r="N433" s="52"/>
      <c r="P433" s="52"/>
      <c r="S433" s="52"/>
    </row>
    <row r="434" ht="15.75" customHeight="1">
      <c r="C434" s="52"/>
      <c r="H434" s="52"/>
      <c r="N434" s="52"/>
      <c r="P434" s="52"/>
      <c r="S434" s="52"/>
    </row>
    <row r="435" ht="15.75" customHeight="1">
      <c r="C435" s="52"/>
      <c r="H435" s="52"/>
      <c r="N435" s="52"/>
      <c r="P435" s="52"/>
      <c r="S435" s="52"/>
    </row>
    <row r="436" ht="15.75" customHeight="1">
      <c r="C436" s="52"/>
      <c r="H436" s="52"/>
      <c r="N436" s="52"/>
      <c r="P436" s="52"/>
      <c r="S436" s="52"/>
    </row>
    <row r="437" ht="15.75" customHeight="1">
      <c r="C437" s="52"/>
      <c r="H437" s="52"/>
      <c r="N437" s="52"/>
      <c r="P437" s="52"/>
      <c r="S437" s="52"/>
    </row>
    <row r="438" ht="15.75" customHeight="1">
      <c r="C438" s="52"/>
      <c r="H438" s="52"/>
      <c r="N438" s="52"/>
      <c r="P438" s="52"/>
      <c r="S438" s="52"/>
    </row>
    <row r="439" ht="15.75" customHeight="1">
      <c r="C439" s="52"/>
      <c r="H439" s="52"/>
      <c r="N439" s="52"/>
      <c r="P439" s="52"/>
      <c r="S439" s="52"/>
    </row>
    <row r="440" ht="15.75" customHeight="1">
      <c r="C440" s="52"/>
      <c r="H440" s="52"/>
      <c r="N440" s="52"/>
      <c r="P440" s="52"/>
      <c r="S440" s="52"/>
    </row>
    <row r="441" ht="15.75" customHeight="1">
      <c r="C441" s="52"/>
      <c r="H441" s="52"/>
      <c r="N441" s="52"/>
      <c r="P441" s="52"/>
      <c r="S441" s="52"/>
    </row>
    <row r="442" ht="15.75" customHeight="1">
      <c r="C442" s="52"/>
      <c r="H442" s="52"/>
      <c r="N442" s="52"/>
      <c r="P442" s="52"/>
      <c r="S442" s="52"/>
    </row>
    <row r="443" ht="15.75" customHeight="1">
      <c r="C443" s="52"/>
      <c r="H443" s="52"/>
      <c r="N443" s="52"/>
      <c r="P443" s="52"/>
      <c r="S443" s="52"/>
    </row>
    <row r="444" ht="15.75" customHeight="1">
      <c r="C444" s="52"/>
      <c r="H444" s="52"/>
      <c r="N444" s="52"/>
      <c r="P444" s="52"/>
      <c r="S444" s="52"/>
    </row>
    <row r="445" ht="15.75" customHeight="1">
      <c r="C445" s="52"/>
      <c r="H445" s="52"/>
      <c r="N445" s="52"/>
      <c r="P445" s="52"/>
      <c r="S445" s="52"/>
    </row>
    <row r="446" ht="15.75" customHeight="1">
      <c r="C446" s="52"/>
      <c r="H446" s="52"/>
      <c r="N446" s="52"/>
      <c r="P446" s="52"/>
      <c r="S446" s="52"/>
    </row>
    <row r="447" ht="15.75" customHeight="1">
      <c r="C447" s="52"/>
      <c r="H447" s="52"/>
      <c r="N447" s="52"/>
      <c r="P447" s="52"/>
      <c r="S447" s="52"/>
    </row>
    <row r="448" ht="15.75" customHeight="1">
      <c r="C448" s="52"/>
      <c r="H448" s="52"/>
      <c r="N448" s="52"/>
      <c r="P448" s="52"/>
      <c r="S448" s="52"/>
    </row>
    <row r="449" ht="15.75" customHeight="1">
      <c r="C449" s="52"/>
      <c r="H449" s="52"/>
      <c r="N449" s="52"/>
      <c r="P449" s="52"/>
      <c r="S449" s="52"/>
    </row>
    <row r="450" ht="15.75" customHeight="1">
      <c r="C450" s="52"/>
      <c r="H450" s="52"/>
      <c r="N450" s="52"/>
      <c r="P450" s="52"/>
      <c r="S450" s="52"/>
    </row>
    <row r="451" ht="15.75" customHeight="1">
      <c r="C451" s="52"/>
      <c r="H451" s="52"/>
      <c r="N451" s="52"/>
      <c r="P451" s="52"/>
      <c r="S451" s="52"/>
    </row>
    <row r="452" ht="15.75" customHeight="1">
      <c r="C452" s="52"/>
      <c r="H452" s="52"/>
      <c r="N452" s="52"/>
      <c r="P452" s="52"/>
      <c r="S452" s="52"/>
    </row>
    <row r="453" ht="15.75" customHeight="1">
      <c r="C453" s="52"/>
      <c r="H453" s="52"/>
      <c r="N453" s="52"/>
      <c r="P453" s="52"/>
      <c r="S453" s="52"/>
    </row>
    <row r="454" ht="15.75" customHeight="1">
      <c r="C454" s="52"/>
      <c r="H454" s="52"/>
      <c r="N454" s="52"/>
      <c r="P454" s="52"/>
      <c r="S454" s="52"/>
    </row>
    <row r="455" ht="15.75" customHeight="1">
      <c r="C455" s="52"/>
      <c r="H455" s="52"/>
      <c r="N455" s="52"/>
      <c r="P455" s="52"/>
      <c r="S455" s="52"/>
    </row>
    <row r="456" ht="15.75" customHeight="1">
      <c r="C456" s="52"/>
      <c r="H456" s="52"/>
      <c r="N456" s="52"/>
      <c r="P456" s="52"/>
      <c r="S456" s="52"/>
    </row>
    <row r="457" ht="15.75" customHeight="1">
      <c r="C457" s="52"/>
      <c r="H457" s="52"/>
      <c r="N457" s="52"/>
      <c r="P457" s="52"/>
      <c r="S457" s="52"/>
    </row>
    <row r="458" ht="15.75" customHeight="1">
      <c r="C458" s="52"/>
      <c r="H458" s="52"/>
      <c r="N458" s="52"/>
      <c r="P458" s="52"/>
      <c r="S458" s="52"/>
    </row>
    <row r="459" ht="15.75" customHeight="1">
      <c r="C459" s="52"/>
      <c r="H459" s="52"/>
      <c r="N459" s="52"/>
      <c r="P459" s="52"/>
      <c r="S459" s="52"/>
    </row>
    <row r="460" ht="15.75" customHeight="1">
      <c r="C460" s="52"/>
      <c r="H460" s="52"/>
      <c r="N460" s="52"/>
      <c r="P460" s="52"/>
      <c r="S460" s="52"/>
    </row>
    <row r="461" ht="15.75" customHeight="1">
      <c r="C461" s="52"/>
      <c r="H461" s="52"/>
      <c r="N461" s="52"/>
      <c r="P461" s="52"/>
      <c r="S461" s="52"/>
    </row>
    <row r="462" ht="15.75" customHeight="1">
      <c r="C462" s="52"/>
      <c r="H462" s="52"/>
      <c r="N462" s="52"/>
      <c r="P462" s="52"/>
      <c r="S462" s="52"/>
    </row>
    <row r="463" ht="15.75" customHeight="1">
      <c r="C463" s="52"/>
      <c r="H463" s="52"/>
      <c r="N463" s="52"/>
      <c r="P463" s="52"/>
      <c r="S463" s="52"/>
    </row>
    <row r="464" ht="15.75" customHeight="1">
      <c r="C464" s="52"/>
      <c r="H464" s="52"/>
      <c r="N464" s="52"/>
      <c r="P464" s="52"/>
      <c r="S464" s="52"/>
    </row>
    <row r="465" ht="15.75" customHeight="1">
      <c r="C465" s="52"/>
      <c r="H465" s="52"/>
      <c r="N465" s="52"/>
      <c r="P465" s="52"/>
      <c r="S465" s="52"/>
    </row>
    <row r="466" ht="15.75" customHeight="1">
      <c r="C466" s="52"/>
      <c r="H466" s="52"/>
      <c r="N466" s="52"/>
      <c r="P466" s="52"/>
      <c r="S466" s="52"/>
    </row>
    <row r="467" ht="15.75" customHeight="1">
      <c r="C467" s="52"/>
      <c r="H467" s="52"/>
      <c r="N467" s="52"/>
      <c r="P467" s="52"/>
      <c r="S467" s="52"/>
    </row>
    <row r="468" ht="15.75" customHeight="1">
      <c r="C468" s="52"/>
      <c r="H468" s="52"/>
      <c r="N468" s="52"/>
      <c r="P468" s="52"/>
      <c r="S468" s="52"/>
    </row>
    <row r="469" ht="15.75" customHeight="1">
      <c r="C469" s="52"/>
      <c r="H469" s="52"/>
      <c r="N469" s="52"/>
      <c r="P469" s="52"/>
      <c r="S469" s="52"/>
    </row>
    <row r="470" ht="15.75" customHeight="1">
      <c r="C470" s="52"/>
      <c r="H470" s="52"/>
      <c r="N470" s="52"/>
      <c r="P470" s="52"/>
      <c r="S470" s="52"/>
    </row>
    <row r="471" ht="15.75" customHeight="1">
      <c r="C471" s="52"/>
      <c r="H471" s="52"/>
      <c r="N471" s="52"/>
      <c r="P471" s="52"/>
      <c r="S471" s="52"/>
    </row>
    <row r="472" ht="15.75" customHeight="1">
      <c r="C472" s="52"/>
      <c r="H472" s="52"/>
      <c r="N472" s="52"/>
      <c r="P472" s="52"/>
      <c r="S472" s="52"/>
    </row>
    <row r="473" ht="15.75" customHeight="1">
      <c r="C473" s="52"/>
      <c r="H473" s="52"/>
      <c r="N473" s="52"/>
      <c r="P473" s="52"/>
      <c r="S473" s="52"/>
    </row>
    <row r="474" ht="15.75" customHeight="1">
      <c r="C474" s="52"/>
      <c r="H474" s="52"/>
      <c r="N474" s="52"/>
      <c r="P474" s="52"/>
      <c r="S474" s="52"/>
    </row>
    <row r="475" ht="15.75" customHeight="1">
      <c r="C475" s="52"/>
      <c r="H475" s="52"/>
      <c r="N475" s="52"/>
      <c r="P475" s="52"/>
      <c r="S475" s="52"/>
    </row>
    <row r="476" ht="15.75" customHeight="1">
      <c r="C476" s="52"/>
      <c r="H476" s="52"/>
      <c r="N476" s="52"/>
      <c r="P476" s="52"/>
      <c r="S476" s="52"/>
    </row>
    <row r="477" ht="15.75" customHeight="1">
      <c r="C477" s="52"/>
      <c r="H477" s="52"/>
      <c r="N477" s="52"/>
      <c r="P477" s="52"/>
      <c r="S477" s="52"/>
    </row>
    <row r="478" ht="15.75" customHeight="1">
      <c r="C478" s="52"/>
      <c r="H478" s="52"/>
      <c r="N478" s="52"/>
      <c r="P478" s="52"/>
      <c r="S478" s="52"/>
    </row>
    <row r="479" ht="15.75" customHeight="1">
      <c r="C479" s="52"/>
      <c r="H479" s="52"/>
      <c r="N479" s="52"/>
      <c r="P479" s="52"/>
      <c r="S479" s="52"/>
    </row>
    <row r="480" ht="15.75" customHeight="1">
      <c r="C480" s="52"/>
      <c r="H480" s="52"/>
      <c r="N480" s="52"/>
      <c r="P480" s="52"/>
      <c r="S480" s="52"/>
    </row>
    <row r="481" ht="15.75" customHeight="1">
      <c r="C481" s="52"/>
      <c r="H481" s="52"/>
      <c r="N481" s="52"/>
      <c r="P481" s="52"/>
      <c r="S481" s="52"/>
    </row>
    <row r="482" ht="15.75" customHeight="1">
      <c r="C482" s="52"/>
      <c r="H482" s="52"/>
      <c r="N482" s="52"/>
      <c r="P482" s="52"/>
      <c r="S482" s="52"/>
    </row>
    <row r="483" ht="15.75" customHeight="1">
      <c r="C483" s="52"/>
      <c r="H483" s="52"/>
      <c r="N483" s="52"/>
      <c r="P483" s="52"/>
      <c r="S483" s="52"/>
    </row>
    <row r="484" ht="15.75" customHeight="1">
      <c r="C484" s="52"/>
      <c r="H484" s="52"/>
      <c r="N484" s="52"/>
      <c r="P484" s="52"/>
      <c r="S484" s="52"/>
    </row>
    <row r="485" ht="15.75" customHeight="1">
      <c r="C485" s="52"/>
      <c r="H485" s="52"/>
      <c r="N485" s="52"/>
      <c r="P485" s="52"/>
      <c r="S485" s="52"/>
    </row>
    <row r="486" ht="15.75" customHeight="1">
      <c r="C486" s="52"/>
      <c r="H486" s="52"/>
      <c r="N486" s="52"/>
      <c r="P486" s="52"/>
      <c r="S486" s="52"/>
    </row>
    <row r="487" ht="15.75" customHeight="1">
      <c r="C487" s="52"/>
      <c r="H487" s="52"/>
      <c r="N487" s="52"/>
      <c r="P487" s="52"/>
      <c r="S487" s="52"/>
    </row>
    <row r="488" ht="15.75" customHeight="1">
      <c r="C488" s="52"/>
      <c r="H488" s="52"/>
      <c r="N488" s="52"/>
      <c r="P488" s="52"/>
      <c r="S488" s="52"/>
    </row>
    <row r="489" ht="15.75" customHeight="1">
      <c r="C489" s="52"/>
      <c r="H489" s="52"/>
      <c r="N489" s="52"/>
      <c r="P489" s="52"/>
      <c r="S489" s="52"/>
    </row>
    <row r="490" ht="15.75" customHeight="1">
      <c r="C490" s="52"/>
      <c r="H490" s="52"/>
      <c r="N490" s="52"/>
      <c r="P490" s="52"/>
      <c r="S490" s="52"/>
    </row>
    <row r="491" ht="15.75" customHeight="1">
      <c r="C491" s="52"/>
      <c r="H491" s="52"/>
      <c r="N491" s="52"/>
      <c r="P491" s="52"/>
      <c r="S491" s="52"/>
    </row>
    <row r="492" ht="15.75" customHeight="1">
      <c r="C492" s="52"/>
      <c r="H492" s="52"/>
      <c r="N492" s="52"/>
      <c r="P492" s="52"/>
      <c r="S492" s="52"/>
    </row>
    <row r="493" ht="15.75" customHeight="1">
      <c r="C493" s="52"/>
      <c r="H493" s="52"/>
      <c r="N493" s="52"/>
      <c r="P493" s="52"/>
      <c r="S493" s="52"/>
    </row>
    <row r="494" ht="15.75" customHeight="1">
      <c r="C494" s="52"/>
      <c r="H494" s="52"/>
      <c r="N494" s="52"/>
      <c r="P494" s="52"/>
      <c r="S494" s="52"/>
    </row>
    <row r="495" ht="15.75" customHeight="1">
      <c r="C495" s="52"/>
      <c r="H495" s="52"/>
      <c r="N495" s="52"/>
      <c r="P495" s="52"/>
      <c r="S495" s="52"/>
    </row>
    <row r="496" ht="15.75" customHeight="1">
      <c r="C496" s="52"/>
      <c r="H496" s="52"/>
      <c r="N496" s="52"/>
      <c r="P496" s="52"/>
      <c r="S496" s="52"/>
    </row>
    <row r="497" ht="15.75" customHeight="1">
      <c r="C497" s="52"/>
      <c r="H497" s="52"/>
      <c r="N497" s="52"/>
      <c r="P497" s="52"/>
      <c r="S497" s="52"/>
    </row>
    <row r="498" ht="15.75" customHeight="1">
      <c r="C498" s="52"/>
      <c r="H498" s="52"/>
      <c r="N498" s="52"/>
      <c r="P498" s="52"/>
      <c r="S498" s="52"/>
    </row>
    <row r="499" ht="15.75" customHeight="1">
      <c r="C499" s="52"/>
      <c r="H499" s="52"/>
      <c r="N499" s="52"/>
      <c r="P499" s="52"/>
      <c r="S499" s="52"/>
    </row>
    <row r="500" ht="15.75" customHeight="1">
      <c r="C500" s="52"/>
      <c r="H500" s="52"/>
      <c r="N500" s="52"/>
      <c r="P500" s="52"/>
      <c r="S500" s="52"/>
    </row>
    <row r="501" ht="15.75" customHeight="1">
      <c r="C501" s="52"/>
      <c r="H501" s="52"/>
      <c r="N501" s="52"/>
      <c r="P501" s="52"/>
      <c r="S501" s="52"/>
    </row>
    <row r="502" ht="15.75" customHeight="1">
      <c r="C502" s="52"/>
      <c r="H502" s="52"/>
      <c r="N502" s="52"/>
      <c r="P502" s="52"/>
      <c r="S502" s="52"/>
    </row>
    <row r="503" ht="15.75" customHeight="1">
      <c r="C503" s="52"/>
      <c r="H503" s="52"/>
      <c r="N503" s="52"/>
      <c r="P503" s="52"/>
      <c r="S503" s="52"/>
    </row>
    <row r="504" ht="15.75" customHeight="1">
      <c r="C504" s="52"/>
      <c r="H504" s="52"/>
      <c r="N504" s="52"/>
      <c r="P504" s="52"/>
      <c r="S504" s="52"/>
    </row>
    <row r="505" ht="15.75" customHeight="1">
      <c r="C505" s="52"/>
      <c r="H505" s="52"/>
      <c r="N505" s="52"/>
      <c r="P505" s="52"/>
      <c r="S505" s="52"/>
    </row>
    <row r="506" ht="15.75" customHeight="1">
      <c r="C506" s="52"/>
      <c r="H506" s="52"/>
      <c r="N506" s="52"/>
      <c r="P506" s="52"/>
      <c r="S506" s="52"/>
    </row>
    <row r="507" ht="15.75" customHeight="1">
      <c r="C507" s="52"/>
      <c r="H507" s="52"/>
      <c r="N507" s="52"/>
      <c r="P507" s="52"/>
      <c r="S507" s="52"/>
    </row>
    <row r="508" ht="15.75" customHeight="1">
      <c r="C508" s="52"/>
      <c r="H508" s="52"/>
      <c r="N508" s="52"/>
      <c r="P508" s="52"/>
      <c r="S508" s="52"/>
    </row>
    <row r="509" ht="15.75" customHeight="1">
      <c r="C509" s="52"/>
      <c r="H509" s="52"/>
      <c r="N509" s="52"/>
      <c r="P509" s="52"/>
      <c r="S509" s="52"/>
    </row>
    <row r="510" ht="15.75" customHeight="1">
      <c r="C510" s="52"/>
      <c r="H510" s="52"/>
      <c r="N510" s="52"/>
      <c r="P510" s="52"/>
      <c r="S510" s="52"/>
    </row>
    <row r="511" ht="15.75" customHeight="1">
      <c r="C511" s="52"/>
      <c r="H511" s="52"/>
      <c r="N511" s="52"/>
      <c r="P511" s="52"/>
      <c r="S511" s="52"/>
    </row>
    <row r="512" ht="15.75" customHeight="1">
      <c r="C512" s="52"/>
      <c r="H512" s="52"/>
      <c r="N512" s="52"/>
      <c r="P512" s="52"/>
      <c r="S512" s="52"/>
    </row>
    <row r="513" ht="15.75" customHeight="1">
      <c r="C513" s="52"/>
      <c r="H513" s="52"/>
      <c r="N513" s="52"/>
      <c r="P513" s="52"/>
      <c r="S513" s="52"/>
    </row>
    <row r="514" ht="15.75" customHeight="1">
      <c r="C514" s="52"/>
      <c r="H514" s="52"/>
      <c r="N514" s="52"/>
      <c r="P514" s="52"/>
      <c r="S514" s="52"/>
    </row>
    <row r="515" ht="15.75" customHeight="1">
      <c r="C515" s="52"/>
      <c r="H515" s="52"/>
      <c r="N515" s="52"/>
      <c r="P515" s="52"/>
      <c r="S515" s="52"/>
    </row>
    <row r="516" ht="15.75" customHeight="1">
      <c r="C516" s="52"/>
      <c r="H516" s="52"/>
      <c r="N516" s="52"/>
      <c r="P516" s="52"/>
      <c r="S516" s="52"/>
    </row>
    <row r="517" ht="15.75" customHeight="1">
      <c r="C517" s="52"/>
      <c r="H517" s="52"/>
      <c r="N517" s="52"/>
      <c r="P517" s="52"/>
      <c r="S517" s="52"/>
    </row>
    <row r="518" ht="15.75" customHeight="1">
      <c r="C518" s="52"/>
      <c r="H518" s="52"/>
      <c r="N518" s="52"/>
      <c r="P518" s="52"/>
      <c r="S518" s="52"/>
    </row>
    <row r="519" ht="15.75" customHeight="1">
      <c r="C519" s="52"/>
      <c r="H519" s="52"/>
      <c r="N519" s="52"/>
      <c r="P519" s="52"/>
      <c r="S519" s="52"/>
    </row>
    <row r="520" ht="15.75" customHeight="1">
      <c r="C520" s="52"/>
      <c r="H520" s="52"/>
      <c r="N520" s="52"/>
      <c r="P520" s="52"/>
      <c r="S520" s="52"/>
    </row>
    <row r="521" ht="15.75" customHeight="1">
      <c r="C521" s="52"/>
      <c r="H521" s="52"/>
      <c r="N521" s="52"/>
      <c r="P521" s="52"/>
      <c r="S521" s="52"/>
    </row>
    <row r="522" ht="15.75" customHeight="1">
      <c r="C522" s="52"/>
      <c r="H522" s="52"/>
      <c r="N522" s="52"/>
      <c r="P522" s="52"/>
      <c r="S522" s="52"/>
    </row>
    <row r="523" ht="15.75" customHeight="1">
      <c r="C523" s="52"/>
      <c r="H523" s="52"/>
      <c r="N523" s="52"/>
      <c r="P523" s="52"/>
      <c r="S523" s="52"/>
    </row>
    <row r="524" ht="15.75" customHeight="1">
      <c r="C524" s="52"/>
      <c r="H524" s="52"/>
      <c r="N524" s="52"/>
      <c r="P524" s="52"/>
      <c r="S524" s="52"/>
    </row>
    <row r="525" ht="15.75" customHeight="1">
      <c r="C525" s="52"/>
      <c r="H525" s="52"/>
      <c r="N525" s="52"/>
      <c r="P525" s="52"/>
      <c r="S525" s="52"/>
    </row>
    <row r="526" ht="15.75" customHeight="1">
      <c r="C526" s="52"/>
      <c r="H526" s="52"/>
      <c r="N526" s="52"/>
      <c r="P526" s="52"/>
      <c r="S526" s="52"/>
    </row>
    <row r="527" ht="15.75" customHeight="1">
      <c r="C527" s="52"/>
      <c r="H527" s="52"/>
      <c r="N527" s="52"/>
      <c r="P527" s="52"/>
      <c r="S527" s="52"/>
    </row>
    <row r="528" ht="15.75" customHeight="1">
      <c r="C528" s="52"/>
      <c r="H528" s="52"/>
      <c r="N528" s="52"/>
      <c r="P528" s="52"/>
      <c r="S528" s="52"/>
    </row>
    <row r="529" ht="15.75" customHeight="1">
      <c r="C529" s="52"/>
      <c r="H529" s="52"/>
      <c r="N529" s="52"/>
      <c r="P529" s="52"/>
      <c r="S529" s="52"/>
    </row>
    <row r="530" ht="15.75" customHeight="1">
      <c r="C530" s="52"/>
      <c r="H530" s="52"/>
      <c r="N530" s="52"/>
      <c r="P530" s="52"/>
      <c r="S530" s="52"/>
    </row>
    <row r="531" ht="15.75" customHeight="1">
      <c r="C531" s="52"/>
      <c r="H531" s="52"/>
      <c r="N531" s="52"/>
      <c r="P531" s="52"/>
      <c r="S531" s="52"/>
    </row>
    <row r="532" ht="15.75" customHeight="1">
      <c r="C532" s="52"/>
      <c r="H532" s="52"/>
      <c r="N532" s="52"/>
      <c r="P532" s="52"/>
      <c r="S532" s="52"/>
    </row>
    <row r="533" ht="15.75" customHeight="1">
      <c r="C533" s="52"/>
      <c r="H533" s="52"/>
      <c r="N533" s="52"/>
      <c r="P533" s="52"/>
      <c r="S533" s="52"/>
    </row>
    <row r="534" ht="15.75" customHeight="1">
      <c r="C534" s="52"/>
      <c r="H534" s="52"/>
      <c r="N534" s="52"/>
      <c r="P534" s="52"/>
      <c r="S534" s="52"/>
    </row>
    <row r="535" ht="15.75" customHeight="1">
      <c r="C535" s="52"/>
      <c r="H535" s="52"/>
      <c r="N535" s="52"/>
      <c r="P535" s="52"/>
      <c r="S535" s="52"/>
    </row>
    <row r="536" ht="15.75" customHeight="1">
      <c r="C536" s="52"/>
      <c r="H536" s="52"/>
      <c r="N536" s="52"/>
      <c r="P536" s="52"/>
      <c r="S536" s="52"/>
    </row>
    <row r="537" ht="15.75" customHeight="1">
      <c r="C537" s="52"/>
      <c r="H537" s="52"/>
      <c r="N537" s="52"/>
      <c r="P537" s="52"/>
      <c r="S537" s="52"/>
    </row>
    <row r="538" ht="15.75" customHeight="1">
      <c r="C538" s="52"/>
      <c r="H538" s="52"/>
      <c r="N538" s="52"/>
      <c r="P538" s="52"/>
      <c r="S538" s="52"/>
    </row>
    <row r="539" ht="15.75" customHeight="1">
      <c r="C539" s="52"/>
      <c r="H539" s="52"/>
      <c r="N539" s="52"/>
      <c r="P539" s="52"/>
      <c r="S539" s="52"/>
    </row>
    <row r="540" ht="15.75" customHeight="1">
      <c r="C540" s="52"/>
      <c r="H540" s="52"/>
      <c r="N540" s="52"/>
      <c r="P540" s="52"/>
      <c r="S540" s="52"/>
    </row>
    <row r="541" ht="15.75" customHeight="1">
      <c r="C541" s="52"/>
      <c r="H541" s="52"/>
      <c r="N541" s="52"/>
      <c r="P541" s="52"/>
      <c r="S541" s="52"/>
    </row>
    <row r="542" ht="15.75" customHeight="1">
      <c r="C542" s="52"/>
      <c r="H542" s="52"/>
      <c r="N542" s="52"/>
      <c r="P542" s="52"/>
      <c r="S542" s="52"/>
    </row>
    <row r="543" ht="15.75" customHeight="1">
      <c r="C543" s="52"/>
      <c r="H543" s="52"/>
      <c r="N543" s="52"/>
      <c r="P543" s="52"/>
      <c r="S543" s="52"/>
    </row>
    <row r="544" ht="15.75" customHeight="1">
      <c r="C544" s="52"/>
      <c r="H544" s="52"/>
      <c r="N544" s="52"/>
      <c r="P544" s="52"/>
      <c r="S544" s="52"/>
    </row>
    <row r="545" ht="15.75" customHeight="1">
      <c r="C545" s="52"/>
      <c r="H545" s="52"/>
      <c r="N545" s="52"/>
      <c r="P545" s="52"/>
      <c r="S545" s="52"/>
    </row>
    <row r="546" ht="15.75" customHeight="1">
      <c r="C546" s="52"/>
      <c r="H546" s="52"/>
      <c r="N546" s="52"/>
      <c r="P546" s="52"/>
      <c r="S546" s="52"/>
    </row>
    <row r="547" ht="15.75" customHeight="1">
      <c r="C547" s="52"/>
      <c r="H547" s="52"/>
      <c r="N547" s="52"/>
      <c r="P547" s="52"/>
      <c r="S547" s="52"/>
    </row>
    <row r="548" ht="15.75" customHeight="1">
      <c r="C548" s="52"/>
      <c r="H548" s="52"/>
      <c r="N548" s="52"/>
      <c r="P548" s="52"/>
      <c r="S548" s="52"/>
    </row>
    <row r="549" ht="15.75" customHeight="1">
      <c r="C549" s="52"/>
      <c r="H549" s="52"/>
      <c r="N549" s="52"/>
      <c r="P549" s="52"/>
      <c r="S549" s="52"/>
    </row>
    <row r="550" ht="15.75" customHeight="1">
      <c r="C550" s="52"/>
      <c r="H550" s="52"/>
      <c r="N550" s="52"/>
      <c r="P550" s="52"/>
      <c r="S550" s="52"/>
    </row>
    <row r="551" ht="15.75" customHeight="1">
      <c r="C551" s="52"/>
      <c r="H551" s="52"/>
      <c r="N551" s="52"/>
      <c r="P551" s="52"/>
      <c r="S551" s="52"/>
    </row>
    <row r="552" ht="15.75" customHeight="1">
      <c r="C552" s="52"/>
      <c r="H552" s="52"/>
      <c r="N552" s="52"/>
      <c r="P552" s="52"/>
      <c r="S552" s="52"/>
    </row>
    <row r="553" ht="15.75" customHeight="1">
      <c r="C553" s="52"/>
      <c r="H553" s="52"/>
      <c r="N553" s="52"/>
      <c r="P553" s="52"/>
      <c r="S553" s="52"/>
    </row>
    <row r="554" ht="15.75" customHeight="1">
      <c r="C554" s="52"/>
      <c r="H554" s="52"/>
      <c r="N554" s="52"/>
      <c r="P554" s="52"/>
      <c r="S554" s="52"/>
    </row>
    <row r="555" ht="15.75" customHeight="1">
      <c r="C555" s="52"/>
      <c r="H555" s="52"/>
      <c r="N555" s="52"/>
      <c r="P555" s="52"/>
      <c r="S555" s="52"/>
    </row>
    <row r="556" ht="15.75" customHeight="1">
      <c r="C556" s="52"/>
      <c r="H556" s="52"/>
      <c r="N556" s="52"/>
      <c r="P556" s="52"/>
      <c r="S556" s="52"/>
    </row>
    <row r="557" ht="15.75" customHeight="1">
      <c r="C557" s="52"/>
      <c r="H557" s="52"/>
      <c r="N557" s="52"/>
      <c r="P557" s="52"/>
      <c r="S557" s="52"/>
    </row>
    <row r="558" ht="15.75" customHeight="1">
      <c r="C558" s="52"/>
      <c r="H558" s="52"/>
      <c r="N558" s="52"/>
      <c r="P558" s="52"/>
      <c r="S558" s="52"/>
    </row>
    <row r="559" ht="15.75" customHeight="1">
      <c r="C559" s="52"/>
      <c r="H559" s="52"/>
      <c r="N559" s="52"/>
      <c r="P559" s="52"/>
      <c r="S559" s="52"/>
    </row>
    <row r="560" ht="15.75" customHeight="1">
      <c r="C560" s="52"/>
      <c r="H560" s="52"/>
      <c r="N560" s="52"/>
      <c r="P560" s="52"/>
      <c r="S560" s="52"/>
    </row>
    <row r="561" ht="15.75" customHeight="1">
      <c r="C561" s="52"/>
      <c r="H561" s="52"/>
      <c r="N561" s="52"/>
      <c r="P561" s="52"/>
      <c r="S561" s="52"/>
    </row>
    <row r="562" ht="15.75" customHeight="1">
      <c r="C562" s="52"/>
      <c r="H562" s="52"/>
      <c r="N562" s="52"/>
      <c r="P562" s="52"/>
      <c r="S562" s="52"/>
    </row>
    <row r="563" ht="15.75" customHeight="1">
      <c r="C563" s="52"/>
      <c r="H563" s="52"/>
      <c r="N563" s="52"/>
      <c r="P563" s="52"/>
      <c r="S563" s="52"/>
    </row>
    <row r="564" ht="15.75" customHeight="1">
      <c r="C564" s="52"/>
      <c r="H564" s="52"/>
      <c r="N564" s="52"/>
      <c r="P564" s="52"/>
      <c r="S564" s="52"/>
    </row>
    <row r="565" ht="15.75" customHeight="1">
      <c r="C565" s="52"/>
      <c r="H565" s="52"/>
      <c r="N565" s="52"/>
      <c r="P565" s="52"/>
      <c r="S565" s="52"/>
    </row>
    <row r="566" ht="15.75" customHeight="1">
      <c r="C566" s="52"/>
      <c r="H566" s="52"/>
      <c r="N566" s="52"/>
      <c r="P566" s="52"/>
      <c r="S566" s="52"/>
    </row>
    <row r="567" ht="15.75" customHeight="1">
      <c r="C567" s="52"/>
      <c r="H567" s="52"/>
      <c r="N567" s="52"/>
      <c r="P567" s="52"/>
      <c r="S567" s="52"/>
    </row>
    <row r="568" ht="15.75" customHeight="1">
      <c r="C568" s="52"/>
      <c r="H568" s="52"/>
      <c r="N568" s="52"/>
      <c r="P568" s="52"/>
      <c r="S568" s="52"/>
    </row>
    <row r="569" ht="15.75" customHeight="1">
      <c r="C569" s="52"/>
      <c r="H569" s="52"/>
      <c r="N569" s="52"/>
      <c r="P569" s="52"/>
      <c r="S569" s="52"/>
    </row>
    <row r="570" ht="15.75" customHeight="1">
      <c r="C570" s="52"/>
      <c r="H570" s="52"/>
      <c r="N570" s="52"/>
      <c r="P570" s="52"/>
      <c r="S570" s="52"/>
    </row>
    <row r="571" ht="15.75" customHeight="1">
      <c r="C571" s="52"/>
      <c r="H571" s="52"/>
      <c r="N571" s="52"/>
      <c r="P571" s="52"/>
      <c r="S571" s="52"/>
    </row>
    <row r="572" ht="15.75" customHeight="1">
      <c r="C572" s="52"/>
      <c r="H572" s="52"/>
      <c r="N572" s="52"/>
      <c r="P572" s="52"/>
      <c r="S572" s="52"/>
    </row>
    <row r="573" ht="15.75" customHeight="1">
      <c r="C573" s="52"/>
      <c r="H573" s="52"/>
      <c r="N573" s="52"/>
      <c r="P573" s="52"/>
      <c r="S573" s="52"/>
    </row>
    <row r="574" ht="15.75" customHeight="1">
      <c r="C574" s="52"/>
      <c r="H574" s="52"/>
      <c r="N574" s="52"/>
      <c r="P574" s="52"/>
      <c r="S574" s="52"/>
    </row>
    <row r="575" ht="15.75" customHeight="1">
      <c r="C575" s="52"/>
      <c r="H575" s="52"/>
      <c r="N575" s="52"/>
      <c r="P575" s="52"/>
      <c r="S575" s="52"/>
    </row>
    <row r="576" ht="15.75" customHeight="1">
      <c r="C576" s="52"/>
      <c r="H576" s="52"/>
      <c r="N576" s="52"/>
      <c r="P576" s="52"/>
      <c r="S576" s="52"/>
    </row>
    <row r="577" ht="15.75" customHeight="1">
      <c r="C577" s="52"/>
      <c r="H577" s="52"/>
      <c r="N577" s="52"/>
      <c r="P577" s="52"/>
      <c r="S577" s="52"/>
    </row>
    <row r="578" ht="15.75" customHeight="1">
      <c r="C578" s="52"/>
      <c r="H578" s="52"/>
      <c r="N578" s="52"/>
      <c r="P578" s="52"/>
      <c r="S578" s="52"/>
    </row>
    <row r="579" ht="15.75" customHeight="1">
      <c r="C579" s="52"/>
      <c r="H579" s="52"/>
      <c r="N579" s="52"/>
      <c r="P579" s="52"/>
      <c r="S579" s="52"/>
    </row>
    <row r="580" ht="15.75" customHeight="1">
      <c r="C580" s="52"/>
      <c r="H580" s="52"/>
      <c r="N580" s="52"/>
      <c r="P580" s="52"/>
      <c r="S580" s="52"/>
    </row>
    <row r="581" ht="15.75" customHeight="1">
      <c r="C581" s="52"/>
      <c r="H581" s="52"/>
      <c r="N581" s="52"/>
      <c r="P581" s="52"/>
      <c r="S581" s="52"/>
    </row>
    <row r="582" ht="15.75" customHeight="1">
      <c r="C582" s="52"/>
      <c r="H582" s="52"/>
      <c r="N582" s="52"/>
      <c r="P582" s="52"/>
      <c r="S582" s="52"/>
    </row>
    <row r="583" ht="15.75" customHeight="1">
      <c r="C583" s="52"/>
      <c r="H583" s="52"/>
      <c r="N583" s="52"/>
      <c r="P583" s="52"/>
      <c r="S583" s="52"/>
    </row>
    <row r="584" ht="15.75" customHeight="1">
      <c r="C584" s="52"/>
      <c r="H584" s="52"/>
      <c r="N584" s="52"/>
      <c r="P584" s="52"/>
      <c r="S584" s="52"/>
    </row>
    <row r="585" ht="15.75" customHeight="1">
      <c r="C585" s="52"/>
      <c r="H585" s="52"/>
      <c r="N585" s="52"/>
      <c r="P585" s="52"/>
      <c r="S585" s="52"/>
    </row>
    <row r="586" ht="15.75" customHeight="1">
      <c r="C586" s="52"/>
      <c r="H586" s="52"/>
      <c r="N586" s="52"/>
      <c r="P586" s="52"/>
      <c r="S586" s="52"/>
    </row>
    <row r="587" ht="15.75" customHeight="1">
      <c r="C587" s="52"/>
      <c r="H587" s="52"/>
      <c r="N587" s="52"/>
      <c r="P587" s="52"/>
      <c r="S587" s="52"/>
    </row>
    <row r="588" ht="15.75" customHeight="1">
      <c r="C588" s="52"/>
      <c r="H588" s="52"/>
      <c r="N588" s="52"/>
      <c r="P588" s="52"/>
      <c r="S588" s="52"/>
    </row>
    <row r="589" ht="15.75" customHeight="1">
      <c r="C589" s="52"/>
      <c r="H589" s="52"/>
      <c r="N589" s="52"/>
      <c r="P589" s="52"/>
      <c r="S589" s="52"/>
    </row>
    <row r="590" ht="15.75" customHeight="1">
      <c r="C590" s="52"/>
      <c r="H590" s="52"/>
      <c r="N590" s="52"/>
      <c r="P590" s="52"/>
      <c r="S590" s="52"/>
    </row>
    <row r="591" ht="15.75" customHeight="1">
      <c r="C591" s="52"/>
      <c r="H591" s="52"/>
      <c r="N591" s="52"/>
      <c r="P591" s="52"/>
      <c r="S591" s="52"/>
    </row>
    <row r="592" ht="15.75" customHeight="1">
      <c r="C592" s="52"/>
      <c r="H592" s="52"/>
      <c r="N592" s="52"/>
      <c r="P592" s="52"/>
      <c r="S592" s="52"/>
    </row>
    <row r="593" ht="15.75" customHeight="1">
      <c r="C593" s="52"/>
      <c r="H593" s="52"/>
      <c r="N593" s="52"/>
      <c r="P593" s="52"/>
      <c r="S593" s="52"/>
    </row>
    <row r="594" ht="15.75" customHeight="1">
      <c r="C594" s="52"/>
      <c r="H594" s="52"/>
      <c r="N594" s="52"/>
      <c r="P594" s="52"/>
      <c r="S594" s="52"/>
    </row>
    <row r="595" ht="15.75" customHeight="1">
      <c r="C595" s="52"/>
      <c r="H595" s="52"/>
      <c r="N595" s="52"/>
      <c r="P595" s="52"/>
      <c r="S595" s="52"/>
    </row>
    <row r="596" ht="15.75" customHeight="1">
      <c r="C596" s="52"/>
      <c r="H596" s="52"/>
      <c r="N596" s="52"/>
      <c r="P596" s="52"/>
      <c r="S596" s="52"/>
    </row>
    <row r="597" ht="15.75" customHeight="1">
      <c r="C597" s="52"/>
      <c r="H597" s="52"/>
      <c r="N597" s="52"/>
      <c r="P597" s="52"/>
      <c r="S597" s="52"/>
    </row>
    <row r="598" ht="15.75" customHeight="1">
      <c r="C598" s="52"/>
      <c r="H598" s="52"/>
      <c r="N598" s="52"/>
      <c r="P598" s="52"/>
      <c r="S598" s="52"/>
    </row>
    <row r="599" ht="15.75" customHeight="1">
      <c r="C599" s="52"/>
      <c r="H599" s="52"/>
      <c r="N599" s="52"/>
      <c r="P599" s="52"/>
      <c r="S599" s="52"/>
    </row>
    <row r="600" ht="15.75" customHeight="1">
      <c r="C600" s="52"/>
      <c r="H600" s="52"/>
      <c r="N600" s="52"/>
      <c r="P600" s="52"/>
      <c r="S600" s="52"/>
    </row>
    <row r="601" ht="15.75" customHeight="1">
      <c r="C601" s="52"/>
      <c r="H601" s="52"/>
      <c r="N601" s="52"/>
      <c r="P601" s="52"/>
      <c r="S601" s="52"/>
    </row>
    <row r="602" ht="15.75" customHeight="1">
      <c r="C602" s="52"/>
      <c r="H602" s="52"/>
      <c r="N602" s="52"/>
      <c r="P602" s="52"/>
      <c r="S602" s="52"/>
    </row>
    <row r="603" ht="15.75" customHeight="1">
      <c r="C603" s="52"/>
      <c r="H603" s="52"/>
      <c r="N603" s="52"/>
      <c r="P603" s="52"/>
      <c r="S603" s="52"/>
    </row>
    <row r="604" ht="15.75" customHeight="1">
      <c r="C604" s="52"/>
      <c r="H604" s="52"/>
      <c r="N604" s="52"/>
      <c r="P604" s="52"/>
      <c r="S604" s="52"/>
    </row>
    <row r="605" ht="15.75" customHeight="1">
      <c r="C605" s="52"/>
      <c r="H605" s="52"/>
      <c r="N605" s="52"/>
      <c r="P605" s="52"/>
      <c r="S605" s="52"/>
    </row>
    <row r="606" ht="15.75" customHeight="1">
      <c r="C606" s="52"/>
      <c r="H606" s="52"/>
      <c r="N606" s="52"/>
      <c r="P606" s="52"/>
      <c r="S606" s="52"/>
    </row>
    <row r="607" ht="15.75" customHeight="1">
      <c r="C607" s="52"/>
      <c r="H607" s="52"/>
      <c r="N607" s="52"/>
      <c r="P607" s="52"/>
      <c r="S607" s="52"/>
    </row>
    <row r="608" ht="15.75" customHeight="1">
      <c r="C608" s="52"/>
      <c r="H608" s="52"/>
      <c r="N608" s="52"/>
      <c r="P608" s="52"/>
      <c r="S608" s="52"/>
    </row>
    <row r="609" ht="15.75" customHeight="1">
      <c r="C609" s="52"/>
      <c r="H609" s="52"/>
      <c r="N609" s="52"/>
      <c r="P609" s="52"/>
      <c r="S609" s="52"/>
    </row>
    <row r="610" ht="15.75" customHeight="1">
      <c r="C610" s="52"/>
      <c r="H610" s="52"/>
      <c r="N610" s="52"/>
      <c r="P610" s="52"/>
      <c r="S610" s="52"/>
    </row>
    <row r="611" ht="15.75" customHeight="1">
      <c r="C611" s="52"/>
      <c r="H611" s="52"/>
      <c r="N611" s="52"/>
      <c r="P611" s="52"/>
      <c r="S611" s="52"/>
    </row>
    <row r="612" ht="15.75" customHeight="1">
      <c r="C612" s="52"/>
      <c r="H612" s="52"/>
      <c r="N612" s="52"/>
      <c r="P612" s="52"/>
      <c r="S612" s="52"/>
    </row>
    <row r="613" ht="15.75" customHeight="1">
      <c r="C613" s="52"/>
      <c r="H613" s="52"/>
      <c r="N613" s="52"/>
      <c r="P613" s="52"/>
      <c r="S613" s="52"/>
    </row>
    <row r="614" ht="15.75" customHeight="1">
      <c r="C614" s="52"/>
      <c r="H614" s="52"/>
      <c r="N614" s="52"/>
      <c r="P614" s="52"/>
      <c r="S614" s="52"/>
    </row>
    <row r="615" ht="15.75" customHeight="1">
      <c r="C615" s="52"/>
      <c r="H615" s="52"/>
      <c r="N615" s="52"/>
      <c r="P615" s="52"/>
      <c r="S615" s="52"/>
    </row>
    <row r="616" ht="15.75" customHeight="1">
      <c r="C616" s="52"/>
      <c r="H616" s="52"/>
      <c r="N616" s="52"/>
      <c r="P616" s="52"/>
      <c r="S616" s="52"/>
    </row>
    <row r="617" ht="15.75" customHeight="1">
      <c r="C617" s="52"/>
      <c r="H617" s="52"/>
      <c r="N617" s="52"/>
      <c r="P617" s="52"/>
      <c r="S617" s="52"/>
    </row>
    <row r="618" ht="15.75" customHeight="1">
      <c r="C618" s="52"/>
      <c r="H618" s="52"/>
      <c r="N618" s="52"/>
      <c r="P618" s="52"/>
      <c r="S618" s="52"/>
    </row>
    <row r="619" ht="15.75" customHeight="1">
      <c r="C619" s="52"/>
      <c r="H619" s="52"/>
      <c r="N619" s="52"/>
      <c r="P619" s="52"/>
      <c r="S619" s="52"/>
    </row>
    <row r="620" ht="15.75" customHeight="1">
      <c r="C620" s="52"/>
      <c r="H620" s="52"/>
      <c r="N620" s="52"/>
      <c r="P620" s="52"/>
      <c r="S620" s="52"/>
    </row>
    <row r="621" ht="15.75" customHeight="1">
      <c r="C621" s="52"/>
      <c r="H621" s="52"/>
      <c r="N621" s="52"/>
      <c r="P621" s="52"/>
      <c r="S621" s="52"/>
    </row>
    <row r="622" ht="15.75" customHeight="1">
      <c r="C622" s="52"/>
      <c r="H622" s="52"/>
      <c r="N622" s="52"/>
      <c r="P622" s="52"/>
      <c r="S622" s="52"/>
    </row>
    <row r="623" ht="15.75" customHeight="1">
      <c r="C623" s="52"/>
      <c r="H623" s="52"/>
      <c r="N623" s="52"/>
      <c r="P623" s="52"/>
      <c r="S623" s="52"/>
    </row>
    <row r="624" ht="15.75" customHeight="1">
      <c r="C624" s="52"/>
      <c r="H624" s="52"/>
      <c r="N624" s="52"/>
      <c r="P624" s="52"/>
      <c r="S624" s="52"/>
    </row>
    <row r="625" ht="15.75" customHeight="1">
      <c r="C625" s="52"/>
      <c r="H625" s="52"/>
      <c r="N625" s="52"/>
      <c r="P625" s="52"/>
      <c r="S625" s="52"/>
    </row>
    <row r="626" ht="15.75" customHeight="1">
      <c r="C626" s="52"/>
      <c r="H626" s="52"/>
      <c r="N626" s="52"/>
      <c r="P626" s="52"/>
      <c r="S626" s="52"/>
    </row>
    <row r="627" ht="15.75" customHeight="1">
      <c r="C627" s="52"/>
      <c r="H627" s="52"/>
      <c r="N627" s="52"/>
      <c r="P627" s="52"/>
      <c r="S627" s="52"/>
    </row>
    <row r="628" ht="15.75" customHeight="1">
      <c r="C628" s="52"/>
      <c r="H628" s="52"/>
      <c r="N628" s="52"/>
      <c r="P628" s="52"/>
      <c r="S628" s="52"/>
    </row>
    <row r="629" ht="15.75" customHeight="1">
      <c r="C629" s="52"/>
      <c r="H629" s="52"/>
      <c r="N629" s="52"/>
      <c r="P629" s="52"/>
      <c r="S629" s="52"/>
    </row>
    <row r="630" ht="15.75" customHeight="1">
      <c r="C630" s="52"/>
      <c r="H630" s="52"/>
      <c r="N630" s="52"/>
      <c r="P630" s="52"/>
      <c r="S630" s="52"/>
    </row>
    <row r="631" ht="15.75" customHeight="1">
      <c r="C631" s="52"/>
      <c r="H631" s="52"/>
      <c r="N631" s="52"/>
      <c r="P631" s="52"/>
      <c r="S631" s="52"/>
    </row>
    <row r="632" ht="15.75" customHeight="1">
      <c r="C632" s="52"/>
      <c r="H632" s="52"/>
      <c r="N632" s="52"/>
      <c r="P632" s="52"/>
      <c r="S632" s="52"/>
    </row>
    <row r="633" ht="15.75" customHeight="1">
      <c r="C633" s="52"/>
      <c r="H633" s="52"/>
      <c r="N633" s="52"/>
      <c r="P633" s="52"/>
      <c r="S633" s="52"/>
    </row>
    <row r="634" ht="15.75" customHeight="1">
      <c r="C634" s="52"/>
      <c r="H634" s="52"/>
      <c r="N634" s="52"/>
      <c r="P634" s="52"/>
      <c r="S634" s="52"/>
    </row>
    <row r="635" ht="15.75" customHeight="1">
      <c r="C635" s="52"/>
      <c r="H635" s="52"/>
      <c r="N635" s="52"/>
      <c r="P635" s="52"/>
      <c r="S635" s="52"/>
    </row>
    <row r="636" ht="15.75" customHeight="1">
      <c r="C636" s="52"/>
      <c r="H636" s="52"/>
      <c r="N636" s="52"/>
      <c r="P636" s="52"/>
      <c r="S636" s="52"/>
    </row>
    <row r="637" ht="15.75" customHeight="1">
      <c r="C637" s="52"/>
      <c r="H637" s="52"/>
      <c r="N637" s="52"/>
      <c r="P637" s="52"/>
      <c r="S637" s="52"/>
    </row>
    <row r="638" ht="15.75" customHeight="1">
      <c r="C638" s="52"/>
      <c r="H638" s="52"/>
      <c r="N638" s="52"/>
      <c r="P638" s="52"/>
      <c r="S638" s="52"/>
    </row>
    <row r="639" ht="15.75" customHeight="1">
      <c r="C639" s="52"/>
      <c r="H639" s="52"/>
      <c r="N639" s="52"/>
      <c r="P639" s="52"/>
      <c r="S639" s="52"/>
    </row>
    <row r="640" ht="15.75" customHeight="1">
      <c r="C640" s="52"/>
      <c r="H640" s="52"/>
      <c r="N640" s="52"/>
      <c r="P640" s="52"/>
      <c r="S640" s="52"/>
    </row>
    <row r="641" ht="15.75" customHeight="1">
      <c r="C641" s="52"/>
      <c r="H641" s="52"/>
      <c r="N641" s="52"/>
      <c r="P641" s="52"/>
      <c r="S641" s="52"/>
    </row>
    <row r="642" ht="15.75" customHeight="1">
      <c r="C642" s="52"/>
      <c r="H642" s="52"/>
      <c r="N642" s="52"/>
      <c r="P642" s="52"/>
      <c r="S642" s="52"/>
    </row>
    <row r="643" ht="15.75" customHeight="1">
      <c r="C643" s="52"/>
      <c r="H643" s="52"/>
      <c r="N643" s="52"/>
      <c r="P643" s="52"/>
      <c r="S643" s="52"/>
    </row>
    <row r="644" ht="15.75" customHeight="1">
      <c r="C644" s="52"/>
      <c r="H644" s="52"/>
      <c r="N644" s="52"/>
      <c r="P644" s="52"/>
      <c r="S644" s="52"/>
    </row>
    <row r="645" ht="15.75" customHeight="1">
      <c r="C645" s="52"/>
      <c r="H645" s="52"/>
      <c r="N645" s="52"/>
      <c r="P645" s="52"/>
      <c r="S645" s="52"/>
    </row>
    <row r="646" ht="15.75" customHeight="1">
      <c r="C646" s="52"/>
      <c r="H646" s="52"/>
      <c r="N646" s="52"/>
      <c r="P646" s="52"/>
      <c r="S646" s="52"/>
    </row>
    <row r="647" ht="15.75" customHeight="1">
      <c r="C647" s="52"/>
      <c r="H647" s="52"/>
      <c r="N647" s="52"/>
      <c r="P647" s="52"/>
      <c r="S647" s="52"/>
    </row>
    <row r="648" ht="15.75" customHeight="1">
      <c r="C648" s="52"/>
      <c r="H648" s="52"/>
      <c r="N648" s="52"/>
      <c r="P648" s="52"/>
      <c r="S648" s="52"/>
    </row>
    <row r="649" ht="15.75" customHeight="1">
      <c r="C649" s="52"/>
      <c r="H649" s="52"/>
      <c r="N649" s="52"/>
      <c r="P649" s="52"/>
      <c r="S649" s="52"/>
    </row>
    <row r="650" ht="15.75" customHeight="1">
      <c r="C650" s="52"/>
      <c r="H650" s="52"/>
      <c r="N650" s="52"/>
      <c r="P650" s="52"/>
      <c r="S650" s="52"/>
    </row>
    <row r="651" ht="15.75" customHeight="1">
      <c r="C651" s="52"/>
      <c r="H651" s="52"/>
      <c r="N651" s="52"/>
      <c r="P651" s="52"/>
      <c r="S651" s="52"/>
    </row>
    <row r="652" ht="15.75" customHeight="1">
      <c r="C652" s="52"/>
      <c r="H652" s="52"/>
      <c r="N652" s="52"/>
      <c r="P652" s="52"/>
      <c r="S652" s="52"/>
    </row>
    <row r="653" ht="15.75" customHeight="1">
      <c r="C653" s="52"/>
      <c r="H653" s="52"/>
      <c r="N653" s="52"/>
      <c r="P653" s="52"/>
      <c r="S653" s="52"/>
    </row>
    <row r="654" ht="15.75" customHeight="1">
      <c r="C654" s="52"/>
      <c r="H654" s="52"/>
      <c r="N654" s="52"/>
      <c r="P654" s="52"/>
      <c r="S654" s="52"/>
    </row>
    <row r="655" ht="15.75" customHeight="1">
      <c r="C655" s="52"/>
      <c r="H655" s="52"/>
      <c r="N655" s="52"/>
      <c r="P655" s="52"/>
      <c r="S655" s="52"/>
    </row>
    <row r="656" ht="15.75" customHeight="1">
      <c r="C656" s="52"/>
      <c r="H656" s="52"/>
      <c r="N656" s="52"/>
      <c r="P656" s="52"/>
      <c r="S656" s="52"/>
    </row>
    <row r="657" ht="15.75" customHeight="1">
      <c r="C657" s="52"/>
      <c r="H657" s="52"/>
      <c r="N657" s="52"/>
      <c r="P657" s="52"/>
      <c r="S657" s="52"/>
    </row>
    <row r="658" ht="15.75" customHeight="1">
      <c r="C658" s="52"/>
      <c r="H658" s="52"/>
      <c r="N658" s="52"/>
      <c r="P658" s="52"/>
      <c r="S658" s="52"/>
    </row>
    <row r="659" ht="15.75" customHeight="1">
      <c r="C659" s="52"/>
      <c r="H659" s="52"/>
      <c r="N659" s="52"/>
      <c r="P659" s="52"/>
      <c r="S659" s="52"/>
    </row>
    <row r="660" ht="15.75" customHeight="1">
      <c r="C660" s="52"/>
      <c r="H660" s="52"/>
      <c r="N660" s="52"/>
      <c r="P660" s="52"/>
      <c r="S660" s="52"/>
    </row>
    <row r="661" ht="15.75" customHeight="1">
      <c r="C661" s="52"/>
      <c r="H661" s="52"/>
      <c r="N661" s="52"/>
      <c r="P661" s="52"/>
      <c r="S661" s="52"/>
    </row>
    <row r="662" ht="15.75" customHeight="1">
      <c r="C662" s="52"/>
      <c r="H662" s="52"/>
      <c r="N662" s="52"/>
      <c r="P662" s="52"/>
      <c r="S662" s="52"/>
    </row>
    <row r="663" ht="15.75" customHeight="1">
      <c r="C663" s="52"/>
      <c r="H663" s="52"/>
      <c r="N663" s="52"/>
      <c r="P663" s="52"/>
      <c r="S663" s="52"/>
    </row>
    <row r="664" ht="15.75" customHeight="1">
      <c r="C664" s="52"/>
      <c r="H664" s="52"/>
      <c r="N664" s="52"/>
      <c r="P664" s="52"/>
      <c r="S664" s="52"/>
    </row>
    <row r="665" ht="15.75" customHeight="1">
      <c r="C665" s="52"/>
      <c r="H665" s="52"/>
      <c r="N665" s="52"/>
      <c r="P665" s="52"/>
      <c r="S665" s="52"/>
    </row>
    <row r="666" ht="15.75" customHeight="1">
      <c r="C666" s="52"/>
      <c r="H666" s="52"/>
      <c r="N666" s="52"/>
      <c r="P666" s="52"/>
      <c r="S666" s="52"/>
    </row>
    <row r="667" ht="15.75" customHeight="1">
      <c r="C667" s="52"/>
      <c r="H667" s="52"/>
      <c r="N667" s="52"/>
      <c r="P667" s="52"/>
      <c r="S667" s="52"/>
    </row>
    <row r="668" ht="15.75" customHeight="1">
      <c r="C668" s="52"/>
      <c r="H668" s="52"/>
      <c r="N668" s="52"/>
      <c r="P668" s="52"/>
      <c r="S668" s="52"/>
    </row>
    <row r="669" ht="15.75" customHeight="1">
      <c r="C669" s="52"/>
      <c r="H669" s="52"/>
      <c r="N669" s="52"/>
      <c r="P669" s="52"/>
      <c r="S669" s="52"/>
    </row>
    <row r="670" ht="15.75" customHeight="1">
      <c r="C670" s="52"/>
      <c r="H670" s="52"/>
      <c r="N670" s="52"/>
      <c r="P670" s="52"/>
      <c r="S670" s="52"/>
    </row>
    <row r="671" ht="15.75" customHeight="1">
      <c r="C671" s="52"/>
      <c r="H671" s="52"/>
      <c r="N671" s="52"/>
      <c r="P671" s="52"/>
      <c r="S671" s="52"/>
    </row>
    <row r="672" ht="15.75" customHeight="1">
      <c r="C672" s="52"/>
      <c r="H672" s="52"/>
      <c r="N672" s="52"/>
      <c r="P672" s="52"/>
      <c r="S672" s="52"/>
    </row>
    <row r="673" ht="15.75" customHeight="1">
      <c r="C673" s="52"/>
      <c r="H673" s="52"/>
      <c r="N673" s="52"/>
      <c r="P673" s="52"/>
      <c r="S673" s="52"/>
    </row>
    <row r="674" ht="15.75" customHeight="1">
      <c r="C674" s="52"/>
      <c r="H674" s="52"/>
      <c r="N674" s="52"/>
      <c r="P674" s="52"/>
      <c r="S674" s="52"/>
    </row>
    <row r="675" ht="15.75" customHeight="1">
      <c r="C675" s="52"/>
      <c r="H675" s="52"/>
      <c r="N675" s="52"/>
      <c r="P675" s="52"/>
      <c r="S675" s="52"/>
    </row>
    <row r="676" ht="15.75" customHeight="1">
      <c r="C676" s="52"/>
      <c r="H676" s="52"/>
      <c r="N676" s="52"/>
      <c r="P676" s="52"/>
      <c r="S676" s="52"/>
    </row>
    <row r="677" ht="15.75" customHeight="1">
      <c r="C677" s="52"/>
      <c r="H677" s="52"/>
      <c r="N677" s="52"/>
      <c r="P677" s="52"/>
      <c r="S677" s="52"/>
    </row>
    <row r="678" ht="15.75" customHeight="1">
      <c r="C678" s="52"/>
      <c r="H678" s="52"/>
      <c r="N678" s="52"/>
      <c r="P678" s="52"/>
      <c r="S678" s="52"/>
    </row>
    <row r="679" ht="15.75" customHeight="1">
      <c r="C679" s="52"/>
      <c r="H679" s="52"/>
      <c r="N679" s="52"/>
      <c r="P679" s="52"/>
      <c r="S679" s="52"/>
    </row>
    <row r="680" ht="15.75" customHeight="1">
      <c r="C680" s="52"/>
      <c r="H680" s="52"/>
      <c r="N680" s="52"/>
      <c r="P680" s="52"/>
      <c r="S680" s="52"/>
    </row>
    <row r="681" ht="15.75" customHeight="1">
      <c r="C681" s="52"/>
      <c r="H681" s="52"/>
      <c r="N681" s="52"/>
      <c r="P681" s="52"/>
      <c r="S681" s="52"/>
    </row>
    <row r="682" ht="15.75" customHeight="1">
      <c r="C682" s="52"/>
      <c r="H682" s="52"/>
      <c r="N682" s="52"/>
      <c r="P682" s="52"/>
      <c r="S682" s="52"/>
    </row>
    <row r="683" ht="15.75" customHeight="1">
      <c r="C683" s="52"/>
      <c r="H683" s="52"/>
      <c r="N683" s="52"/>
      <c r="P683" s="52"/>
      <c r="S683" s="52"/>
    </row>
    <row r="684" ht="15.75" customHeight="1">
      <c r="C684" s="52"/>
      <c r="H684" s="52"/>
      <c r="N684" s="52"/>
      <c r="P684" s="52"/>
      <c r="S684" s="52"/>
    </row>
    <row r="685" ht="15.75" customHeight="1">
      <c r="C685" s="52"/>
      <c r="H685" s="52"/>
      <c r="N685" s="52"/>
      <c r="P685" s="52"/>
      <c r="S685" s="52"/>
    </row>
    <row r="686" ht="15.75" customHeight="1">
      <c r="C686" s="52"/>
      <c r="H686" s="52"/>
      <c r="N686" s="52"/>
      <c r="P686" s="52"/>
      <c r="S686" s="52"/>
    </row>
    <row r="687" ht="15.75" customHeight="1">
      <c r="C687" s="52"/>
      <c r="H687" s="52"/>
      <c r="N687" s="52"/>
      <c r="P687" s="52"/>
      <c r="S687" s="52"/>
    </row>
    <row r="688" ht="15.75" customHeight="1">
      <c r="C688" s="52"/>
      <c r="H688" s="52"/>
      <c r="N688" s="52"/>
      <c r="P688" s="52"/>
      <c r="S688" s="52"/>
    </row>
    <row r="689" ht="15.75" customHeight="1">
      <c r="C689" s="52"/>
      <c r="H689" s="52"/>
      <c r="N689" s="52"/>
      <c r="P689" s="52"/>
      <c r="S689" s="52"/>
    </row>
    <row r="690" ht="15.75" customHeight="1">
      <c r="C690" s="52"/>
      <c r="H690" s="52"/>
      <c r="N690" s="52"/>
      <c r="P690" s="52"/>
      <c r="S690" s="52"/>
    </row>
    <row r="691" ht="15.75" customHeight="1">
      <c r="C691" s="52"/>
      <c r="H691" s="52"/>
      <c r="N691" s="52"/>
      <c r="P691" s="52"/>
      <c r="S691" s="52"/>
    </row>
    <row r="692" ht="15.75" customHeight="1">
      <c r="C692" s="52"/>
      <c r="H692" s="52"/>
      <c r="N692" s="52"/>
      <c r="P692" s="52"/>
      <c r="S692" s="52"/>
    </row>
    <row r="693" ht="15.75" customHeight="1">
      <c r="C693" s="52"/>
      <c r="H693" s="52"/>
      <c r="N693" s="52"/>
      <c r="P693" s="52"/>
      <c r="S693" s="52"/>
    </row>
    <row r="694" ht="15.75" customHeight="1">
      <c r="C694" s="52"/>
      <c r="H694" s="52"/>
      <c r="N694" s="52"/>
      <c r="P694" s="52"/>
      <c r="S694" s="52"/>
    </row>
    <row r="695" ht="15.75" customHeight="1">
      <c r="C695" s="52"/>
      <c r="H695" s="52"/>
      <c r="N695" s="52"/>
      <c r="P695" s="52"/>
      <c r="S695" s="52"/>
    </row>
    <row r="696" ht="15.75" customHeight="1">
      <c r="C696" s="52"/>
      <c r="H696" s="52"/>
      <c r="N696" s="52"/>
      <c r="P696" s="52"/>
      <c r="S696" s="52"/>
    </row>
    <row r="697" ht="15.75" customHeight="1">
      <c r="C697" s="52"/>
      <c r="H697" s="52"/>
      <c r="N697" s="52"/>
      <c r="P697" s="52"/>
      <c r="S697" s="52"/>
    </row>
    <row r="698" ht="15.75" customHeight="1">
      <c r="C698" s="52"/>
      <c r="H698" s="52"/>
      <c r="N698" s="52"/>
      <c r="P698" s="52"/>
      <c r="S698" s="52"/>
    </row>
    <row r="699" ht="15.75" customHeight="1">
      <c r="C699" s="52"/>
      <c r="H699" s="52"/>
      <c r="N699" s="52"/>
      <c r="P699" s="52"/>
      <c r="S699" s="52"/>
    </row>
    <row r="700" ht="15.75" customHeight="1">
      <c r="C700" s="52"/>
      <c r="H700" s="52"/>
      <c r="N700" s="52"/>
      <c r="P700" s="52"/>
      <c r="S700" s="52"/>
    </row>
    <row r="701" ht="15.75" customHeight="1">
      <c r="C701" s="52"/>
      <c r="H701" s="52"/>
      <c r="N701" s="52"/>
      <c r="P701" s="52"/>
      <c r="S701" s="52"/>
    </row>
    <row r="702" ht="15.75" customHeight="1">
      <c r="C702" s="52"/>
      <c r="H702" s="52"/>
      <c r="N702" s="52"/>
      <c r="P702" s="52"/>
      <c r="S702" s="52"/>
    </row>
    <row r="703" ht="15.75" customHeight="1">
      <c r="C703" s="52"/>
      <c r="H703" s="52"/>
      <c r="N703" s="52"/>
      <c r="P703" s="52"/>
      <c r="S703" s="52"/>
    </row>
    <row r="704" ht="15.75" customHeight="1">
      <c r="C704" s="52"/>
      <c r="H704" s="52"/>
      <c r="N704" s="52"/>
      <c r="P704" s="52"/>
      <c r="S704" s="52"/>
    </row>
    <row r="705" ht="15.75" customHeight="1">
      <c r="C705" s="52"/>
      <c r="H705" s="52"/>
      <c r="N705" s="52"/>
      <c r="P705" s="52"/>
      <c r="S705" s="52"/>
    </row>
    <row r="706" ht="15.75" customHeight="1">
      <c r="C706" s="52"/>
      <c r="H706" s="52"/>
      <c r="N706" s="52"/>
      <c r="P706" s="52"/>
      <c r="S706" s="52"/>
    </row>
    <row r="707" ht="15.75" customHeight="1">
      <c r="C707" s="52"/>
      <c r="H707" s="52"/>
      <c r="N707" s="52"/>
      <c r="P707" s="52"/>
      <c r="S707" s="52"/>
    </row>
    <row r="708" ht="15.75" customHeight="1">
      <c r="C708" s="52"/>
      <c r="H708" s="52"/>
      <c r="N708" s="52"/>
      <c r="P708" s="52"/>
      <c r="S708" s="52"/>
    </row>
    <row r="709" ht="15.75" customHeight="1">
      <c r="C709" s="52"/>
      <c r="H709" s="52"/>
      <c r="N709" s="52"/>
      <c r="P709" s="52"/>
      <c r="S709" s="52"/>
    </row>
    <row r="710" ht="15.75" customHeight="1">
      <c r="C710" s="52"/>
      <c r="H710" s="52"/>
      <c r="N710" s="52"/>
      <c r="P710" s="52"/>
      <c r="S710" s="52"/>
    </row>
    <row r="711" ht="15.75" customHeight="1">
      <c r="C711" s="52"/>
      <c r="H711" s="52"/>
      <c r="N711" s="52"/>
      <c r="P711" s="52"/>
      <c r="S711" s="52"/>
    </row>
    <row r="712" ht="15.75" customHeight="1">
      <c r="C712" s="52"/>
      <c r="H712" s="52"/>
      <c r="N712" s="52"/>
      <c r="P712" s="52"/>
      <c r="S712" s="52"/>
    </row>
    <row r="713" ht="15.75" customHeight="1">
      <c r="C713" s="52"/>
      <c r="H713" s="52"/>
      <c r="N713" s="52"/>
      <c r="P713" s="52"/>
      <c r="S713" s="52"/>
    </row>
    <row r="714" ht="15.75" customHeight="1">
      <c r="C714" s="52"/>
      <c r="H714" s="52"/>
      <c r="N714" s="52"/>
      <c r="P714" s="52"/>
      <c r="S714" s="52"/>
    </row>
    <row r="715" ht="15.75" customHeight="1">
      <c r="C715" s="52"/>
      <c r="H715" s="52"/>
      <c r="N715" s="52"/>
      <c r="P715" s="52"/>
      <c r="S715" s="52"/>
    </row>
    <row r="716" ht="15.75" customHeight="1">
      <c r="C716" s="52"/>
      <c r="H716" s="52"/>
      <c r="N716" s="52"/>
      <c r="P716" s="52"/>
      <c r="S716" s="52"/>
    </row>
    <row r="717" ht="15.75" customHeight="1">
      <c r="C717" s="52"/>
      <c r="H717" s="52"/>
      <c r="N717" s="52"/>
      <c r="P717" s="52"/>
      <c r="S717" s="52"/>
    </row>
    <row r="718" ht="15.75" customHeight="1">
      <c r="C718" s="52"/>
      <c r="H718" s="52"/>
      <c r="N718" s="52"/>
      <c r="P718" s="52"/>
      <c r="S718" s="52"/>
    </row>
    <row r="719" ht="15.75" customHeight="1">
      <c r="C719" s="52"/>
      <c r="H719" s="52"/>
      <c r="N719" s="52"/>
      <c r="P719" s="52"/>
      <c r="S719" s="52"/>
    </row>
    <row r="720" ht="15.75" customHeight="1">
      <c r="C720" s="52"/>
      <c r="H720" s="52"/>
      <c r="N720" s="52"/>
      <c r="P720" s="52"/>
      <c r="S720" s="52"/>
    </row>
    <row r="721" ht="15.75" customHeight="1">
      <c r="C721" s="52"/>
      <c r="H721" s="52"/>
      <c r="N721" s="52"/>
      <c r="P721" s="52"/>
      <c r="S721" s="52"/>
    </row>
    <row r="722" ht="15.75" customHeight="1">
      <c r="C722" s="52"/>
      <c r="H722" s="52"/>
      <c r="N722" s="52"/>
      <c r="P722" s="52"/>
      <c r="S722" s="52"/>
    </row>
    <row r="723" ht="15.75" customHeight="1">
      <c r="C723" s="52"/>
      <c r="H723" s="52"/>
      <c r="N723" s="52"/>
      <c r="P723" s="52"/>
      <c r="S723" s="52"/>
    </row>
    <row r="724" ht="15.75" customHeight="1">
      <c r="C724" s="52"/>
      <c r="H724" s="52"/>
      <c r="N724" s="52"/>
      <c r="P724" s="52"/>
      <c r="S724" s="52"/>
    </row>
    <row r="725" ht="15.75" customHeight="1">
      <c r="C725" s="52"/>
      <c r="H725" s="52"/>
      <c r="N725" s="52"/>
      <c r="P725" s="52"/>
      <c r="S725" s="52"/>
    </row>
    <row r="726" ht="15.75" customHeight="1">
      <c r="C726" s="52"/>
      <c r="H726" s="52"/>
      <c r="N726" s="52"/>
      <c r="P726" s="52"/>
      <c r="S726" s="52"/>
    </row>
    <row r="727" ht="15.75" customHeight="1">
      <c r="C727" s="52"/>
      <c r="H727" s="52"/>
      <c r="N727" s="52"/>
      <c r="P727" s="52"/>
      <c r="S727" s="52"/>
    </row>
    <row r="728" ht="15.75" customHeight="1">
      <c r="C728" s="52"/>
      <c r="H728" s="52"/>
      <c r="N728" s="52"/>
      <c r="P728" s="52"/>
      <c r="S728" s="52"/>
    </row>
    <row r="729" ht="15.75" customHeight="1">
      <c r="C729" s="52"/>
      <c r="H729" s="52"/>
      <c r="N729" s="52"/>
      <c r="P729" s="52"/>
      <c r="S729" s="52"/>
    </row>
    <row r="730" ht="15.75" customHeight="1">
      <c r="C730" s="52"/>
      <c r="H730" s="52"/>
      <c r="N730" s="52"/>
      <c r="P730" s="52"/>
      <c r="S730" s="52"/>
    </row>
    <row r="731" ht="15.75" customHeight="1">
      <c r="C731" s="52"/>
      <c r="H731" s="52"/>
      <c r="N731" s="52"/>
      <c r="P731" s="52"/>
      <c r="S731" s="52"/>
    </row>
    <row r="732" ht="15.75" customHeight="1">
      <c r="C732" s="52"/>
      <c r="H732" s="52"/>
      <c r="N732" s="52"/>
      <c r="P732" s="52"/>
      <c r="S732" s="52"/>
    </row>
    <row r="733" ht="15.75" customHeight="1">
      <c r="C733" s="52"/>
      <c r="H733" s="52"/>
      <c r="N733" s="52"/>
      <c r="P733" s="52"/>
      <c r="S733" s="52"/>
    </row>
    <row r="734" ht="15.75" customHeight="1">
      <c r="C734" s="52"/>
      <c r="H734" s="52"/>
      <c r="N734" s="52"/>
      <c r="P734" s="52"/>
      <c r="S734" s="52"/>
    </row>
    <row r="735" ht="15.75" customHeight="1">
      <c r="C735" s="52"/>
      <c r="H735" s="52"/>
      <c r="N735" s="52"/>
      <c r="P735" s="52"/>
      <c r="S735" s="52"/>
    </row>
    <row r="736" ht="15.75" customHeight="1">
      <c r="C736" s="52"/>
      <c r="H736" s="52"/>
      <c r="N736" s="52"/>
      <c r="P736" s="52"/>
      <c r="S736" s="52"/>
    </row>
    <row r="737" ht="15.75" customHeight="1">
      <c r="C737" s="52"/>
      <c r="H737" s="52"/>
      <c r="N737" s="52"/>
      <c r="P737" s="52"/>
      <c r="S737" s="52"/>
    </row>
    <row r="738" ht="15.75" customHeight="1">
      <c r="C738" s="52"/>
      <c r="H738" s="52"/>
      <c r="N738" s="52"/>
      <c r="P738" s="52"/>
      <c r="S738" s="52"/>
    </row>
    <row r="739" ht="15.75" customHeight="1">
      <c r="C739" s="52"/>
      <c r="H739" s="52"/>
      <c r="N739" s="52"/>
      <c r="P739" s="52"/>
      <c r="S739" s="52"/>
    </row>
    <row r="740" ht="15.75" customHeight="1">
      <c r="C740" s="52"/>
      <c r="H740" s="52"/>
      <c r="N740" s="52"/>
      <c r="P740" s="52"/>
      <c r="S740" s="52"/>
    </row>
    <row r="741" ht="15.75" customHeight="1">
      <c r="C741" s="52"/>
      <c r="H741" s="52"/>
      <c r="N741" s="52"/>
      <c r="P741" s="52"/>
      <c r="S741" s="52"/>
    </row>
    <row r="742" ht="15.75" customHeight="1">
      <c r="C742" s="52"/>
      <c r="H742" s="52"/>
      <c r="N742" s="52"/>
      <c r="P742" s="52"/>
      <c r="S742" s="52"/>
    </row>
    <row r="743" ht="15.75" customHeight="1">
      <c r="C743" s="52"/>
      <c r="H743" s="52"/>
      <c r="N743" s="52"/>
      <c r="P743" s="52"/>
      <c r="S743" s="52"/>
    </row>
    <row r="744" ht="15.75" customHeight="1">
      <c r="C744" s="52"/>
      <c r="H744" s="52"/>
      <c r="N744" s="52"/>
      <c r="P744" s="52"/>
      <c r="S744" s="52"/>
    </row>
    <row r="745" ht="15.75" customHeight="1">
      <c r="C745" s="52"/>
      <c r="H745" s="52"/>
      <c r="N745" s="52"/>
      <c r="P745" s="52"/>
      <c r="S745" s="52"/>
    </row>
    <row r="746" ht="15.75" customHeight="1">
      <c r="C746" s="52"/>
      <c r="H746" s="52"/>
      <c r="N746" s="52"/>
      <c r="P746" s="52"/>
      <c r="S746" s="52"/>
    </row>
    <row r="747" ht="15.75" customHeight="1">
      <c r="C747" s="52"/>
      <c r="H747" s="52"/>
      <c r="N747" s="52"/>
      <c r="P747" s="52"/>
      <c r="S747" s="52"/>
    </row>
    <row r="748" ht="15.75" customHeight="1">
      <c r="C748" s="52"/>
      <c r="H748" s="52"/>
      <c r="N748" s="52"/>
      <c r="P748" s="52"/>
      <c r="S748" s="52"/>
    </row>
    <row r="749" ht="15.75" customHeight="1">
      <c r="C749" s="52"/>
      <c r="H749" s="52"/>
      <c r="N749" s="52"/>
      <c r="P749" s="52"/>
      <c r="S749" s="52"/>
    </row>
    <row r="750" ht="15.75" customHeight="1">
      <c r="C750" s="52"/>
      <c r="H750" s="52"/>
      <c r="N750" s="52"/>
      <c r="P750" s="52"/>
      <c r="S750" s="52"/>
    </row>
    <row r="751" ht="15.75" customHeight="1">
      <c r="C751" s="52"/>
      <c r="H751" s="52"/>
      <c r="N751" s="52"/>
      <c r="P751" s="52"/>
      <c r="S751" s="52"/>
    </row>
    <row r="752" ht="15.75" customHeight="1">
      <c r="C752" s="52"/>
      <c r="H752" s="52"/>
      <c r="N752" s="52"/>
      <c r="P752" s="52"/>
      <c r="S752" s="52"/>
    </row>
    <row r="753" ht="15.75" customHeight="1">
      <c r="C753" s="52"/>
      <c r="H753" s="52"/>
      <c r="N753" s="52"/>
      <c r="P753" s="52"/>
      <c r="S753" s="52"/>
    </row>
    <row r="754" ht="15.75" customHeight="1">
      <c r="C754" s="52"/>
      <c r="H754" s="52"/>
      <c r="N754" s="52"/>
      <c r="P754" s="52"/>
      <c r="S754" s="52"/>
    </row>
    <row r="755" ht="15.75" customHeight="1">
      <c r="C755" s="52"/>
      <c r="H755" s="52"/>
      <c r="N755" s="52"/>
      <c r="P755" s="52"/>
      <c r="S755" s="52"/>
    </row>
    <row r="756" ht="15.75" customHeight="1">
      <c r="C756" s="52"/>
      <c r="H756" s="52"/>
      <c r="N756" s="52"/>
      <c r="P756" s="52"/>
      <c r="S756" s="52"/>
    </row>
    <row r="757" ht="15.75" customHeight="1">
      <c r="C757" s="52"/>
      <c r="H757" s="52"/>
      <c r="N757" s="52"/>
      <c r="P757" s="52"/>
      <c r="S757" s="52"/>
    </row>
    <row r="758" ht="15.75" customHeight="1">
      <c r="C758" s="52"/>
      <c r="H758" s="52"/>
      <c r="N758" s="52"/>
      <c r="P758" s="52"/>
      <c r="S758" s="52"/>
    </row>
    <row r="759" ht="15.75" customHeight="1">
      <c r="C759" s="52"/>
      <c r="H759" s="52"/>
      <c r="N759" s="52"/>
      <c r="P759" s="52"/>
      <c r="S759" s="52"/>
    </row>
    <row r="760" ht="15.75" customHeight="1">
      <c r="C760" s="52"/>
      <c r="H760" s="52"/>
      <c r="N760" s="52"/>
      <c r="P760" s="52"/>
      <c r="S760" s="52"/>
    </row>
    <row r="761" ht="15.75" customHeight="1">
      <c r="C761" s="52"/>
      <c r="H761" s="52"/>
      <c r="N761" s="52"/>
      <c r="P761" s="52"/>
      <c r="S761" s="52"/>
    </row>
    <row r="762" ht="15.75" customHeight="1">
      <c r="C762" s="52"/>
      <c r="H762" s="52"/>
      <c r="N762" s="52"/>
      <c r="P762" s="52"/>
      <c r="S762" s="52"/>
    </row>
    <row r="763" ht="15.75" customHeight="1">
      <c r="C763" s="52"/>
      <c r="H763" s="52"/>
      <c r="N763" s="52"/>
      <c r="P763" s="52"/>
      <c r="S763" s="52"/>
    </row>
    <row r="764" ht="15.75" customHeight="1">
      <c r="C764" s="52"/>
      <c r="H764" s="52"/>
      <c r="N764" s="52"/>
      <c r="P764" s="52"/>
      <c r="S764" s="52"/>
    </row>
    <row r="765" ht="15.75" customHeight="1">
      <c r="C765" s="52"/>
      <c r="H765" s="52"/>
      <c r="N765" s="52"/>
      <c r="P765" s="52"/>
      <c r="S765" s="52"/>
    </row>
    <row r="766" ht="15.75" customHeight="1">
      <c r="C766" s="52"/>
      <c r="H766" s="52"/>
      <c r="N766" s="52"/>
      <c r="P766" s="52"/>
      <c r="S766" s="52"/>
    </row>
    <row r="767" ht="15.75" customHeight="1">
      <c r="C767" s="52"/>
      <c r="H767" s="52"/>
      <c r="N767" s="52"/>
      <c r="P767" s="52"/>
      <c r="S767" s="52"/>
    </row>
    <row r="768" ht="15.75" customHeight="1">
      <c r="C768" s="52"/>
      <c r="H768" s="52"/>
      <c r="N768" s="52"/>
      <c r="P768" s="52"/>
      <c r="S768" s="52"/>
    </row>
    <row r="769" ht="15.75" customHeight="1">
      <c r="C769" s="52"/>
      <c r="H769" s="52"/>
      <c r="N769" s="52"/>
      <c r="P769" s="52"/>
      <c r="S769" s="52"/>
    </row>
    <row r="770" ht="15.75" customHeight="1">
      <c r="C770" s="52"/>
      <c r="H770" s="52"/>
      <c r="N770" s="52"/>
      <c r="P770" s="52"/>
      <c r="S770" s="52"/>
    </row>
    <row r="771" ht="15.75" customHeight="1">
      <c r="C771" s="52"/>
      <c r="H771" s="52"/>
      <c r="N771" s="52"/>
      <c r="P771" s="52"/>
      <c r="S771" s="52"/>
    </row>
    <row r="772" ht="15.75" customHeight="1">
      <c r="C772" s="52"/>
      <c r="H772" s="52"/>
      <c r="N772" s="52"/>
      <c r="P772" s="52"/>
      <c r="S772" s="52"/>
    </row>
    <row r="773" ht="15.75" customHeight="1">
      <c r="C773" s="52"/>
      <c r="H773" s="52"/>
      <c r="N773" s="52"/>
      <c r="P773" s="52"/>
      <c r="S773" s="52"/>
    </row>
    <row r="774" ht="15.75" customHeight="1">
      <c r="C774" s="52"/>
      <c r="H774" s="52"/>
      <c r="N774" s="52"/>
      <c r="P774" s="52"/>
      <c r="S774" s="52"/>
    </row>
    <row r="775" ht="15.75" customHeight="1">
      <c r="C775" s="52"/>
      <c r="H775" s="52"/>
      <c r="N775" s="52"/>
      <c r="P775" s="52"/>
      <c r="S775" s="52"/>
    </row>
    <row r="776" ht="15.75" customHeight="1">
      <c r="C776" s="52"/>
      <c r="H776" s="52"/>
      <c r="N776" s="52"/>
      <c r="P776" s="52"/>
      <c r="S776" s="52"/>
    </row>
    <row r="777" ht="15.75" customHeight="1">
      <c r="C777" s="52"/>
      <c r="H777" s="52"/>
      <c r="N777" s="52"/>
      <c r="P777" s="52"/>
      <c r="S777" s="52"/>
    </row>
    <row r="778" ht="15.75" customHeight="1">
      <c r="C778" s="52"/>
      <c r="H778" s="52"/>
      <c r="N778" s="52"/>
      <c r="P778" s="52"/>
      <c r="S778" s="52"/>
    </row>
    <row r="779" ht="15.75" customHeight="1">
      <c r="C779" s="52"/>
      <c r="H779" s="52"/>
      <c r="N779" s="52"/>
      <c r="P779" s="52"/>
      <c r="S779" s="52"/>
    </row>
    <row r="780" ht="15.75" customHeight="1">
      <c r="C780" s="52"/>
      <c r="H780" s="52"/>
      <c r="N780" s="52"/>
      <c r="P780" s="52"/>
      <c r="S780" s="52"/>
    </row>
    <row r="781" ht="15.75" customHeight="1">
      <c r="C781" s="52"/>
      <c r="H781" s="52"/>
      <c r="N781" s="52"/>
      <c r="P781" s="52"/>
      <c r="S781" s="52"/>
    </row>
    <row r="782" ht="15.75" customHeight="1">
      <c r="C782" s="52"/>
      <c r="H782" s="52"/>
      <c r="N782" s="52"/>
      <c r="P782" s="52"/>
      <c r="S782" s="52"/>
    </row>
    <row r="783" ht="15.75" customHeight="1">
      <c r="C783" s="52"/>
      <c r="H783" s="52"/>
      <c r="N783" s="52"/>
      <c r="P783" s="52"/>
      <c r="S783" s="52"/>
    </row>
    <row r="784" ht="15.75" customHeight="1">
      <c r="C784" s="52"/>
      <c r="H784" s="52"/>
      <c r="N784" s="52"/>
      <c r="P784" s="52"/>
      <c r="S784" s="52"/>
    </row>
    <row r="785" ht="15.75" customHeight="1">
      <c r="C785" s="52"/>
      <c r="H785" s="52"/>
      <c r="N785" s="52"/>
      <c r="P785" s="52"/>
      <c r="S785" s="52"/>
    </row>
    <row r="786" ht="15.75" customHeight="1">
      <c r="C786" s="52"/>
      <c r="H786" s="52"/>
      <c r="N786" s="52"/>
      <c r="P786" s="52"/>
      <c r="S786" s="52"/>
    </row>
    <row r="787" ht="15.75" customHeight="1">
      <c r="C787" s="52"/>
      <c r="H787" s="52"/>
      <c r="N787" s="52"/>
      <c r="P787" s="52"/>
      <c r="S787" s="52"/>
    </row>
    <row r="788" ht="15.75" customHeight="1">
      <c r="C788" s="52"/>
      <c r="H788" s="52"/>
      <c r="N788" s="52"/>
      <c r="P788" s="52"/>
      <c r="S788" s="52"/>
    </row>
    <row r="789" ht="15.75" customHeight="1">
      <c r="C789" s="52"/>
      <c r="H789" s="52"/>
      <c r="N789" s="52"/>
      <c r="P789" s="52"/>
      <c r="S789" s="52"/>
    </row>
    <row r="790" ht="15.75" customHeight="1">
      <c r="C790" s="52"/>
      <c r="H790" s="52"/>
      <c r="N790" s="52"/>
      <c r="P790" s="52"/>
      <c r="S790" s="52"/>
    </row>
    <row r="791" ht="15.75" customHeight="1">
      <c r="C791" s="52"/>
      <c r="H791" s="52"/>
      <c r="N791" s="52"/>
      <c r="P791" s="52"/>
      <c r="S791" s="52"/>
    </row>
    <row r="792" ht="15.75" customHeight="1">
      <c r="C792" s="52"/>
      <c r="H792" s="52"/>
      <c r="N792" s="52"/>
      <c r="P792" s="52"/>
      <c r="S792" s="52"/>
    </row>
    <row r="793" ht="15.75" customHeight="1">
      <c r="C793" s="52"/>
      <c r="H793" s="52"/>
      <c r="N793" s="52"/>
      <c r="P793" s="52"/>
      <c r="S793" s="52"/>
    </row>
    <row r="794" ht="15.75" customHeight="1">
      <c r="C794" s="52"/>
      <c r="H794" s="52"/>
      <c r="N794" s="52"/>
      <c r="P794" s="52"/>
      <c r="S794" s="52"/>
    </row>
    <row r="795" ht="15.75" customHeight="1">
      <c r="C795" s="52"/>
      <c r="H795" s="52"/>
      <c r="N795" s="52"/>
      <c r="P795" s="52"/>
      <c r="S795" s="52"/>
    </row>
    <row r="796" ht="15.75" customHeight="1">
      <c r="C796" s="52"/>
      <c r="H796" s="52"/>
      <c r="N796" s="52"/>
      <c r="P796" s="52"/>
      <c r="S796" s="52"/>
    </row>
    <row r="797" ht="15.75" customHeight="1">
      <c r="C797" s="52"/>
      <c r="H797" s="52"/>
      <c r="N797" s="52"/>
      <c r="P797" s="52"/>
      <c r="S797" s="52"/>
    </row>
    <row r="798" ht="15.75" customHeight="1">
      <c r="C798" s="52"/>
      <c r="H798" s="52"/>
      <c r="N798" s="52"/>
      <c r="P798" s="52"/>
      <c r="S798" s="52"/>
    </row>
    <row r="799" ht="15.75" customHeight="1">
      <c r="C799" s="52"/>
      <c r="H799" s="52"/>
      <c r="N799" s="52"/>
      <c r="P799" s="52"/>
      <c r="S799" s="52"/>
    </row>
    <row r="800" ht="15.75" customHeight="1">
      <c r="C800" s="52"/>
      <c r="H800" s="52"/>
      <c r="N800" s="52"/>
      <c r="P800" s="52"/>
      <c r="S800" s="52"/>
    </row>
    <row r="801" ht="15.75" customHeight="1">
      <c r="C801" s="52"/>
      <c r="H801" s="52"/>
      <c r="N801" s="52"/>
      <c r="P801" s="52"/>
      <c r="S801" s="52"/>
    </row>
    <row r="802" ht="15.75" customHeight="1">
      <c r="C802" s="52"/>
      <c r="H802" s="52"/>
      <c r="N802" s="52"/>
      <c r="P802" s="52"/>
      <c r="S802" s="52"/>
    </row>
    <row r="803" ht="15.75" customHeight="1">
      <c r="C803" s="52"/>
      <c r="H803" s="52"/>
      <c r="N803" s="52"/>
      <c r="P803" s="52"/>
      <c r="S803" s="52"/>
    </row>
    <row r="804" ht="15.75" customHeight="1">
      <c r="C804" s="52"/>
      <c r="H804" s="52"/>
      <c r="N804" s="52"/>
      <c r="P804" s="52"/>
      <c r="S804" s="52"/>
    </row>
    <row r="805" ht="15.75" customHeight="1">
      <c r="C805" s="52"/>
      <c r="H805" s="52"/>
      <c r="N805" s="52"/>
      <c r="P805" s="52"/>
      <c r="S805" s="52"/>
    </row>
    <row r="806" ht="15.75" customHeight="1">
      <c r="C806" s="52"/>
      <c r="H806" s="52"/>
      <c r="N806" s="52"/>
      <c r="P806" s="52"/>
      <c r="S806" s="52"/>
    </row>
    <row r="807" ht="15.75" customHeight="1">
      <c r="C807" s="52"/>
      <c r="H807" s="52"/>
      <c r="N807" s="52"/>
      <c r="P807" s="52"/>
      <c r="S807" s="52"/>
    </row>
    <row r="808" ht="15.75" customHeight="1">
      <c r="C808" s="52"/>
      <c r="H808" s="52"/>
      <c r="N808" s="52"/>
      <c r="P808" s="52"/>
      <c r="S808" s="52"/>
    </row>
    <row r="809" ht="15.75" customHeight="1">
      <c r="C809" s="52"/>
      <c r="H809" s="52"/>
      <c r="N809" s="52"/>
      <c r="P809" s="52"/>
      <c r="S809" s="52"/>
    </row>
    <row r="810" ht="15.75" customHeight="1">
      <c r="C810" s="52"/>
      <c r="H810" s="52"/>
      <c r="N810" s="52"/>
      <c r="P810" s="52"/>
      <c r="S810" s="52"/>
    </row>
    <row r="811" ht="15.75" customHeight="1">
      <c r="C811" s="52"/>
      <c r="H811" s="52"/>
      <c r="N811" s="52"/>
      <c r="P811" s="52"/>
      <c r="S811" s="52"/>
    </row>
    <row r="812" ht="15.75" customHeight="1">
      <c r="C812" s="52"/>
      <c r="H812" s="52"/>
      <c r="N812" s="52"/>
      <c r="P812" s="52"/>
      <c r="S812" s="52"/>
    </row>
    <row r="813" ht="15.75" customHeight="1">
      <c r="C813" s="52"/>
      <c r="H813" s="52"/>
      <c r="N813" s="52"/>
      <c r="P813" s="52"/>
      <c r="S813" s="52"/>
    </row>
    <row r="814" ht="15.75" customHeight="1">
      <c r="C814" s="52"/>
      <c r="H814" s="52"/>
      <c r="N814" s="52"/>
      <c r="P814" s="52"/>
      <c r="S814" s="52"/>
    </row>
    <row r="815" ht="15.75" customHeight="1">
      <c r="C815" s="52"/>
      <c r="H815" s="52"/>
      <c r="N815" s="52"/>
      <c r="P815" s="52"/>
      <c r="S815" s="52"/>
    </row>
    <row r="816" ht="15.75" customHeight="1">
      <c r="C816" s="52"/>
      <c r="H816" s="52"/>
      <c r="N816" s="52"/>
      <c r="P816" s="52"/>
      <c r="S816" s="52"/>
    </row>
    <row r="817" ht="15.75" customHeight="1">
      <c r="C817" s="52"/>
      <c r="H817" s="52"/>
      <c r="N817" s="52"/>
      <c r="P817" s="52"/>
      <c r="S817" s="52"/>
    </row>
    <row r="818" ht="15.75" customHeight="1">
      <c r="C818" s="52"/>
      <c r="H818" s="52"/>
      <c r="N818" s="52"/>
      <c r="P818" s="52"/>
      <c r="S818" s="52"/>
    </row>
    <row r="819" ht="15.75" customHeight="1">
      <c r="C819" s="52"/>
      <c r="H819" s="52"/>
      <c r="N819" s="52"/>
      <c r="P819" s="52"/>
      <c r="S819" s="52"/>
    </row>
    <row r="820" ht="15.75" customHeight="1">
      <c r="C820" s="52"/>
      <c r="H820" s="52"/>
      <c r="N820" s="52"/>
      <c r="P820" s="52"/>
      <c r="S820" s="52"/>
    </row>
    <row r="821" ht="15.75" customHeight="1">
      <c r="C821" s="52"/>
      <c r="H821" s="52"/>
      <c r="N821" s="52"/>
      <c r="P821" s="52"/>
      <c r="S821" s="52"/>
    </row>
    <row r="822" ht="15.75" customHeight="1">
      <c r="C822" s="52"/>
      <c r="H822" s="52"/>
      <c r="N822" s="52"/>
      <c r="P822" s="52"/>
      <c r="S822" s="52"/>
    </row>
    <row r="823" ht="15.75" customHeight="1">
      <c r="C823" s="52"/>
      <c r="H823" s="52"/>
      <c r="N823" s="52"/>
      <c r="P823" s="52"/>
      <c r="S823" s="52"/>
    </row>
    <row r="824" ht="15.75" customHeight="1">
      <c r="C824" s="52"/>
      <c r="H824" s="52"/>
      <c r="N824" s="52"/>
      <c r="P824" s="52"/>
      <c r="S824" s="52"/>
    </row>
    <row r="825" ht="15.75" customHeight="1">
      <c r="C825" s="52"/>
      <c r="H825" s="52"/>
      <c r="N825" s="52"/>
      <c r="P825" s="52"/>
      <c r="S825" s="52"/>
    </row>
    <row r="826" ht="15.75" customHeight="1">
      <c r="C826" s="52"/>
      <c r="H826" s="52"/>
      <c r="N826" s="52"/>
      <c r="P826" s="52"/>
      <c r="S826" s="52"/>
    </row>
    <row r="827" ht="15.75" customHeight="1">
      <c r="C827" s="52"/>
      <c r="H827" s="52"/>
      <c r="N827" s="52"/>
      <c r="P827" s="52"/>
      <c r="S827" s="52"/>
    </row>
    <row r="828" ht="15.75" customHeight="1">
      <c r="C828" s="52"/>
      <c r="H828" s="52"/>
      <c r="N828" s="52"/>
      <c r="P828" s="52"/>
      <c r="S828" s="52"/>
    </row>
    <row r="829" ht="15.75" customHeight="1">
      <c r="C829" s="52"/>
      <c r="H829" s="52"/>
      <c r="N829" s="52"/>
      <c r="P829" s="52"/>
      <c r="S829" s="52"/>
    </row>
    <row r="830" ht="15.75" customHeight="1">
      <c r="C830" s="52"/>
      <c r="H830" s="52"/>
      <c r="N830" s="52"/>
      <c r="P830" s="52"/>
      <c r="S830" s="52"/>
    </row>
    <row r="831" ht="15.75" customHeight="1">
      <c r="C831" s="52"/>
      <c r="H831" s="52"/>
      <c r="N831" s="52"/>
      <c r="P831" s="52"/>
      <c r="S831" s="52"/>
    </row>
    <row r="832" ht="15.75" customHeight="1">
      <c r="C832" s="52"/>
      <c r="H832" s="52"/>
      <c r="N832" s="52"/>
      <c r="P832" s="52"/>
      <c r="S832" s="52"/>
    </row>
    <row r="833" ht="15.75" customHeight="1">
      <c r="C833" s="52"/>
      <c r="H833" s="52"/>
      <c r="N833" s="52"/>
      <c r="P833" s="52"/>
      <c r="S833" s="52"/>
    </row>
    <row r="834" ht="15.75" customHeight="1">
      <c r="C834" s="52"/>
      <c r="H834" s="52"/>
      <c r="N834" s="52"/>
      <c r="P834" s="52"/>
      <c r="S834" s="52"/>
    </row>
    <row r="835" ht="15.75" customHeight="1">
      <c r="C835" s="52"/>
      <c r="H835" s="52"/>
      <c r="N835" s="52"/>
      <c r="P835" s="52"/>
      <c r="S835" s="52"/>
    </row>
    <row r="836" ht="15.75" customHeight="1">
      <c r="C836" s="52"/>
      <c r="H836" s="52"/>
      <c r="N836" s="52"/>
      <c r="P836" s="52"/>
      <c r="S836" s="52"/>
    </row>
    <row r="837" ht="15.75" customHeight="1">
      <c r="C837" s="52"/>
      <c r="H837" s="52"/>
      <c r="N837" s="52"/>
      <c r="P837" s="52"/>
      <c r="S837" s="52"/>
    </row>
    <row r="838" ht="15.75" customHeight="1">
      <c r="C838" s="52"/>
      <c r="H838" s="52"/>
      <c r="N838" s="52"/>
      <c r="P838" s="52"/>
      <c r="S838" s="52"/>
    </row>
    <row r="839" ht="15.75" customHeight="1">
      <c r="C839" s="52"/>
      <c r="H839" s="52"/>
      <c r="N839" s="52"/>
      <c r="P839" s="52"/>
      <c r="S839" s="52"/>
    </row>
    <row r="840" ht="15.75" customHeight="1">
      <c r="C840" s="52"/>
      <c r="H840" s="52"/>
      <c r="N840" s="52"/>
      <c r="P840" s="52"/>
      <c r="S840" s="52"/>
    </row>
    <row r="841" ht="15.75" customHeight="1">
      <c r="C841" s="52"/>
      <c r="H841" s="52"/>
      <c r="N841" s="52"/>
      <c r="P841" s="52"/>
      <c r="S841" s="52"/>
    </row>
    <row r="842" ht="15.75" customHeight="1">
      <c r="C842" s="52"/>
      <c r="H842" s="52"/>
      <c r="N842" s="52"/>
      <c r="P842" s="52"/>
      <c r="S842" s="52"/>
    </row>
    <row r="843" ht="15.75" customHeight="1">
      <c r="C843" s="52"/>
      <c r="H843" s="52"/>
      <c r="N843" s="52"/>
      <c r="P843" s="52"/>
      <c r="S843" s="52"/>
    </row>
    <row r="844" ht="15.75" customHeight="1">
      <c r="C844" s="52"/>
      <c r="H844" s="52"/>
      <c r="N844" s="52"/>
      <c r="P844" s="52"/>
      <c r="S844" s="52"/>
    </row>
    <row r="845" ht="15.75" customHeight="1">
      <c r="C845" s="52"/>
      <c r="H845" s="52"/>
      <c r="N845" s="52"/>
      <c r="P845" s="52"/>
      <c r="S845" s="52"/>
    </row>
    <row r="846" ht="15.75" customHeight="1">
      <c r="C846" s="52"/>
      <c r="H846" s="52"/>
      <c r="N846" s="52"/>
      <c r="P846" s="52"/>
      <c r="S846" s="52"/>
    </row>
    <row r="847" ht="15.75" customHeight="1">
      <c r="C847" s="52"/>
      <c r="H847" s="52"/>
      <c r="N847" s="52"/>
      <c r="P847" s="52"/>
      <c r="S847" s="52"/>
    </row>
    <row r="848" ht="15.75" customHeight="1">
      <c r="C848" s="52"/>
      <c r="H848" s="52"/>
      <c r="N848" s="52"/>
      <c r="P848" s="52"/>
      <c r="S848" s="52"/>
    </row>
    <row r="849" ht="15.75" customHeight="1">
      <c r="C849" s="52"/>
      <c r="H849" s="52"/>
      <c r="N849" s="52"/>
      <c r="P849" s="52"/>
      <c r="S849" s="52"/>
    </row>
    <row r="850" ht="15.75" customHeight="1">
      <c r="C850" s="52"/>
      <c r="H850" s="52"/>
      <c r="N850" s="52"/>
      <c r="P850" s="52"/>
      <c r="S850" s="52"/>
    </row>
    <row r="851" ht="15.75" customHeight="1">
      <c r="C851" s="52"/>
      <c r="H851" s="52"/>
      <c r="N851" s="52"/>
      <c r="P851" s="52"/>
      <c r="S851" s="52"/>
    </row>
    <row r="852" ht="15.75" customHeight="1">
      <c r="C852" s="52"/>
      <c r="H852" s="52"/>
      <c r="N852" s="52"/>
      <c r="P852" s="52"/>
      <c r="S852" s="52"/>
    </row>
    <row r="853" ht="15.75" customHeight="1">
      <c r="C853" s="52"/>
      <c r="H853" s="52"/>
      <c r="N853" s="52"/>
      <c r="P853" s="52"/>
      <c r="S853" s="52"/>
    </row>
    <row r="854" ht="15.75" customHeight="1">
      <c r="C854" s="52"/>
      <c r="H854" s="52"/>
      <c r="N854" s="52"/>
      <c r="P854" s="52"/>
      <c r="S854" s="52"/>
    </row>
    <row r="855" ht="15.75" customHeight="1">
      <c r="C855" s="52"/>
      <c r="H855" s="52"/>
      <c r="N855" s="52"/>
      <c r="P855" s="52"/>
      <c r="S855" s="52"/>
    </row>
    <row r="856" ht="15.75" customHeight="1">
      <c r="C856" s="52"/>
      <c r="H856" s="52"/>
      <c r="N856" s="52"/>
      <c r="P856" s="52"/>
      <c r="S856" s="52"/>
    </row>
    <row r="857" ht="15.75" customHeight="1">
      <c r="C857" s="52"/>
      <c r="H857" s="52"/>
      <c r="N857" s="52"/>
      <c r="P857" s="52"/>
      <c r="S857" s="52"/>
    </row>
    <row r="858" ht="15.75" customHeight="1">
      <c r="C858" s="52"/>
      <c r="H858" s="52"/>
      <c r="N858" s="52"/>
      <c r="P858" s="52"/>
      <c r="S858" s="52"/>
    </row>
    <row r="859" ht="15.75" customHeight="1">
      <c r="C859" s="52"/>
      <c r="H859" s="52"/>
      <c r="N859" s="52"/>
      <c r="P859" s="52"/>
      <c r="S859" s="52"/>
    </row>
    <row r="860" ht="15.75" customHeight="1">
      <c r="C860" s="52"/>
      <c r="H860" s="52"/>
      <c r="N860" s="52"/>
      <c r="P860" s="52"/>
      <c r="S860" s="52"/>
    </row>
    <row r="861" ht="15.75" customHeight="1">
      <c r="C861" s="52"/>
      <c r="H861" s="52"/>
      <c r="N861" s="52"/>
      <c r="P861" s="52"/>
      <c r="S861" s="52"/>
    </row>
    <row r="862" ht="15.75" customHeight="1">
      <c r="C862" s="52"/>
      <c r="H862" s="52"/>
      <c r="N862" s="52"/>
      <c r="P862" s="52"/>
      <c r="S862" s="52"/>
    </row>
    <row r="863" ht="15.75" customHeight="1">
      <c r="C863" s="52"/>
      <c r="H863" s="52"/>
      <c r="N863" s="52"/>
      <c r="P863" s="52"/>
      <c r="S863" s="52"/>
    </row>
    <row r="864" ht="15.75" customHeight="1">
      <c r="C864" s="52"/>
      <c r="H864" s="52"/>
      <c r="N864" s="52"/>
      <c r="P864" s="52"/>
      <c r="S864" s="52"/>
    </row>
    <row r="865" ht="15.75" customHeight="1">
      <c r="C865" s="52"/>
      <c r="H865" s="52"/>
      <c r="N865" s="52"/>
      <c r="P865" s="52"/>
      <c r="S865" s="52"/>
    </row>
    <row r="866" ht="15.75" customHeight="1">
      <c r="C866" s="52"/>
      <c r="H866" s="52"/>
      <c r="N866" s="52"/>
      <c r="P866" s="52"/>
      <c r="S866" s="52"/>
    </row>
    <row r="867" ht="15.75" customHeight="1">
      <c r="C867" s="52"/>
      <c r="H867" s="52"/>
      <c r="N867" s="52"/>
      <c r="P867" s="52"/>
      <c r="S867" s="52"/>
    </row>
    <row r="868" ht="15.75" customHeight="1">
      <c r="C868" s="52"/>
      <c r="H868" s="52"/>
      <c r="N868" s="52"/>
      <c r="P868" s="52"/>
      <c r="S868" s="52"/>
    </row>
    <row r="869" ht="15.75" customHeight="1">
      <c r="C869" s="52"/>
      <c r="H869" s="52"/>
      <c r="N869" s="52"/>
      <c r="P869" s="52"/>
      <c r="S869" s="52"/>
    </row>
    <row r="870" ht="15.75" customHeight="1">
      <c r="C870" s="52"/>
      <c r="H870" s="52"/>
      <c r="N870" s="52"/>
      <c r="P870" s="52"/>
      <c r="S870" s="52"/>
    </row>
    <row r="871" ht="15.75" customHeight="1">
      <c r="C871" s="52"/>
      <c r="H871" s="52"/>
      <c r="N871" s="52"/>
      <c r="P871" s="52"/>
      <c r="S871" s="52"/>
    </row>
    <row r="872" ht="15.75" customHeight="1">
      <c r="C872" s="52"/>
      <c r="H872" s="52"/>
      <c r="N872" s="52"/>
      <c r="P872" s="52"/>
      <c r="S872" s="52"/>
    </row>
    <row r="873" ht="15.75" customHeight="1">
      <c r="C873" s="52"/>
      <c r="H873" s="52"/>
      <c r="N873" s="52"/>
      <c r="P873" s="52"/>
      <c r="S873" s="52"/>
    </row>
    <row r="874" ht="15.75" customHeight="1">
      <c r="C874" s="52"/>
      <c r="H874" s="52"/>
      <c r="N874" s="52"/>
      <c r="P874" s="52"/>
      <c r="S874" s="52"/>
    </row>
    <row r="875" ht="15.75" customHeight="1">
      <c r="C875" s="52"/>
      <c r="H875" s="52"/>
      <c r="N875" s="52"/>
      <c r="P875" s="52"/>
      <c r="S875" s="52"/>
    </row>
    <row r="876" ht="15.75" customHeight="1">
      <c r="C876" s="52"/>
      <c r="H876" s="52"/>
      <c r="N876" s="52"/>
      <c r="P876" s="52"/>
      <c r="S876" s="52"/>
    </row>
    <row r="877" ht="15.75" customHeight="1">
      <c r="C877" s="52"/>
      <c r="H877" s="52"/>
      <c r="N877" s="52"/>
      <c r="P877" s="52"/>
      <c r="S877" s="52"/>
    </row>
    <row r="878" ht="15.75" customHeight="1">
      <c r="C878" s="52"/>
      <c r="H878" s="52"/>
      <c r="N878" s="52"/>
      <c r="P878" s="52"/>
      <c r="S878" s="52"/>
    </row>
    <row r="879" ht="15.75" customHeight="1">
      <c r="C879" s="52"/>
      <c r="H879" s="52"/>
      <c r="N879" s="52"/>
      <c r="P879" s="52"/>
      <c r="S879" s="52"/>
    </row>
    <row r="880" ht="15.75" customHeight="1">
      <c r="C880" s="52"/>
      <c r="H880" s="52"/>
      <c r="N880" s="52"/>
      <c r="P880" s="52"/>
      <c r="S880" s="52"/>
    </row>
    <row r="881" ht="15.75" customHeight="1">
      <c r="C881" s="52"/>
      <c r="H881" s="52"/>
      <c r="N881" s="52"/>
      <c r="P881" s="52"/>
      <c r="S881" s="52"/>
    </row>
    <row r="882" ht="15.75" customHeight="1">
      <c r="C882" s="52"/>
      <c r="H882" s="52"/>
      <c r="N882" s="52"/>
      <c r="P882" s="52"/>
      <c r="S882" s="52"/>
    </row>
    <row r="883" ht="15.75" customHeight="1">
      <c r="C883" s="52"/>
      <c r="H883" s="52"/>
      <c r="N883" s="52"/>
      <c r="P883" s="52"/>
      <c r="S883" s="52"/>
    </row>
    <row r="884" ht="15.75" customHeight="1">
      <c r="C884" s="52"/>
      <c r="H884" s="52"/>
      <c r="N884" s="52"/>
      <c r="P884" s="52"/>
      <c r="S884" s="52"/>
    </row>
    <row r="885" ht="15.75" customHeight="1">
      <c r="C885" s="52"/>
      <c r="H885" s="52"/>
      <c r="N885" s="52"/>
      <c r="P885" s="52"/>
      <c r="S885" s="52"/>
    </row>
    <row r="886" ht="15.75" customHeight="1">
      <c r="C886" s="52"/>
      <c r="H886" s="52"/>
      <c r="N886" s="52"/>
      <c r="P886" s="52"/>
      <c r="S886" s="52"/>
    </row>
    <row r="887" ht="15.75" customHeight="1">
      <c r="C887" s="52"/>
      <c r="H887" s="52"/>
      <c r="N887" s="52"/>
      <c r="P887" s="52"/>
      <c r="S887" s="52"/>
    </row>
    <row r="888" ht="15.75" customHeight="1">
      <c r="C888" s="52"/>
      <c r="H888" s="52"/>
      <c r="N888" s="52"/>
      <c r="P888" s="52"/>
      <c r="S888" s="52"/>
    </row>
    <row r="889" ht="15.75" customHeight="1">
      <c r="C889" s="52"/>
      <c r="H889" s="52"/>
      <c r="N889" s="52"/>
      <c r="P889" s="52"/>
      <c r="S889" s="52"/>
    </row>
    <row r="890" ht="15.75" customHeight="1">
      <c r="C890" s="52"/>
      <c r="H890" s="52"/>
      <c r="N890" s="52"/>
      <c r="P890" s="52"/>
      <c r="S890" s="52"/>
    </row>
    <row r="891" ht="15.75" customHeight="1">
      <c r="C891" s="52"/>
      <c r="H891" s="52"/>
      <c r="N891" s="52"/>
      <c r="P891" s="52"/>
      <c r="S891" s="52"/>
    </row>
    <row r="892" ht="15.75" customHeight="1">
      <c r="C892" s="52"/>
      <c r="H892" s="52"/>
      <c r="N892" s="52"/>
      <c r="P892" s="52"/>
      <c r="S892" s="52"/>
    </row>
    <row r="893" ht="15.75" customHeight="1">
      <c r="C893" s="52"/>
      <c r="H893" s="52"/>
      <c r="N893" s="52"/>
      <c r="P893" s="52"/>
      <c r="S893" s="52"/>
    </row>
    <row r="894" ht="15.75" customHeight="1">
      <c r="C894" s="52"/>
      <c r="H894" s="52"/>
      <c r="N894" s="52"/>
      <c r="P894" s="52"/>
      <c r="S894" s="52"/>
    </row>
    <row r="895" ht="15.75" customHeight="1">
      <c r="C895" s="52"/>
      <c r="H895" s="52"/>
      <c r="N895" s="52"/>
      <c r="P895" s="52"/>
      <c r="S895" s="52"/>
    </row>
    <row r="896" ht="15.75" customHeight="1">
      <c r="C896" s="52"/>
      <c r="H896" s="52"/>
      <c r="N896" s="52"/>
      <c r="P896" s="52"/>
      <c r="S896" s="52"/>
    </row>
    <row r="897" ht="15.75" customHeight="1">
      <c r="C897" s="52"/>
      <c r="H897" s="52"/>
      <c r="N897" s="52"/>
      <c r="P897" s="52"/>
      <c r="S897" s="52"/>
    </row>
    <row r="898" ht="15.75" customHeight="1">
      <c r="C898" s="52"/>
      <c r="H898" s="52"/>
      <c r="N898" s="52"/>
      <c r="P898" s="52"/>
      <c r="S898" s="52"/>
    </row>
    <row r="899" ht="15.75" customHeight="1">
      <c r="C899" s="52"/>
      <c r="H899" s="52"/>
      <c r="N899" s="52"/>
      <c r="P899" s="52"/>
      <c r="S899" s="52"/>
    </row>
    <row r="900" ht="15.75" customHeight="1">
      <c r="C900" s="52"/>
      <c r="H900" s="52"/>
      <c r="N900" s="52"/>
      <c r="P900" s="52"/>
      <c r="S900" s="52"/>
    </row>
    <row r="901" ht="15.75" customHeight="1">
      <c r="C901" s="52"/>
      <c r="H901" s="52"/>
      <c r="N901" s="52"/>
      <c r="P901" s="52"/>
      <c r="S901" s="52"/>
    </row>
    <row r="902" ht="15.75" customHeight="1">
      <c r="C902" s="52"/>
      <c r="H902" s="52"/>
      <c r="N902" s="52"/>
      <c r="P902" s="52"/>
      <c r="S902" s="52"/>
    </row>
    <row r="903" ht="15.75" customHeight="1">
      <c r="C903" s="52"/>
      <c r="H903" s="52"/>
      <c r="N903" s="52"/>
      <c r="P903" s="52"/>
      <c r="S903" s="52"/>
    </row>
    <row r="904" ht="15.75" customHeight="1">
      <c r="C904" s="52"/>
      <c r="H904" s="52"/>
      <c r="N904" s="52"/>
      <c r="P904" s="52"/>
      <c r="S904" s="52"/>
    </row>
    <row r="905" ht="15.75" customHeight="1">
      <c r="C905" s="52"/>
      <c r="H905" s="52"/>
      <c r="N905" s="52"/>
      <c r="P905" s="52"/>
      <c r="S905" s="52"/>
    </row>
    <row r="906" ht="15.75" customHeight="1">
      <c r="C906" s="52"/>
      <c r="H906" s="52"/>
      <c r="N906" s="52"/>
      <c r="P906" s="52"/>
      <c r="S906" s="52"/>
    </row>
    <row r="907" ht="15.75" customHeight="1">
      <c r="C907" s="52"/>
      <c r="H907" s="52"/>
      <c r="N907" s="52"/>
      <c r="P907" s="52"/>
      <c r="S907" s="52"/>
    </row>
    <row r="908" ht="15.75" customHeight="1">
      <c r="C908" s="52"/>
      <c r="H908" s="52"/>
      <c r="N908" s="52"/>
      <c r="P908" s="52"/>
      <c r="S908" s="52"/>
    </row>
    <row r="909" ht="15.75" customHeight="1">
      <c r="C909" s="52"/>
      <c r="H909" s="52"/>
      <c r="N909" s="52"/>
      <c r="P909" s="52"/>
      <c r="S909" s="52"/>
    </row>
    <row r="910" ht="15.75" customHeight="1">
      <c r="C910" s="52"/>
      <c r="H910" s="52"/>
      <c r="N910" s="52"/>
      <c r="P910" s="52"/>
      <c r="S910" s="52"/>
    </row>
    <row r="911" ht="15.75" customHeight="1">
      <c r="C911" s="52"/>
      <c r="H911" s="52"/>
      <c r="N911" s="52"/>
      <c r="P911" s="52"/>
      <c r="S911" s="52"/>
    </row>
    <row r="912" ht="15.75" customHeight="1">
      <c r="C912" s="52"/>
      <c r="H912" s="52"/>
      <c r="N912" s="52"/>
      <c r="P912" s="52"/>
      <c r="S912" s="52"/>
    </row>
    <row r="913" ht="15.75" customHeight="1">
      <c r="C913" s="52"/>
      <c r="H913" s="52"/>
      <c r="N913" s="52"/>
      <c r="P913" s="52"/>
      <c r="S913" s="52"/>
    </row>
    <row r="914" ht="15.75" customHeight="1">
      <c r="C914" s="52"/>
      <c r="H914" s="52"/>
      <c r="N914" s="52"/>
      <c r="P914" s="52"/>
      <c r="S914" s="52"/>
    </row>
    <row r="915" ht="15.75" customHeight="1">
      <c r="C915" s="52"/>
      <c r="H915" s="52"/>
      <c r="N915" s="52"/>
      <c r="P915" s="52"/>
      <c r="S915" s="52"/>
    </row>
    <row r="916" ht="15.75" customHeight="1">
      <c r="C916" s="52"/>
      <c r="H916" s="52"/>
      <c r="N916" s="52"/>
      <c r="P916" s="52"/>
      <c r="S916" s="52"/>
    </row>
    <row r="917" ht="15.75" customHeight="1">
      <c r="C917" s="52"/>
      <c r="H917" s="52"/>
      <c r="N917" s="52"/>
      <c r="P917" s="52"/>
      <c r="S917" s="52"/>
    </row>
    <row r="918" ht="15.75" customHeight="1">
      <c r="C918" s="52"/>
      <c r="H918" s="52"/>
      <c r="N918" s="52"/>
      <c r="P918" s="52"/>
      <c r="S918" s="52"/>
    </row>
    <row r="919" ht="15.75" customHeight="1">
      <c r="C919" s="52"/>
      <c r="H919" s="52"/>
      <c r="N919" s="52"/>
      <c r="P919" s="52"/>
      <c r="S919" s="52"/>
    </row>
    <row r="920" ht="15.75" customHeight="1">
      <c r="C920" s="52"/>
      <c r="H920" s="52"/>
      <c r="N920" s="52"/>
      <c r="P920" s="52"/>
      <c r="S920" s="52"/>
    </row>
    <row r="921" ht="15.75" customHeight="1">
      <c r="C921" s="52"/>
      <c r="H921" s="52"/>
      <c r="N921" s="52"/>
      <c r="P921" s="52"/>
      <c r="S921" s="52"/>
    </row>
    <row r="922" ht="15.75" customHeight="1">
      <c r="C922" s="52"/>
      <c r="H922" s="52"/>
      <c r="N922" s="52"/>
      <c r="P922" s="52"/>
      <c r="S922" s="52"/>
    </row>
    <row r="923" ht="15.75" customHeight="1">
      <c r="C923" s="52"/>
      <c r="H923" s="52"/>
      <c r="N923" s="52"/>
      <c r="P923" s="52"/>
      <c r="S923" s="52"/>
    </row>
    <row r="924" ht="15.75" customHeight="1">
      <c r="C924" s="52"/>
      <c r="H924" s="52"/>
      <c r="N924" s="52"/>
      <c r="P924" s="52"/>
      <c r="S924" s="52"/>
    </row>
    <row r="925" ht="15.75" customHeight="1">
      <c r="C925" s="52"/>
      <c r="H925" s="52"/>
      <c r="N925" s="52"/>
      <c r="P925" s="52"/>
      <c r="S925" s="52"/>
    </row>
    <row r="926" ht="15.75" customHeight="1">
      <c r="C926" s="52"/>
      <c r="H926" s="52"/>
      <c r="N926" s="52"/>
      <c r="P926" s="52"/>
      <c r="S926" s="52"/>
    </row>
    <row r="927" ht="15.75" customHeight="1">
      <c r="C927" s="52"/>
      <c r="H927" s="52"/>
      <c r="N927" s="52"/>
      <c r="P927" s="52"/>
      <c r="S927" s="52"/>
    </row>
    <row r="928" ht="15.75" customHeight="1">
      <c r="C928" s="52"/>
      <c r="H928" s="52"/>
      <c r="N928" s="52"/>
      <c r="P928" s="52"/>
      <c r="S928" s="52"/>
    </row>
    <row r="929" ht="15.75" customHeight="1">
      <c r="C929" s="52"/>
      <c r="H929" s="52"/>
      <c r="N929" s="52"/>
      <c r="P929" s="52"/>
      <c r="S929" s="52"/>
    </row>
    <row r="930" ht="15.75" customHeight="1">
      <c r="C930" s="52"/>
      <c r="H930" s="52"/>
      <c r="N930" s="52"/>
      <c r="P930" s="52"/>
      <c r="S930" s="52"/>
    </row>
    <row r="931" ht="15.75" customHeight="1">
      <c r="C931" s="52"/>
      <c r="H931" s="52"/>
      <c r="N931" s="52"/>
      <c r="P931" s="52"/>
      <c r="S931" s="52"/>
    </row>
    <row r="932" ht="15.75" customHeight="1">
      <c r="C932" s="52"/>
      <c r="H932" s="52"/>
      <c r="N932" s="52"/>
      <c r="P932" s="52"/>
      <c r="S932" s="52"/>
    </row>
    <row r="933" ht="15.75" customHeight="1">
      <c r="C933" s="52"/>
      <c r="H933" s="52"/>
      <c r="N933" s="52"/>
      <c r="P933" s="52"/>
      <c r="S933" s="52"/>
    </row>
    <row r="934" ht="15.75" customHeight="1">
      <c r="C934" s="52"/>
      <c r="H934" s="52"/>
      <c r="N934" s="52"/>
      <c r="P934" s="52"/>
      <c r="S934" s="52"/>
    </row>
    <row r="935" ht="15.75" customHeight="1">
      <c r="C935" s="52"/>
      <c r="H935" s="52"/>
      <c r="N935" s="52"/>
      <c r="P935" s="52"/>
      <c r="S935" s="52"/>
    </row>
    <row r="936" ht="15.75" customHeight="1">
      <c r="C936" s="52"/>
      <c r="H936" s="52"/>
      <c r="N936" s="52"/>
      <c r="P936" s="52"/>
      <c r="S936" s="52"/>
    </row>
    <row r="937" ht="15.75" customHeight="1">
      <c r="C937" s="52"/>
      <c r="H937" s="52"/>
      <c r="N937" s="52"/>
      <c r="P937" s="52"/>
      <c r="S937" s="52"/>
    </row>
    <row r="938" ht="15.75" customHeight="1">
      <c r="C938" s="52"/>
      <c r="H938" s="52"/>
      <c r="N938" s="52"/>
      <c r="P938" s="52"/>
      <c r="S938" s="52"/>
    </row>
    <row r="939" ht="15.75" customHeight="1">
      <c r="C939" s="52"/>
      <c r="H939" s="52"/>
      <c r="N939" s="52"/>
      <c r="P939" s="52"/>
      <c r="S939" s="52"/>
    </row>
    <row r="940" ht="15.75" customHeight="1">
      <c r="C940" s="52"/>
      <c r="H940" s="52"/>
      <c r="N940" s="52"/>
      <c r="P940" s="52"/>
      <c r="S940" s="52"/>
    </row>
    <row r="941" ht="15.75" customHeight="1">
      <c r="C941" s="52"/>
      <c r="H941" s="52"/>
      <c r="N941" s="52"/>
      <c r="P941" s="52"/>
      <c r="S941" s="52"/>
    </row>
    <row r="942" ht="15.75" customHeight="1">
      <c r="C942" s="52"/>
      <c r="H942" s="52"/>
      <c r="N942" s="52"/>
      <c r="P942" s="52"/>
      <c r="S942" s="52"/>
    </row>
    <row r="943" ht="15.75" customHeight="1">
      <c r="C943" s="52"/>
      <c r="H943" s="52"/>
      <c r="N943" s="52"/>
      <c r="P943" s="52"/>
      <c r="S943" s="52"/>
    </row>
    <row r="944" ht="15.75" customHeight="1">
      <c r="C944" s="52"/>
      <c r="H944" s="52"/>
      <c r="N944" s="52"/>
      <c r="P944" s="52"/>
      <c r="S944" s="52"/>
    </row>
    <row r="945" ht="15.75" customHeight="1">
      <c r="C945" s="52"/>
      <c r="H945" s="52"/>
      <c r="N945" s="52"/>
      <c r="P945" s="52"/>
      <c r="S945" s="52"/>
    </row>
    <row r="946" ht="15.75" customHeight="1">
      <c r="C946" s="52"/>
      <c r="H946" s="52"/>
      <c r="N946" s="52"/>
      <c r="P946" s="52"/>
      <c r="S946" s="52"/>
    </row>
    <row r="947" ht="15.75" customHeight="1">
      <c r="C947" s="52"/>
      <c r="H947" s="52"/>
      <c r="N947" s="52"/>
      <c r="P947" s="52"/>
      <c r="S947" s="52"/>
    </row>
    <row r="948" ht="15.75" customHeight="1">
      <c r="C948" s="52"/>
      <c r="H948" s="52"/>
      <c r="N948" s="52"/>
      <c r="P948" s="52"/>
      <c r="S948" s="52"/>
    </row>
    <row r="949" ht="15.75" customHeight="1">
      <c r="C949" s="52"/>
      <c r="H949" s="52"/>
      <c r="N949" s="52"/>
      <c r="P949" s="52"/>
      <c r="S949" s="52"/>
    </row>
    <row r="950" ht="15.75" customHeight="1">
      <c r="C950" s="52"/>
      <c r="H950" s="52"/>
      <c r="N950" s="52"/>
      <c r="P950" s="52"/>
      <c r="S950" s="52"/>
    </row>
    <row r="951" ht="15.75" customHeight="1">
      <c r="C951" s="52"/>
      <c r="H951" s="52"/>
      <c r="N951" s="52"/>
      <c r="P951" s="52"/>
      <c r="S951" s="52"/>
    </row>
    <row r="952" ht="15.75" customHeight="1">
      <c r="C952" s="52"/>
      <c r="H952" s="52"/>
      <c r="N952" s="52"/>
      <c r="P952" s="52"/>
      <c r="S952" s="52"/>
    </row>
    <row r="953" ht="15.75" customHeight="1">
      <c r="C953" s="52"/>
      <c r="H953" s="52"/>
      <c r="N953" s="52"/>
      <c r="P953" s="52"/>
      <c r="S953" s="52"/>
    </row>
    <row r="954" ht="15.75" customHeight="1">
      <c r="C954" s="52"/>
      <c r="H954" s="52"/>
      <c r="N954" s="52"/>
      <c r="P954" s="52"/>
      <c r="S954" s="52"/>
    </row>
    <row r="955" ht="15.75" customHeight="1">
      <c r="C955" s="52"/>
      <c r="H955" s="52"/>
      <c r="N955" s="52"/>
      <c r="P955" s="52"/>
      <c r="S955" s="52"/>
    </row>
    <row r="956" ht="15.75" customHeight="1">
      <c r="C956" s="52"/>
      <c r="H956" s="52"/>
      <c r="N956" s="52"/>
      <c r="P956" s="52"/>
      <c r="S956" s="52"/>
    </row>
    <row r="957" ht="15.75" customHeight="1">
      <c r="C957" s="52"/>
      <c r="H957" s="52"/>
      <c r="N957" s="52"/>
      <c r="P957" s="52"/>
      <c r="S957" s="52"/>
    </row>
    <row r="958" ht="15.75" customHeight="1">
      <c r="C958" s="52"/>
      <c r="H958" s="52"/>
      <c r="N958" s="52"/>
      <c r="P958" s="52"/>
      <c r="S958" s="52"/>
    </row>
    <row r="959" ht="15.75" customHeight="1">
      <c r="C959" s="52"/>
      <c r="H959" s="52"/>
      <c r="N959" s="52"/>
      <c r="P959" s="52"/>
      <c r="S959" s="52"/>
    </row>
    <row r="960" ht="15.75" customHeight="1">
      <c r="C960" s="52"/>
      <c r="H960" s="52"/>
      <c r="N960" s="52"/>
      <c r="P960" s="52"/>
      <c r="S960" s="52"/>
    </row>
    <row r="961" ht="15.75" customHeight="1">
      <c r="C961" s="52"/>
      <c r="H961" s="52"/>
      <c r="N961" s="52"/>
      <c r="P961" s="52"/>
      <c r="S961" s="52"/>
    </row>
    <row r="962" ht="15.75" customHeight="1">
      <c r="C962" s="52"/>
      <c r="H962" s="52"/>
      <c r="N962" s="52"/>
      <c r="P962" s="52"/>
      <c r="S962" s="52"/>
    </row>
    <row r="963" ht="15.75" customHeight="1">
      <c r="C963" s="52"/>
      <c r="H963" s="52"/>
      <c r="N963" s="52"/>
      <c r="P963" s="52"/>
      <c r="S963" s="52"/>
    </row>
    <row r="964" ht="15.75" customHeight="1">
      <c r="C964" s="52"/>
      <c r="H964" s="52"/>
      <c r="N964" s="52"/>
      <c r="P964" s="52"/>
      <c r="S964" s="52"/>
    </row>
    <row r="965" ht="15.75" customHeight="1">
      <c r="C965" s="52"/>
      <c r="H965" s="52"/>
      <c r="N965" s="52"/>
      <c r="P965" s="52"/>
      <c r="S965" s="52"/>
    </row>
    <row r="966" ht="15.75" customHeight="1">
      <c r="C966" s="52"/>
      <c r="H966" s="52"/>
      <c r="N966" s="52"/>
      <c r="P966" s="52"/>
      <c r="S966" s="52"/>
    </row>
    <row r="967" ht="15.75" customHeight="1">
      <c r="C967" s="52"/>
      <c r="H967" s="52"/>
      <c r="N967" s="52"/>
      <c r="P967" s="52"/>
      <c r="S967" s="52"/>
    </row>
    <row r="968" ht="15.75" customHeight="1">
      <c r="C968" s="52"/>
      <c r="H968" s="52"/>
      <c r="N968" s="52"/>
      <c r="P968" s="52"/>
      <c r="S968" s="52"/>
    </row>
    <row r="969" ht="15.75" customHeight="1">
      <c r="C969" s="52"/>
      <c r="H969" s="52"/>
      <c r="N969" s="52"/>
      <c r="P969" s="52"/>
      <c r="S969" s="52"/>
    </row>
    <row r="970" ht="15.75" customHeight="1">
      <c r="C970" s="52"/>
      <c r="H970" s="52"/>
      <c r="N970" s="52"/>
      <c r="P970" s="52"/>
      <c r="S970" s="52"/>
    </row>
    <row r="971" ht="15.75" customHeight="1">
      <c r="C971" s="52"/>
      <c r="H971" s="52"/>
      <c r="N971" s="52"/>
      <c r="P971" s="52"/>
      <c r="S971" s="52"/>
    </row>
    <row r="972" ht="15.75" customHeight="1">
      <c r="C972" s="52"/>
      <c r="H972" s="52"/>
      <c r="N972" s="52"/>
      <c r="P972" s="52"/>
      <c r="S972" s="52"/>
    </row>
    <row r="973" ht="15.75" customHeight="1">
      <c r="C973" s="52"/>
      <c r="H973" s="52"/>
      <c r="N973" s="52"/>
      <c r="P973" s="52"/>
      <c r="S973" s="52"/>
    </row>
    <row r="974" ht="15.75" customHeight="1">
      <c r="C974" s="52"/>
      <c r="H974" s="52"/>
      <c r="N974" s="52"/>
      <c r="P974" s="52"/>
      <c r="S974" s="52"/>
    </row>
    <row r="975" ht="15.75" customHeight="1">
      <c r="C975" s="52"/>
      <c r="H975" s="52"/>
      <c r="N975" s="52"/>
      <c r="P975" s="52"/>
      <c r="S975" s="52"/>
    </row>
    <row r="976" ht="15.75" customHeight="1">
      <c r="C976" s="52"/>
      <c r="H976" s="52"/>
      <c r="N976" s="52"/>
      <c r="P976" s="52"/>
      <c r="S976" s="52"/>
    </row>
    <row r="977" ht="15.75" customHeight="1">
      <c r="C977" s="52"/>
      <c r="H977" s="52"/>
      <c r="N977" s="52"/>
      <c r="P977" s="52"/>
      <c r="S977" s="52"/>
    </row>
    <row r="978" ht="15.75" customHeight="1">
      <c r="C978" s="52"/>
      <c r="H978" s="52"/>
      <c r="N978" s="52"/>
      <c r="P978" s="52"/>
      <c r="S978" s="52"/>
    </row>
    <row r="979" ht="15.75" customHeight="1">
      <c r="C979" s="52"/>
      <c r="H979" s="52"/>
      <c r="N979" s="52"/>
      <c r="P979" s="52"/>
      <c r="S979" s="52"/>
    </row>
    <row r="980" ht="15.75" customHeight="1">
      <c r="C980" s="52"/>
      <c r="H980" s="52"/>
      <c r="N980" s="52"/>
      <c r="P980" s="52"/>
      <c r="S980" s="52"/>
    </row>
    <row r="981" ht="15.75" customHeight="1">
      <c r="C981" s="52"/>
      <c r="H981" s="52"/>
      <c r="N981" s="52"/>
      <c r="P981" s="52"/>
      <c r="S981" s="52"/>
    </row>
    <row r="982" ht="15.75" customHeight="1">
      <c r="C982" s="52"/>
      <c r="H982" s="52"/>
      <c r="N982" s="52"/>
      <c r="P982" s="52"/>
      <c r="S982" s="52"/>
    </row>
    <row r="983" ht="15.75" customHeight="1">
      <c r="C983" s="52"/>
      <c r="H983" s="52"/>
      <c r="N983" s="52"/>
      <c r="P983" s="52"/>
      <c r="S983" s="52"/>
    </row>
    <row r="984" ht="15.75" customHeight="1">
      <c r="C984" s="52"/>
      <c r="H984" s="52"/>
      <c r="N984" s="52"/>
      <c r="P984" s="52"/>
      <c r="S984" s="52"/>
    </row>
    <row r="985" ht="15.75" customHeight="1">
      <c r="C985" s="52"/>
      <c r="H985" s="52"/>
      <c r="N985" s="52"/>
      <c r="P985" s="52"/>
      <c r="S985" s="52"/>
    </row>
    <row r="986" ht="15.75" customHeight="1">
      <c r="C986" s="52"/>
      <c r="H986" s="52"/>
      <c r="N986" s="52"/>
      <c r="P986" s="52"/>
      <c r="S986" s="52"/>
    </row>
    <row r="987" ht="15.75" customHeight="1">
      <c r="C987" s="52"/>
      <c r="H987" s="52"/>
      <c r="N987" s="52"/>
      <c r="P987" s="52"/>
      <c r="S987" s="52"/>
    </row>
    <row r="988" ht="15.75" customHeight="1">
      <c r="C988" s="52"/>
      <c r="H988" s="52"/>
      <c r="N988" s="52"/>
      <c r="P988" s="52"/>
      <c r="S988" s="52"/>
    </row>
    <row r="989" ht="15.75" customHeight="1">
      <c r="C989" s="52"/>
      <c r="H989" s="52"/>
      <c r="N989" s="52"/>
      <c r="P989" s="52"/>
      <c r="S989" s="52"/>
    </row>
    <row r="990" ht="15.75" customHeight="1">
      <c r="C990" s="52"/>
      <c r="H990" s="52"/>
      <c r="N990" s="52"/>
      <c r="P990" s="52"/>
      <c r="S990" s="52"/>
    </row>
    <row r="991" ht="15.75" customHeight="1">
      <c r="C991" s="52"/>
      <c r="H991" s="52"/>
      <c r="N991" s="52"/>
      <c r="P991" s="52"/>
      <c r="S991" s="52"/>
    </row>
    <row r="992" ht="15.75" customHeight="1">
      <c r="C992" s="52"/>
      <c r="H992" s="52"/>
      <c r="N992" s="52"/>
      <c r="P992" s="52"/>
      <c r="S992" s="52"/>
    </row>
    <row r="993" ht="15.75" customHeight="1">
      <c r="C993" s="52"/>
      <c r="H993" s="52"/>
      <c r="N993" s="52"/>
      <c r="P993" s="52"/>
      <c r="S993" s="52"/>
    </row>
    <row r="994" ht="15.75" customHeight="1">
      <c r="C994" s="52"/>
      <c r="H994" s="52"/>
      <c r="N994" s="52"/>
      <c r="P994" s="52"/>
      <c r="S994" s="52"/>
    </row>
    <row r="995" ht="15.75" customHeight="1">
      <c r="C995" s="52"/>
      <c r="H995" s="52"/>
      <c r="N995" s="52"/>
      <c r="P995" s="52"/>
      <c r="S995" s="52"/>
    </row>
    <row r="996" ht="15.75" customHeight="1">
      <c r="C996" s="52"/>
      <c r="H996" s="52"/>
      <c r="N996" s="52"/>
      <c r="P996" s="52"/>
      <c r="S996" s="52"/>
    </row>
    <row r="997" ht="15.75" customHeight="1">
      <c r="C997" s="52"/>
      <c r="H997" s="52"/>
      <c r="N997" s="52"/>
      <c r="P997" s="52"/>
      <c r="S997" s="52"/>
    </row>
    <row r="998" ht="15.75" customHeight="1">
      <c r="C998" s="52"/>
      <c r="H998" s="52"/>
      <c r="N998" s="52"/>
      <c r="P998" s="52"/>
      <c r="S998" s="52"/>
    </row>
    <row r="999" ht="15.75" customHeight="1">
      <c r="C999" s="52"/>
      <c r="H999" s="52"/>
      <c r="N999" s="52"/>
      <c r="P999" s="52"/>
      <c r="S999" s="52"/>
    </row>
    <row r="1000" ht="15.75" customHeight="1">
      <c r="C1000" s="52"/>
      <c r="H1000" s="52"/>
      <c r="N1000" s="52"/>
      <c r="P1000" s="52"/>
      <c r="S1000" s="52"/>
    </row>
    <row r="1001" ht="15.75" customHeight="1">
      <c r="C1001" s="52"/>
      <c r="H1001" s="52"/>
      <c r="N1001" s="52"/>
      <c r="P1001" s="52"/>
      <c r="S1001" s="52"/>
    </row>
    <row r="1002" ht="15.75" customHeight="1">
      <c r="C1002" s="52"/>
      <c r="H1002" s="52"/>
      <c r="N1002" s="52"/>
      <c r="P1002" s="52"/>
      <c r="S1002" s="52"/>
    </row>
    <row r="1003" ht="15.75" customHeight="1">
      <c r="C1003" s="52"/>
      <c r="H1003" s="52"/>
      <c r="N1003" s="52"/>
      <c r="P1003" s="52"/>
      <c r="S1003" s="52"/>
    </row>
    <row r="1004" ht="15.75" customHeight="1">
      <c r="C1004" s="52"/>
      <c r="H1004" s="52"/>
      <c r="N1004" s="52"/>
      <c r="P1004" s="52"/>
      <c r="S1004" s="52"/>
    </row>
  </sheetData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6.38"/>
    <col customWidth="1" min="2" max="2" width="58.63"/>
    <col customWidth="1" min="3" max="3" width="15.0"/>
    <col customWidth="1" min="4" max="4" width="28.0"/>
    <col customWidth="1" min="5" max="5" width="21.25"/>
    <col customWidth="1" min="6" max="6" width="24.13"/>
    <col customWidth="1" min="7" max="26" width="8.63"/>
  </cols>
  <sheetData>
    <row r="1">
      <c r="A1" s="42" t="s">
        <v>535</v>
      </c>
      <c r="B1" s="42" t="s">
        <v>536</v>
      </c>
      <c r="C1" s="42" t="s">
        <v>537</v>
      </c>
      <c r="D1" s="54" t="s">
        <v>523</v>
      </c>
      <c r="E1" s="55" t="s">
        <v>538</v>
      </c>
      <c r="F1" s="56" t="s">
        <v>539</v>
      </c>
    </row>
    <row r="2">
      <c r="A2" s="48" t="s">
        <v>540</v>
      </c>
      <c r="B2" s="48" t="s">
        <v>541</v>
      </c>
      <c r="C2" s="48">
        <v>250.0</v>
      </c>
      <c r="D2" s="54">
        <f>SUM(C2:C1000)</f>
        <v>3983</v>
      </c>
      <c r="E2" s="57">
        <v>0.0</v>
      </c>
      <c r="F2" s="58">
        <f>SUM(E2:E1000)</f>
        <v>11377.63</v>
      </c>
    </row>
    <row r="3">
      <c r="A3" s="47">
        <v>45802.0</v>
      </c>
      <c r="B3" s="48" t="s">
        <v>542</v>
      </c>
      <c r="C3" s="48">
        <v>800.0</v>
      </c>
      <c r="E3" s="57">
        <v>1759.6</v>
      </c>
      <c r="F3" s="57"/>
    </row>
    <row r="4">
      <c r="A4" s="47">
        <v>45876.0</v>
      </c>
      <c r="B4" s="48" t="s">
        <v>543</v>
      </c>
      <c r="C4" s="48">
        <v>301.0</v>
      </c>
      <c r="E4" s="57">
        <v>1205.99</v>
      </c>
      <c r="F4" s="57"/>
    </row>
    <row r="5">
      <c r="A5" s="47">
        <v>45873.0</v>
      </c>
      <c r="B5" s="48" t="s">
        <v>544</v>
      </c>
      <c r="C5" s="48">
        <v>56.0</v>
      </c>
      <c r="E5" s="57">
        <v>127.12</v>
      </c>
      <c r="F5" s="57"/>
    </row>
    <row r="6">
      <c r="A6" s="47">
        <v>45922.0</v>
      </c>
      <c r="B6" s="48" t="s">
        <v>545</v>
      </c>
      <c r="C6" s="48">
        <v>700.0</v>
      </c>
      <c r="E6" s="57">
        <v>1750.0</v>
      </c>
      <c r="F6" s="57"/>
    </row>
    <row r="7">
      <c r="A7" s="59">
        <v>45950.0</v>
      </c>
      <c r="B7" s="60" t="s">
        <v>546</v>
      </c>
      <c r="C7" s="60">
        <v>56.0</v>
      </c>
      <c r="E7" s="61">
        <v>258.72</v>
      </c>
      <c r="F7" s="57"/>
    </row>
    <row r="8">
      <c r="A8" s="59">
        <v>45972.0</v>
      </c>
      <c r="B8" s="48" t="s">
        <v>545</v>
      </c>
      <c r="C8" s="60">
        <v>700.0</v>
      </c>
      <c r="E8" s="61">
        <v>1750.0</v>
      </c>
      <c r="F8" s="57"/>
    </row>
    <row r="9">
      <c r="A9" s="59">
        <v>45972.0</v>
      </c>
      <c r="B9" s="60" t="s">
        <v>547</v>
      </c>
      <c r="C9" s="60">
        <v>100.0</v>
      </c>
      <c r="E9" s="61">
        <v>486.2</v>
      </c>
      <c r="F9" s="57"/>
    </row>
    <row r="10">
      <c r="A10" s="59">
        <v>45659.0</v>
      </c>
      <c r="B10" s="60" t="s">
        <v>548</v>
      </c>
      <c r="C10" s="60">
        <v>400.0</v>
      </c>
      <c r="E10" s="61">
        <v>1600.0</v>
      </c>
      <c r="F10" s="57"/>
    </row>
    <row r="11">
      <c r="A11" s="62">
        <v>46039.0</v>
      </c>
      <c r="B11" s="60" t="s">
        <v>547</v>
      </c>
      <c r="C11" s="60">
        <v>100.0</v>
      </c>
      <c r="E11" s="61">
        <v>442.0</v>
      </c>
      <c r="F11" s="57"/>
    </row>
    <row r="12">
      <c r="A12" s="63">
        <v>46076.0</v>
      </c>
      <c r="B12" s="60" t="s">
        <v>548</v>
      </c>
      <c r="C12" s="60">
        <v>400.0</v>
      </c>
      <c r="E12" s="61">
        <v>1600.0</v>
      </c>
      <c r="F12" s="57"/>
    </row>
    <row r="13">
      <c r="A13" s="63">
        <v>46076.0</v>
      </c>
      <c r="B13" s="60" t="s">
        <v>547</v>
      </c>
      <c r="C13" s="60">
        <v>100.0</v>
      </c>
      <c r="E13" s="64">
        <v>398.0</v>
      </c>
      <c r="F13" s="57"/>
    </row>
    <row r="14">
      <c r="A14" s="63">
        <v>46113.0</v>
      </c>
      <c r="B14" s="65" t="s">
        <v>549</v>
      </c>
      <c r="C14" s="51">
        <v>20.0</v>
      </c>
      <c r="E14" s="64">
        <v>0.0</v>
      </c>
      <c r="F14" s="57"/>
    </row>
    <row r="15">
      <c r="E15" s="57"/>
      <c r="F15" s="57"/>
    </row>
    <row r="16">
      <c r="E16" s="57"/>
      <c r="F16" s="57"/>
    </row>
    <row r="17">
      <c r="E17" s="57"/>
      <c r="F17" s="57"/>
    </row>
    <row r="18">
      <c r="E18" s="57"/>
      <c r="F18" s="57"/>
    </row>
    <row r="19">
      <c r="E19" s="57"/>
      <c r="F19" s="57"/>
    </row>
    <row r="20">
      <c r="E20" s="57"/>
      <c r="F20" s="57"/>
    </row>
    <row r="21" ht="15.75" customHeight="1">
      <c r="E21" s="57"/>
      <c r="F21" s="57"/>
    </row>
    <row r="22" ht="15.75" customHeight="1">
      <c r="E22" s="57"/>
      <c r="F22" s="57"/>
    </row>
    <row r="23" ht="15.75" customHeight="1">
      <c r="E23" s="57"/>
      <c r="F23" s="57"/>
    </row>
    <row r="24" ht="15.75" customHeight="1">
      <c r="E24" s="57"/>
      <c r="F24" s="57"/>
    </row>
    <row r="25" ht="15.75" customHeight="1">
      <c r="E25" s="57"/>
      <c r="F25" s="57"/>
    </row>
    <row r="26" ht="15.75" customHeight="1">
      <c r="E26" s="57"/>
      <c r="F26" s="57"/>
    </row>
    <row r="27" ht="15.75" customHeight="1">
      <c r="E27" s="57"/>
      <c r="F27" s="57"/>
    </row>
    <row r="28" ht="15.75" customHeight="1">
      <c r="E28" s="57"/>
      <c r="F28" s="57"/>
    </row>
    <row r="29" ht="15.75" customHeight="1">
      <c r="E29" s="57"/>
      <c r="F29" s="57"/>
    </row>
    <row r="30" ht="15.75" customHeight="1">
      <c r="E30" s="57"/>
      <c r="F30" s="57"/>
    </row>
    <row r="31" ht="15.75" customHeight="1">
      <c r="E31" s="57"/>
      <c r="F31" s="57"/>
    </row>
    <row r="32" ht="15.75" customHeight="1">
      <c r="E32" s="57"/>
      <c r="F32" s="57"/>
    </row>
    <row r="33" ht="15.75" customHeight="1">
      <c r="E33" s="57"/>
      <c r="F33" s="57"/>
    </row>
    <row r="34" ht="15.75" customHeight="1">
      <c r="E34" s="57"/>
      <c r="F34" s="57"/>
    </row>
    <row r="35" ht="15.75" customHeight="1">
      <c r="E35" s="57"/>
      <c r="F35" s="57"/>
    </row>
    <row r="36" ht="15.75" customHeight="1">
      <c r="E36" s="57"/>
      <c r="F36" s="57"/>
    </row>
    <row r="37" ht="15.75" customHeight="1">
      <c r="E37" s="57"/>
      <c r="F37" s="57"/>
    </row>
    <row r="38" ht="15.75" customHeight="1">
      <c r="E38" s="57"/>
      <c r="F38" s="57"/>
    </row>
    <row r="39" ht="15.75" customHeight="1">
      <c r="E39" s="57"/>
      <c r="F39" s="57"/>
    </row>
    <row r="40" ht="15.75" customHeight="1">
      <c r="E40" s="57"/>
      <c r="F40" s="57"/>
    </row>
    <row r="41" ht="15.75" customHeight="1">
      <c r="E41" s="57"/>
      <c r="F41" s="57"/>
    </row>
    <row r="42" ht="15.75" customHeight="1">
      <c r="E42" s="57"/>
      <c r="F42" s="57"/>
    </row>
    <row r="43" ht="15.75" customHeight="1">
      <c r="E43" s="57"/>
      <c r="F43" s="57"/>
    </row>
    <row r="44" ht="15.75" customHeight="1">
      <c r="E44" s="57"/>
      <c r="F44" s="57"/>
    </row>
    <row r="45" ht="15.75" customHeight="1">
      <c r="E45" s="57"/>
      <c r="F45" s="57"/>
    </row>
    <row r="46" ht="15.75" customHeight="1">
      <c r="E46" s="57"/>
      <c r="F46" s="57"/>
    </row>
    <row r="47" ht="15.75" customHeight="1">
      <c r="E47" s="57"/>
      <c r="F47" s="57"/>
    </row>
    <row r="48" ht="15.75" customHeight="1">
      <c r="E48" s="57"/>
      <c r="F48" s="57"/>
    </row>
    <row r="49" ht="15.75" customHeight="1">
      <c r="E49" s="57"/>
      <c r="F49" s="57"/>
    </row>
    <row r="50" ht="15.75" customHeight="1">
      <c r="E50" s="57"/>
      <c r="F50" s="57"/>
    </row>
    <row r="51" ht="15.75" customHeight="1">
      <c r="E51" s="57"/>
      <c r="F51" s="57"/>
    </row>
    <row r="52" ht="15.75" customHeight="1">
      <c r="E52" s="57"/>
      <c r="F52" s="57"/>
    </row>
    <row r="53" ht="15.75" customHeight="1">
      <c r="E53" s="57"/>
      <c r="F53" s="57"/>
    </row>
    <row r="54" ht="15.75" customHeight="1">
      <c r="E54" s="57"/>
      <c r="F54" s="57"/>
    </row>
    <row r="55" ht="15.75" customHeight="1">
      <c r="E55" s="57"/>
      <c r="F55" s="57"/>
    </row>
    <row r="56" ht="15.75" customHeight="1">
      <c r="E56" s="57"/>
      <c r="F56" s="57"/>
    </row>
    <row r="57" ht="15.75" customHeight="1">
      <c r="E57" s="57"/>
      <c r="F57" s="57"/>
    </row>
    <row r="58" ht="15.75" customHeight="1">
      <c r="E58" s="57"/>
      <c r="F58" s="57"/>
    </row>
    <row r="59" ht="15.75" customHeight="1">
      <c r="E59" s="57"/>
      <c r="F59" s="57"/>
    </row>
    <row r="60" ht="15.75" customHeight="1">
      <c r="E60" s="57"/>
      <c r="F60" s="57"/>
    </row>
    <row r="61" ht="15.75" customHeight="1">
      <c r="E61" s="57"/>
      <c r="F61" s="57"/>
    </row>
    <row r="62" ht="15.75" customHeight="1">
      <c r="E62" s="57"/>
      <c r="F62" s="57"/>
    </row>
    <row r="63" ht="15.75" customHeight="1">
      <c r="E63" s="57"/>
      <c r="F63" s="57"/>
    </row>
    <row r="64" ht="15.75" customHeight="1">
      <c r="E64" s="57"/>
      <c r="F64" s="57"/>
    </row>
    <row r="65" ht="15.75" customHeight="1">
      <c r="E65" s="57"/>
      <c r="F65" s="57"/>
    </row>
    <row r="66" ht="15.75" customHeight="1">
      <c r="E66" s="57"/>
      <c r="F66" s="57"/>
    </row>
    <row r="67" ht="15.75" customHeight="1">
      <c r="E67" s="57"/>
      <c r="F67" s="57"/>
    </row>
    <row r="68" ht="15.75" customHeight="1">
      <c r="E68" s="57"/>
      <c r="F68" s="57"/>
    </row>
    <row r="69" ht="15.75" customHeight="1">
      <c r="E69" s="57"/>
      <c r="F69" s="57"/>
    </row>
    <row r="70" ht="15.75" customHeight="1">
      <c r="E70" s="57"/>
      <c r="F70" s="57"/>
    </row>
    <row r="71" ht="15.75" customHeight="1">
      <c r="E71" s="57"/>
      <c r="F71" s="57"/>
    </row>
    <row r="72" ht="15.75" customHeight="1">
      <c r="E72" s="57"/>
      <c r="F72" s="57"/>
    </row>
    <row r="73" ht="15.75" customHeight="1">
      <c r="E73" s="57"/>
      <c r="F73" s="57"/>
    </row>
    <row r="74" ht="15.75" customHeight="1">
      <c r="E74" s="57"/>
      <c r="F74" s="57"/>
    </row>
    <row r="75" ht="15.75" customHeight="1">
      <c r="E75" s="57"/>
      <c r="F75" s="57"/>
    </row>
    <row r="76" ht="15.75" customHeight="1">
      <c r="E76" s="57"/>
      <c r="F76" s="57"/>
    </row>
    <row r="77" ht="15.75" customHeight="1">
      <c r="E77" s="57"/>
      <c r="F77" s="57"/>
    </row>
    <row r="78" ht="15.75" customHeight="1">
      <c r="E78" s="57"/>
      <c r="F78" s="57"/>
    </row>
    <row r="79" ht="15.75" customHeight="1">
      <c r="E79" s="57"/>
      <c r="F79" s="57"/>
    </row>
    <row r="80" ht="15.75" customHeight="1">
      <c r="E80" s="57"/>
      <c r="F80" s="57"/>
    </row>
    <row r="81" ht="15.75" customHeight="1">
      <c r="E81" s="57"/>
      <c r="F81" s="57"/>
    </row>
    <row r="82" ht="15.75" customHeight="1">
      <c r="E82" s="57"/>
      <c r="F82" s="57"/>
    </row>
    <row r="83" ht="15.75" customHeight="1">
      <c r="E83" s="57"/>
      <c r="F83" s="57"/>
    </row>
    <row r="84" ht="15.75" customHeight="1">
      <c r="E84" s="57"/>
      <c r="F84" s="57"/>
    </row>
    <row r="85" ht="15.75" customHeight="1">
      <c r="E85" s="57"/>
      <c r="F85" s="57"/>
    </row>
    <row r="86" ht="15.75" customHeight="1">
      <c r="E86" s="57"/>
      <c r="F86" s="57"/>
    </row>
    <row r="87" ht="15.75" customHeight="1">
      <c r="E87" s="57"/>
      <c r="F87" s="57"/>
    </row>
    <row r="88" ht="15.75" customHeight="1">
      <c r="E88" s="57"/>
      <c r="F88" s="57"/>
    </row>
    <row r="89" ht="15.75" customHeight="1">
      <c r="E89" s="57"/>
      <c r="F89" s="57"/>
    </row>
    <row r="90" ht="15.75" customHeight="1">
      <c r="E90" s="57"/>
      <c r="F90" s="57"/>
    </row>
    <row r="91" ht="15.75" customHeight="1">
      <c r="E91" s="57"/>
      <c r="F91" s="57"/>
    </row>
    <row r="92" ht="15.75" customHeight="1">
      <c r="E92" s="57"/>
      <c r="F92" s="57"/>
    </row>
    <row r="93" ht="15.75" customHeight="1">
      <c r="E93" s="57"/>
      <c r="F93" s="57"/>
    </row>
    <row r="94" ht="15.75" customHeight="1">
      <c r="E94" s="57"/>
      <c r="F94" s="57"/>
    </row>
    <row r="95" ht="15.75" customHeight="1">
      <c r="E95" s="57"/>
      <c r="F95" s="57"/>
    </row>
    <row r="96" ht="15.75" customHeight="1">
      <c r="E96" s="57"/>
      <c r="F96" s="57"/>
    </row>
    <row r="97" ht="15.75" customHeight="1">
      <c r="E97" s="57"/>
      <c r="F97" s="57"/>
    </row>
    <row r="98" ht="15.75" customHeight="1">
      <c r="E98" s="57"/>
      <c r="F98" s="57"/>
    </row>
    <row r="99" ht="15.75" customHeight="1">
      <c r="E99" s="57"/>
      <c r="F99" s="57"/>
    </row>
    <row r="100" ht="15.75" customHeight="1">
      <c r="E100" s="57"/>
      <c r="F100" s="57"/>
    </row>
    <row r="101" ht="15.75" customHeight="1">
      <c r="E101" s="57"/>
      <c r="F101" s="57"/>
    </row>
    <row r="102" ht="15.75" customHeight="1">
      <c r="E102" s="57"/>
      <c r="F102" s="57"/>
    </row>
    <row r="103" ht="15.75" customHeight="1">
      <c r="E103" s="57"/>
      <c r="F103" s="57"/>
    </row>
    <row r="104" ht="15.75" customHeight="1">
      <c r="E104" s="57"/>
      <c r="F104" s="57"/>
    </row>
    <row r="105" ht="15.75" customHeight="1">
      <c r="E105" s="57"/>
      <c r="F105" s="57"/>
    </row>
    <row r="106" ht="15.75" customHeight="1">
      <c r="E106" s="57"/>
      <c r="F106" s="57"/>
    </row>
    <row r="107" ht="15.75" customHeight="1">
      <c r="E107" s="57"/>
      <c r="F107" s="57"/>
    </row>
    <row r="108" ht="15.75" customHeight="1">
      <c r="E108" s="57"/>
      <c r="F108" s="57"/>
    </row>
    <row r="109" ht="15.75" customHeight="1">
      <c r="E109" s="57"/>
      <c r="F109" s="57"/>
    </row>
    <row r="110" ht="15.75" customHeight="1">
      <c r="E110" s="57"/>
      <c r="F110" s="57"/>
    </row>
    <row r="111" ht="15.75" customHeight="1">
      <c r="E111" s="57"/>
      <c r="F111" s="57"/>
    </row>
    <row r="112" ht="15.75" customHeight="1">
      <c r="E112" s="57"/>
      <c r="F112" s="57"/>
    </row>
    <row r="113" ht="15.75" customHeight="1">
      <c r="E113" s="57"/>
      <c r="F113" s="57"/>
    </row>
    <row r="114" ht="15.75" customHeight="1">
      <c r="E114" s="57"/>
      <c r="F114" s="57"/>
    </row>
    <row r="115" ht="15.75" customHeight="1">
      <c r="E115" s="57"/>
      <c r="F115" s="57"/>
    </row>
    <row r="116" ht="15.75" customHeight="1">
      <c r="E116" s="57"/>
      <c r="F116" s="57"/>
    </row>
    <row r="117" ht="15.75" customHeight="1">
      <c r="E117" s="57"/>
      <c r="F117" s="57"/>
    </row>
    <row r="118" ht="15.75" customHeight="1">
      <c r="E118" s="57"/>
      <c r="F118" s="57"/>
    </row>
    <row r="119" ht="15.75" customHeight="1">
      <c r="E119" s="57"/>
      <c r="F119" s="57"/>
    </row>
    <row r="120" ht="15.75" customHeight="1">
      <c r="E120" s="57"/>
      <c r="F120" s="57"/>
    </row>
    <row r="121" ht="15.75" customHeight="1">
      <c r="E121" s="57"/>
      <c r="F121" s="57"/>
    </row>
    <row r="122" ht="15.75" customHeight="1">
      <c r="E122" s="57"/>
      <c r="F122" s="57"/>
    </row>
    <row r="123" ht="15.75" customHeight="1">
      <c r="E123" s="57"/>
      <c r="F123" s="57"/>
    </row>
    <row r="124" ht="15.75" customHeight="1">
      <c r="E124" s="57"/>
      <c r="F124" s="57"/>
    </row>
    <row r="125" ht="15.75" customHeight="1">
      <c r="E125" s="57"/>
      <c r="F125" s="57"/>
    </row>
    <row r="126" ht="15.75" customHeight="1">
      <c r="E126" s="57"/>
      <c r="F126" s="57"/>
    </row>
    <row r="127" ht="15.75" customHeight="1">
      <c r="E127" s="57"/>
      <c r="F127" s="57"/>
    </row>
    <row r="128" ht="15.75" customHeight="1">
      <c r="E128" s="57"/>
      <c r="F128" s="57"/>
    </row>
    <row r="129" ht="15.75" customHeight="1">
      <c r="E129" s="57"/>
      <c r="F129" s="57"/>
    </row>
    <row r="130" ht="15.75" customHeight="1">
      <c r="E130" s="57"/>
      <c r="F130" s="57"/>
    </row>
    <row r="131" ht="15.75" customHeight="1">
      <c r="E131" s="57"/>
      <c r="F131" s="57"/>
    </row>
    <row r="132" ht="15.75" customHeight="1">
      <c r="E132" s="57"/>
      <c r="F132" s="57"/>
    </row>
    <row r="133" ht="15.75" customHeight="1">
      <c r="E133" s="57"/>
      <c r="F133" s="57"/>
    </row>
    <row r="134" ht="15.75" customHeight="1">
      <c r="E134" s="57"/>
      <c r="F134" s="57"/>
    </row>
    <row r="135" ht="15.75" customHeight="1">
      <c r="E135" s="57"/>
      <c r="F135" s="57"/>
    </row>
    <row r="136" ht="15.75" customHeight="1">
      <c r="E136" s="57"/>
      <c r="F136" s="57"/>
    </row>
    <row r="137" ht="15.75" customHeight="1">
      <c r="E137" s="57"/>
      <c r="F137" s="57"/>
    </row>
    <row r="138" ht="15.75" customHeight="1">
      <c r="E138" s="57"/>
      <c r="F138" s="57"/>
    </row>
    <row r="139" ht="15.75" customHeight="1">
      <c r="E139" s="57"/>
      <c r="F139" s="57"/>
    </row>
    <row r="140" ht="15.75" customHeight="1">
      <c r="E140" s="57"/>
      <c r="F140" s="57"/>
    </row>
    <row r="141" ht="15.75" customHeight="1">
      <c r="E141" s="57"/>
      <c r="F141" s="57"/>
    </row>
    <row r="142" ht="15.75" customHeight="1">
      <c r="E142" s="57"/>
      <c r="F142" s="57"/>
    </row>
    <row r="143" ht="15.75" customHeight="1">
      <c r="E143" s="57"/>
      <c r="F143" s="57"/>
    </row>
    <row r="144" ht="15.75" customHeight="1">
      <c r="E144" s="57"/>
      <c r="F144" s="57"/>
    </row>
    <row r="145" ht="15.75" customHeight="1">
      <c r="E145" s="57"/>
      <c r="F145" s="57"/>
    </row>
    <row r="146" ht="15.75" customHeight="1">
      <c r="E146" s="57"/>
      <c r="F146" s="57"/>
    </row>
    <row r="147" ht="15.75" customHeight="1">
      <c r="E147" s="57"/>
      <c r="F147" s="57"/>
    </row>
    <row r="148" ht="15.75" customHeight="1">
      <c r="E148" s="57"/>
      <c r="F148" s="57"/>
    </row>
    <row r="149" ht="15.75" customHeight="1">
      <c r="E149" s="57"/>
      <c r="F149" s="57"/>
    </row>
    <row r="150" ht="15.75" customHeight="1">
      <c r="E150" s="57"/>
      <c r="F150" s="57"/>
    </row>
    <row r="151" ht="15.75" customHeight="1">
      <c r="E151" s="57"/>
      <c r="F151" s="57"/>
    </row>
    <row r="152" ht="15.75" customHeight="1">
      <c r="E152" s="57"/>
      <c r="F152" s="57"/>
    </row>
    <row r="153" ht="15.75" customHeight="1">
      <c r="E153" s="57"/>
      <c r="F153" s="57"/>
    </row>
    <row r="154" ht="15.75" customHeight="1">
      <c r="E154" s="57"/>
      <c r="F154" s="57"/>
    </row>
    <row r="155" ht="15.75" customHeight="1">
      <c r="E155" s="57"/>
      <c r="F155" s="57"/>
    </row>
    <row r="156" ht="15.75" customHeight="1">
      <c r="E156" s="57"/>
      <c r="F156" s="57"/>
    </row>
    <row r="157" ht="15.75" customHeight="1">
      <c r="E157" s="57"/>
      <c r="F157" s="57"/>
    </row>
    <row r="158" ht="15.75" customHeight="1">
      <c r="E158" s="57"/>
      <c r="F158" s="57"/>
    </row>
    <row r="159" ht="15.75" customHeight="1">
      <c r="E159" s="57"/>
      <c r="F159" s="57"/>
    </row>
    <row r="160" ht="15.75" customHeight="1">
      <c r="E160" s="57"/>
      <c r="F160" s="57"/>
    </row>
    <row r="161" ht="15.75" customHeight="1">
      <c r="E161" s="57"/>
      <c r="F161" s="57"/>
    </row>
    <row r="162" ht="15.75" customHeight="1">
      <c r="E162" s="57"/>
      <c r="F162" s="57"/>
    </row>
    <row r="163" ht="15.75" customHeight="1">
      <c r="E163" s="57"/>
      <c r="F163" s="57"/>
    </row>
    <row r="164" ht="15.75" customHeight="1">
      <c r="E164" s="57"/>
      <c r="F164" s="57"/>
    </row>
    <row r="165" ht="15.75" customHeight="1">
      <c r="E165" s="57"/>
      <c r="F165" s="57"/>
    </row>
    <row r="166" ht="15.75" customHeight="1">
      <c r="E166" s="57"/>
      <c r="F166" s="57"/>
    </row>
    <row r="167" ht="15.75" customHeight="1">
      <c r="E167" s="57"/>
      <c r="F167" s="57"/>
    </row>
    <row r="168" ht="15.75" customHeight="1">
      <c r="E168" s="57"/>
      <c r="F168" s="57"/>
    </row>
    <row r="169" ht="15.75" customHeight="1">
      <c r="E169" s="57"/>
      <c r="F169" s="57"/>
    </row>
    <row r="170" ht="15.75" customHeight="1">
      <c r="E170" s="57"/>
      <c r="F170" s="57"/>
    </row>
    <row r="171" ht="15.75" customHeight="1">
      <c r="E171" s="57"/>
      <c r="F171" s="57"/>
    </row>
    <row r="172" ht="15.75" customHeight="1">
      <c r="E172" s="57"/>
      <c r="F172" s="57"/>
    </row>
    <row r="173" ht="15.75" customHeight="1">
      <c r="E173" s="57"/>
      <c r="F173" s="57"/>
    </row>
    <row r="174" ht="15.75" customHeight="1">
      <c r="E174" s="57"/>
      <c r="F174" s="57"/>
    </row>
    <row r="175" ht="15.75" customHeight="1">
      <c r="E175" s="57"/>
      <c r="F175" s="57"/>
    </row>
    <row r="176" ht="15.75" customHeight="1">
      <c r="E176" s="57"/>
      <c r="F176" s="57"/>
    </row>
    <row r="177" ht="15.75" customHeight="1">
      <c r="E177" s="57"/>
      <c r="F177" s="57"/>
    </row>
    <row r="178" ht="15.75" customHeight="1">
      <c r="E178" s="57"/>
      <c r="F178" s="57"/>
    </row>
    <row r="179" ht="15.75" customHeight="1">
      <c r="E179" s="57"/>
      <c r="F179" s="57"/>
    </row>
    <row r="180" ht="15.75" customHeight="1">
      <c r="E180" s="57"/>
      <c r="F180" s="57"/>
    </row>
    <row r="181" ht="15.75" customHeight="1">
      <c r="E181" s="57"/>
      <c r="F181" s="57"/>
    </row>
    <row r="182" ht="15.75" customHeight="1">
      <c r="E182" s="57"/>
      <c r="F182" s="57"/>
    </row>
    <row r="183" ht="15.75" customHeight="1">
      <c r="E183" s="57"/>
      <c r="F183" s="57"/>
    </row>
    <row r="184" ht="15.75" customHeight="1">
      <c r="E184" s="57"/>
      <c r="F184" s="57"/>
    </row>
    <row r="185" ht="15.75" customHeight="1">
      <c r="E185" s="57"/>
      <c r="F185" s="57"/>
    </row>
    <row r="186" ht="15.75" customHeight="1">
      <c r="E186" s="57"/>
      <c r="F186" s="57"/>
    </row>
    <row r="187" ht="15.75" customHeight="1">
      <c r="E187" s="57"/>
      <c r="F187" s="57"/>
    </row>
    <row r="188" ht="15.75" customHeight="1">
      <c r="E188" s="57"/>
      <c r="F188" s="57"/>
    </row>
    <row r="189" ht="15.75" customHeight="1">
      <c r="E189" s="57"/>
      <c r="F189" s="57"/>
    </row>
    <row r="190" ht="15.75" customHeight="1">
      <c r="E190" s="57"/>
      <c r="F190" s="57"/>
    </row>
    <row r="191" ht="15.75" customHeight="1">
      <c r="E191" s="57"/>
      <c r="F191" s="57"/>
    </row>
    <row r="192" ht="15.75" customHeight="1">
      <c r="E192" s="57"/>
      <c r="F192" s="57"/>
    </row>
    <row r="193" ht="15.75" customHeight="1">
      <c r="E193" s="57"/>
      <c r="F193" s="57"/>
    </row>
    <row r="194" ht="15.75" customHeight="1">
      <c r="E194" s="57"/>
      <c r="F194" s="57"/>
    </row>
    <row r="195" ht="15.75" customHeight="1">
      <c r="E195" s="57"/>
      <c r="F195" s="57"/>
    </row>
    <row r="196" ht="15.75" customHeight="1">
      <c r="E196" s="57"/>
      <c r="F196" s="57"/>
    </row>
    <row r="197" ht="15.75" customHeight="1">
      <c r="E197" s="57"/>
      <c r="F197" s="57"/>
    </row>
    <row r="198" ht="15.75" customHeight="1">
      <c r="E198" s="57"/>
      <c r="F198" s="57"/>
    </row>
    <row r="199" ht="15.75" customHeight="1">
      <c r="E199" s="57"/>
      <c r="F199" s="57"/>
    </row>
    <row r="200" ht="15.75" customHeight="1">
      <c r="E200" s="57"/>
      <c r="F200" s="57"/>
    </row>
    <row r="201" ht="15.75" customHeight="1">
      <c r="E201" s="57"/>
      <c r="F201" s="57"/>
    </row>
    <row r="202" ht="15.75" customHeight="1">
      <c r="E202" s="57"/>
      <c r="F202" s="57"/>
    </row>
    <row r="203" ht="15.75" customHeight="1">
      <c r="E203" s="57"/>
      <c r="F203" s="57"/>
    </row>
    <row r="204" ht="15.75" customHeight="1">
      <c r="E204" s="57"/>
      <c r="F204" s="57"/>
    </row>
    <row r="205" ht="15.75" customHeight="1">
      <c r="E205" s="57"/>
      <c r="F205" s="57"/>
    </row>
    <row r="206" ht="15.75" customHeight="1">
      <c r="E206" s="57"/>
      <c r="F206" s="57"/>
    </row>
    <row r="207" ht="15.75" customHeight="1">
      <c r="E207" s="57"/>
      <c r="F207" s="57"/>
    </row>
    <row r="208" ht="15.75" customHeight="1">
      <c r="E208" s="57"/>
      <c r="F208" s="57"/>
    </row>
    <row r="209" ht="15.75" customHeight="1">
      <c r="E209" s="57"/>
      <c r="F209" s="57"/>
    </row>
    <row r="210" ht="15.75" customHeight="1">
      <c r="E210" s="57"/>
      <c r="F210" s="57"/>
    </row>
    <row r="211" ht="15.75" customHeight="1">
      <c r="E211" s="57"/>
      <c r="F211" s="57"/>
    </row>
    <row r="212" ht="15.75" customHeight="1">
      <c r="E212" s="57"/>
      <c r="F212" s="57"/>
    </row>
    <row r="213" ht="15.75" customHeight="1">
      <c r="E213" s="57"/>
      <c r="F213" s="57"/>
    </row>
    <row r="214" ht="15.75" customHeight="1">
      <c r="E214" s="57"/>
      <c r="F214" s="57"/>
    </row>
    <row r="215" ht="15.75" customHeight="1">
      <c r="E215" s="57"/>
      <c r="F215" s="57"/>
    </row>
    <row r="216" ht="15.75" customHeight="1">
      <c r="E216" s="57"/>
      <c r="F216" s="57"/>
    </row>
    <row r="217" ht="15.75" customHeight="1">
      <c r="E217" s="57"/>
      <c r="F217" s="57"/>
    </row>
    <row r="218" ht="15.75" customHeight="1">
      <c r="E218" s="57"/>
      <c r="F218" s="57"/>
    </row>
    <row r="219" ht="15.75" customHeight="1">
      <c r="E219" s="57"/>
      <c r="F219" s="57"/>
    </row>
    <row r="220" ht="15.75" customHeight="1">
      <c r="E220" s="57"/>
      <c r="F220" s="57"/>
    </row>
    <row r="221" ht="15.75" customHeight="1">
      <c r="E221" s="57"/>
      <c r="F221" s="57"/>
    </row>
    <row r="222" ht="15.75" customHeight="1">
      <c r="E222" s="57"/>
      <c r="F222" s="57"/>
    </row>
    <row r="223" ht="15.75" customHeight="1">
      <c r="E223" s="57"/>
      <c r="F223" s="57"/>
    </row>
    <row r="224" ht="15.75" customHeight="1">
      <c r="E224" s="57"/>
      <c r="F224" s="57"/>
    </row>
    <row r="225" ht="15.75" customHeight="1">
      <c r="E225" s="57"/>
      <c r="F225" s="57"/>
    </row>
    <row r="226" ht="15.75" customHeight="1">
      <c r="E226" s="57"/>
      <c r="F226" s="57"/>
    </row>
    <row r="227" ht="15.75" customHeight="1">
      <c r="E227" s="57"/>
      <c r="F227" s="57"/>
    </row>
    <row r="228" ht="15.75" customHeight="1">
      <c r="E228" s="57"/>
      <c r="F228" s="57"/>
    </row>
    <row r="229" ht="15.75" customHeight="1">
      <c r="E229" s="57"/>
      <c r="F229" s="57"/>
    </row>
    <row r="230" ht="15.75" customHeight="1">
      <c r="E230" s="57"/>
      <c r="F230" s="57"/>
    </row>
    <row r="231" ht="15.75" customHeight="1">
      <c r="E231" s="57"/>
      <c r="F231" s="57"/>
    </row>
    <row r="232" ht="15.75" customHeight="1">
      <c r="E232" s="57"/>
      <c r="F232" s="57"/>
    </row>
    <row r="233" ht="15.75" customHeight="1">
      <c r="E233" s="57"/>
      <c r="F233" s="57"/>
    </row>
    <row r="234" ht="15.75" customHeight="1">
      <c r="E234" s="57"/>
      <c r="F234" s="57"/>
    </row>
    <row r="235" ht="15.75" customHeight="1">
      <c r="E235" s="57"/>
      <c r="F235" s="57"/>
    </row>
    <row r="236" ht="15.75" customHeight="1">
      <c r="E236" s="57"/>
      <c r="F236" s="57"/>
    </row>
    <row r="237" ht="15.75" customHeight="1">
      <c r="E237" s="57"/>
      <c r="F237" s="57"/>
    </row>
    <row r="238" ht="15.75" customHeight="1">
      <c r="E238" s="57"/>
      <c r="F238" s="57"/>
    </row>
    <row r="239" ht="15.75" customHeight="1">
      <c r="E239" s="57"/>
      <c r="F239" s="57"/>
    </row>
    <row r="240" ht="15.75" customHeight="1">
      <c r="E240" s="57"/>
      <c r="F240" s="57"/>
    </row>
    <row r="241" ht="15.75" customHeight="1">
      <c r="E241" s="57"/>
      <c r="F241" s="57"/>
    </row>
    <row r="242" ht="15.75" customHeight="1">
      <c r="E242" s="57"/>
      <c r="F242" s="57"/>
    </row>
    <row r="243" ht="15.75" customHeight="1">
      <c r="E243" s="57"/>
      <c r="F243" s="57"/>
    </row>
    <row r="244" ht="15.75" customHeight="1">
      <c r="E244" s="57"/>
      <c r="F244" s="57"/>
    </row>
    <row r="245" ht="15.75" customHeight="1">
      <c r="E245" s="57"/>
      <c r="F245" s="57"/>
    </row>
    <row r="246" ht="15.75" customHeight="1">
      <c r="E246" s="57"/>
      <c r="F246" s="57"/>
    </row>
    <row r="247" ht="15.75" customHeight="1">
      <c r="E247" s="57"/>
      <c r="F247" s="57"/>
    </row>
    <row r="248" ht="15.75" customHeight="1">
      <c r="E248" s="57"/>
      <c r="F248" s="57"/>
    </row>
    <row r="249" ht="15.75" customHeight="1">
      <c r="E249" s="57"/>
      <c r="F249" s="57"/>
    </row>
    <row r="250" ht="15.75" customHeight="1">
      <c r="E250" s="57"/>
      <c r="F250" s="57"/>
    </row>
    <row r="251" ht="15.75" customHeight="1">
      <c r="E251" s="57"/>
      <c r="F251" s="57"/>
    </row>
    <row r="252" ht="15.75" customHeight="1">
      <c r="E252" s="57"/>
      <c r="F252" s="57"/>
    </row>
    <row r="253" ht="15.75" customHeight="1">
      <c r="E253" s="57"/>
      <c r="F253" s="57"/>
    </row>
    <row r="254" ht="15.75" customHeight="1">
      <c r="E254" s="57"/>
      <c r="F254" s="57"/>
    </row>
    <row r="255" ht="15.75" customHeight="1">
      <c r="E255" s="57"/>
      <c r="F255" s="57"/>
    </row>
    <row r="256" ht="15.75" customHeight="1">
      <c r="E256" s="57"/>
      <c r="F256" s="57"/>
    </row>
    <row r="257" ht="15.75" customHeight="1">
      <c r="E257" s="57"/>
      <c r="F257" s="57"/>
    </row>
    <row r="258" ht="15.75" customHeight="1">
      <c r="E258" s="57"/>
      <c r="F258" s="57"/>
    </row>
    <row r="259" ht="15.75" customHeight="1">
      <c r="E259" s="57"/>
      <c r="F259" s="57"/>
    </row>
    <row r="260" ht="15.75" customHeight="1">
      <c r="E260" s="57"/>
      <c r="F260" s="57"/>
    </row>
    <row r="261" ht="15.75" customHeight="1">
      <c r="E261" s="57"/>
      <c r="F261" s="57"/>
    </row>
    <row r="262" ht="15.75" customHeight="1">
      <c r="E262" s="57"/>
      <c r="F262" s="57"/>
    </row>
    <row r="263" ht="15.75" customHeight="1">
      <c r="E263" s="57"/>
      <c r="F263" s="57"/>
    </row>
    <row r="264" ht="15.75" customHeight="1">
      <c r="E264" s="57"/>
      <c r="F264" s="57"/>
    </row>
    <row r="265" ht="15.75" customHeight="1">
      <c r="E265" s="57"/>
      <c r="F265" s="57"/>
    </row>
    <row r="266" ht="15.75" customHeight="1">
      <c r="E266" s="57"/>
      <c r="F266" s="57"/>
    </row>
    <row r="267" ht="15.75" customHeight="1">
      <c r="E267" s="57"/>
      <c r="F267" s="57"/>
    </row>
    <row r="268" ht="15.75" customHeight="1">
      <c r="E268" s="57"/>
      <c r="F268" s="57"/>
    </row>
    <row r="269" ht="15.75" customHeight="1">
      <c r="E269" s="57"/>
      <c r="F269" s="57"/>
    </row>
    <row r="270" ht="15.75" customHeight="1">
      <c r="E270" s="57"/>
      <c r="F270" s="57"/>
    </row>
    <row r="271" ht="15.75" customHeight="1">
      <c r="E271" s="57"/>
      <c r="F271" s="57"/>
    </row>
    <row r="272" ht="15.75" customHeight="1">
      <c r="E272" s="57"/>
      <c r="F272" s="57"/>
    </row>
    <row r="273" ht="15.75" customHeight="1">
      <c r="E273" s="57"/>
      <c r="F273" s="57"/>
    </row>
    <row r="274" ht="15.75" customHeight="1">
      <c r="E274" s="57"/>
      <c r="F274" s="57"/>
    </row>
    <row r="275" ht="15.75" customHeight="1">
      <c r="E275" s="57"/>
      <c r="F275" s="57"/>
    </row>
    <row r="276" ht="15.75" customHeight="1">
      <c r="E276" s="57"/>
      <c r="F276" s="57"/>
    </row>
    <row r="277" ht="15.75" customHeight="1">
      <c r="E277" s="57"/>
      <c r="F277" s="57"/>
    </row>
    <row r="278" ht="15.75" customHeight="1">
      <c r="E278" s="57"/>
      <c r="F278" s="57"/>
    </row>
    <row r="279" ht="15.75" customHeight="1">
      <c r="E279" s="57"/>
      <c r="F279" s="57"/>
    </row>
    <row r="280" ht="15.75" customHeight="1">
      <c r="E280" s="57"/>
      <c r="F280" s="57"/>
    </row>
    <row r="281" ht="15.75" customHeight="1">
      <c r="E281" s="57"/>
      <c r="F281" s="57"/>
    </row>
    <row r="282" ht="15.75" customHeight="1">
      <c r="E282" s="57"/>
      <c r="F282" s="57"/>
    </row>
    <row r="283" ht="15.75" customHeight="1">
      <c r="E283" s="57"/>
      <c r="F283" s="57"/>
    </row>
    <row r="284" ht="15.75" customHeight="1">
      <c r="E284" s="57"/>
      <c r="F284" s="57"/>
    </row>
    <row r="285" ht="15.75" customHeight="1">
      <c r="E285" s="57"/>
      <c r="F285" s="57"/>
    </row>
    <row r="286" ht="15.75" customHeight="1">
      <c r="E286" s="57"/>
      <c r="F286" s="57"/>
    </row>
    <row r="287" ht="15.75" customHeight="1">
      <c r="E287" s="57"/>
      <c r="F287" s="57"/>
    </row>
    <row r="288" ht="15.75" customHeight="1">
      <c r="E288" s="57"/>
      <c r="F288" s="57"/>
    </row>
    <row r="289" ht="15.75" customHeight="1">
      <c r="E289" s="57"/>
      <c r="F289" s="57"/>
    </row>
    <row r="290" ht="15.75" customHeight="1">
      <c r="E290" s="57"/>
      <c r="F290" s="57"/>
    </row>
    <row r="291" ht="15.75" customHeight="1">
      <c r="E291" s="57"/>
      <c r="F291" s="57"/>
    </row>
    <row r="292" ht="15.75" customHeight="1">
      <c r="E292" s="57"/>
      <c r="F292" s="57"/>
    </row>
    <row r="293" ht="15.75" customHeight="1">
      <c r="E293" s="57"/>
      <c r="F293" s="57"/>
    </row>
    <row r="294" ht="15.75" customHeight="1">
      <c r="E294" s="57"/>
      <c r="F294" s="57"/>
    </row>
    <row r="295" ht="15.75" customHeight="1">
      <c r="E295" s="57"/>
      <c r="F295" s="57"/>
    </row>
    <row r="296" ht="15.75" customHeight="1">
      <c r="E296" s="57"/>
      <c r="F296" s="57"/>
    </row>
    <row r="297" ht="15.75" customHeight="1">
      <c r="E297" s="57"/>
      <c r="F297" s="57"/>
    </row>
    <row r="298" ht="15.75" customHeight="1">
      <c r="E298" s="57"/>
      <c r="F298" s="57"/>
    </row>
    <row r="299" ht="15.75" customHeight="1">
      <c r="E299" s="57"/>
      <c r="F299" s="57"/>
    </row>
    <row r="300" ht="15.75" customHeight="1">
      <c r="E300" s="57"/>
      <c r="F300" s="57"/>
    </row>
    <row r="301" ht="15.75" customHeight="1">
      <c r="E301" s="57"/>
      <c r="F301" s="57"/>
    </row>
    <row r="302" ht="15.75" customHeight="1">
      <c r="E302" s="57"/>
      <c r="F302" s="57"/>
    </row>
    <row r="303" ht="15.75" customHeight="1">
      <c r="E303" s="57"/>
      <c r="F303" s="57"/>
    </row>
    <row r="304" ht="15.75" customHeight="1">
      <c r="E304" s="57"/>
      <c r="F304" s="57"/>
    </row>
    <row r="305" ht="15.75" customHeight="1">
      <c r="E305" s="57"/>
      <c r="F305" s="57"/>
    </row>
    <row r="306" ht="15.75" customHeight="1">
      <c r="E306" s="57"/>
      <c r="F306" s="57"/>
    </row>
    <row r="307" ht="15.75" customHeight="1">
      <c r="E307" s="57"/>
      <c r="F307" s="57"/>
    </row>
    <row r="308" ht="15.75" customHeight="1">
      <c r="E308" s="57"/>
      <c r="F308" s="57"/>
    </row>
    <row r="309" ht="15.75" customHeight="1">
      <c r="E309" s="57"/>
      <c r="F309" s="57"/>
    </row>
    <row r="310" ht="15.75" customHeight="1">
      <c r="E310" s="57"/>
      <c r="F310" s="57"/>
    </row>
    <row r="311" ht="15.75" customHeight="1">
      <c r="E311" s="57"/>
      <c r="F311" s="57"/>
    </row>
    <row r="312" ht="15.75" customHeight="1">
      <c r="E312" s="57"/>
      <c r="F312" s="57"/>
    </row>
    <row r="313" ht="15.75" customHeight="1">
      <c r="E313" s="57"/>
      <c r="F313" s="57"/>
    </row>
    <row r="314" ht="15.75" customHeight="1">
      <c r="E314" s="57"/>
      <c r="F314" s="57"/>
    </row>
    <row r="315" ht="15.75" customHeight="1">
      <c r="E315" s="57"/>
      <c r="F315" s="57"/>
    </row>
    <row r="316" ht="15.75" customHeight="1">
      <c r="E316" s="57"/>
      <c r="F316" s="57"/>
    </row>
    <row r="317" ht="15.75" customHeight="1">
      <c r="E317" s="57"/>
      <c r="F317" s="57"/>
    </row>
    <row r="318" ht="15.75" customHeight="1">
      <c r="E318" s="57"/>
      <c r="F318" s="57"/>
    </row>
    <row r="319" ht="15.75" customHeight="1">
      <c r="E319" s="57"/>
      <c r="F319" s="57"/>
    </row>
    <row r="320" ht="15.75" customHeight="1">
      <c r="E320" s="57"/>
      <c r="F320" s="57"/>
    </row>
    <row r="321" ht="15.75" customHeight="1">
      <c r="E321" s="57"/>
      <c r="F321" s="57"/>
    </row>
    <row r="322" ht="15.75" customHeight="1">
      <c r="E322" s="57"/>
      <c r="F322" s="57"/>
    </row>
    <row r="323" ht="15.75" customHeight="1">
      <c r="E323" s="57"/>
      <c r="F323" s="57"/>
    </row>
    <row r="324" ht="15.75" customHeight="1">
      <c r="E324" s="57"/>
      <c r="F324" s="57"/>
    </row>
    <row r="325" ht="15.75" customHeight="1">
      <c r="E325" s="57"/>
      <c r="F325" s="57"/>
    </row>
    <row r="326" ht="15.75" customHeight="1">
      <c r="E326" s="57"/>
      <c r="F326" s="57"/>
    </row>
    <row r="327" ht="15.75" customHeight="1">
      <c r="E327" s="57"/>
      <c r="F327" s="57"/>
    </row>
    <row r="328" ht="15.75" customHeight="1">
      <c r="E328" s="57"/>
      <c r="F328" s="57"/>
    </row>
    <row r="329" ht="15.75" customHeight="1">
      <c r="E329" s="57"/>
      <c r="F329" s="57"/>
    </row>
    <row r="330" ht="15.75" customHeight="1">
      <c r="E330" s="57"/>
      <c r="F330" s="57"/>
    </row>
    <row r="331" ht="15.75" customHeight="1">
      <c r="E331" s="57"/>
      <c r="F331" s="57"/>
    </row>
    <row r="332" ht="15.75" customHeight="1">
      <c r="E332" s="57"/>
      <c r="F332" s="57"/>
    </row>
    <row r="333" ht="15.75" customHeight="1">
      <c r="E333" s="57"/>
      <c r="F333" s="57"/>
    </row>
    <row r="334" ht="15.75" customHeight="1">
      <c r="E334" s="57"/>
      <c r="F334" s="57"/>
    </row>
    <row r="335" ht="15.75" customHeight="1">
      <c r="E335" s="57"/>
      <c r="F335" s="57"/>
    </row>
    <row r="336" ht="15.75" customHeight="1">
      <c r="E336" s="57"/>
      <c r="F336" s="57"/>
    </row>
    <row r="337" ht="15.75" customHeight="1">
      <c r="E337" s="57"/>
      <c r="F337" s="57"/>
    </row>
    <row r="338" ht="15.75" customHeight="1">
      <c r="E338" s="57"/>
      <c r="F338" s="57"/>
    </row>
    <row r="339" ht="15.75" customHeight="1">
      <c r="E339" s="57"/>
      <c r="F339" s="57"/>
    </row>
    <row r="340" ht="15.75" customHeight="1">
      <c r="E340" s="57"/>
      <c r="F340" s="57"/>
    </row>
    <row r="341" ht="15.75" customHeight="1">
      <c r="E341" s="57"/>
      <c r="F341" s="57"/>
    </row>
    <row r="342" ht="15.75" customHeight="1">
      <c r="E342" s="57"/>
      <c r="F342" s="57"/>
    </row>
    <row r="343" ht="15.75" customHeight="1">
      <c r="E343" s="57"/>
      <c r="F343" s="57"/>
    </row>
    <row r="344" ht="15.75" customHeight="1">
      <c r="E344" s="57"/>
      <c r="F344" s="57"/>
    </row>
    <row r="345" ht="15.75" customHeight="1">
      <c r="E345" s="57"/>
      <c r="F345" s="57"/>
    </row>
    <row r="346" ht="15.75" customHeight="1">
      <c r="E346" s="57"/>
      <c r="F346" s="57"/>
    </row>
    <row r="347" ht="15.75" customHeight="1">
      <c r="E347" s="57"/>
      <c r="F347" s="57"/>
    </row>
    <row r="348" ht="15.75" customHeight="1">
      <c r="E348" s="57"/>
      <c r="F348" s="57"/>
    </row>
    <row r="349" ht="15.75" customHeight="1">
      <c r="E349" s="57"/>
      <c r="F349" s="57"/>
    </row>
    <row r="350" ht="15.75" customHeight="1">
      <c r="E350" s="57"/>
      <c r="F350" s="57"/>
    </row>
    <row r="351" ht="15.75" customHeight="1">
      <c r="E351" s="57"/>
      <c r="F351" s="57"/>
    </row>
    <row r="352" ht="15.75" customHeight="1">
      <c r="E352" s="57"/>
      <c r="F352" s="57"/>
    </row>
    <row r="353" ht="15.75" customHeight="1">
      <c r="E353" s="57"/>
      <c r="F353" s="57"/>
    </row>
    <row r="354" ht="15.75" customHeight="1">
      <c r="E354" s="57"/>
      <c r="F354" s="57"/>
    </row>
    <row r="355" ht="15.75" customHeight="1">
      <c r="E355" s="57"/>
      <c r="F355" s="57"/>
    </row>
    <row r="356" ht="15.75" customHeight="1">
      <c r="E356" s="57"/>
      <c r="F356" s="57"/>
    </row>
    <row r="357" ht="15.75" customHeight="1">
      <c r="E357" s="57"/>
      <c r="F357" s="57"/>
    </row>
    <row r="358" ht="15.75" customHeight="1">
      <c r="E358" s="57"/>
      <c r="F358" s="57"/>
    </row>
    <row r="359" ht="15.75" customHeight="1">
      <c r="E359" s="57"/>
      <c r="F359" s="57"/>
    </row>
    <row r="360" ht="15.75" customHeight="1">
      <c r="E360" s="57"/>
      <c r="F360" s="57"/>
    </row>
    <row r="361" ht="15.75" customHeight="1">
      <c r="E361" s="57"/>
      <c r="F361" s="57"/>
    </row>
    <row r="362" ht="15.75" customHeight="1">
      <c r="E362" s="57"/>
      <c r="F362" s="57"/>
    </row>
    <row r="363" ht="15.75" customHeight="1">
      <c r="E363" s="57"/>
      <c r="F363" s="57"/>
    </row>
    <row r="364" ht="15.75" customHeight="1">
      <c r="E364" s="57"/>
      <c r="F364" s="57"/>
    </row>
    <row r="365" ht="15.75" customHeight="1">
      <c r="E365" s="57"/>
      <c r="F365" s="57"/>
    </row>
    <row r="366" ht="15.75" customHeight="1">
      <c r="E366" s="57"/>
      <c r="F366" s="57"/>
    </row>
    <row r="367" ht="15.75" customHeight="1">
      <c r="E367" s="57"/>
      <c r="F367" s="57"/>
    </row>
    <row r="368" ht="15.75" customHeight="1">
      <c r="E368" s="57"/>
      <c r="F368" s="57"/>
    </row>
    <row r="369" ht="15.75" customHeight="1">
      <c r="E369" s="57"/>
      <c r="F369" s="57"/>
    </row>
    <row r="370" ht="15.75" customHeight="1">
      <c r="E370" s="57"/>
      <c r="F370" s="57"/>
    </row>
    <row r="371" ht="15.75" customHeight="1">
      <c r="E371" s="57"/>
      <c r="F371" s="57"/>
    </row>
    <row r="372" ht="15.75" customHeight="1">
      <c r="E372" s="57"/>
      <c r="F372" s="57"/>
    </row>
    <row r="373" ht="15.75" customHeight="1">
      <c r="E373" s="57"/>
      <c r="F373" s="57"/>
    </row>
    <row r="374" ht="15.75" customHeight="1">
      <c r="E374" s="57"/>
      <c r="F374" s="57"/>
    </row>
    <row r="375" ht="15.75" customHeight="1">
      <c r="E375" s="57"/>
      <c r="F375" s="57"/>
    </row>
    <row r="376" ht="15.75" customHeight="1">
      <c r="E376" s="57"/>
      <c r="F376" s="57"/>
    </row>
    <row r="377" ht="15.75" customHeight="1">
      <c r="E377" s="57"/>
      <c r="F377" s="57"/>
    </row>
    <row r="378" ht="15.75" customHeight="1">
      <c r="E378" s="57"/>
      <c r="F378" s="57"/>
    </row>
    <row r="379" ht="15.75" customHeight="1">
      <c r="E379" s="57"/>
      <c r="F379" s="57"/>
    </row>
    <row r="380" ht="15.75" customHeight="1">
      <c r="E380" s="57"/>
      <c r="F380" s="57"/>
    </row>
    <row r="381" ht="15.75" customHeight="1">
      <c r="E381" s="57"/>
      <c r="F381" s="57"/>
    </row>
    <row r="382" ht="15.75" customHeight="1">
      <c r="E382" s="57"/>
      <c r="F382" s="57"/>
    </row>
    <row r="383" ht="15.75" customHeight="1">
      <c r="E383" s="57"/>
      <c r="F383" s="57"/>
    </row>
    <row r="384" ht="15.75" customHeight="1">
      <c r="E384" s="57"/>
      <c r="F384" s="57"/>
    </row>
    <row r="385" ht="15.75" customHeight="1">
      <c r="E385" s="57"/>
      <c r="F385" s="57"/>
    </row>
    <row r="386" ht="15.75" customHeight="1">
      <c r="E386" s="57"/>
      <c r="F386" s="57"/>
    </row>
    <row r="387" ht="15.75" customHeight="1">
      <c r="E387" s="57"/>
      <c r="F387" s="57"/>
    </row>
    <row r="388" ht="15.75" customHeight="1">
      <c r="E388" s="57"/>
      <c r="F388" s="57"/>
    </row>
    <row r="389" ht="15.75" customHeight="1">
      <c r="E389" s="57"/>
      <c r="F389" s="57"/>
    </row>
    <row r="390" ht="15.75" customHeight="1">
      <c r="E390" s="57"/>
      <c r="F390" s="57"/>
    </row>
    <row r="391" ht="15.75" customHeight="1">
      <c r="E391" s="57"/>
      <c r="F391" s="57"/>
    </row>
    <row r="392" ht="15.75" customHeight="1">
      <c r="E392" s="57"/>
      <c r="F392" s="57"/>
    </row>
    <row r="393" ht="15.75" customHeight="1">
      <c r="E393" s="57"/>
      <c r="F393" s="57"/>
    </row>
    <row r="394" ht="15.75" customHeight="1">
      <c r="E394" s="57"/>
      <c r="F394" s="57"/>
    </row>
    <row r="395" ht="15.75" customHeight="1">
      <c r="E395" s="57"/>
      <c r="F395" s="57"/>
    </row>
    <row r="396" ht="15.75" customHeight="1">
      <c r="E396" s="57"/>
      <c r="F396" s="57"/>
    </row>
    <row r="397" ht="15.75" customHeight="1">
      <c r="E397" s="57"/>
      <c r="F397" s="57"/>
    </row>
    <row r="398" ht="15.75" customHeight="1">
      <c r="E398" s="57"/>
      <c r="F398" s="57"/>
    </row>
    <row r="399" ht="15.75" customHeight="1">
      <c r="E399" s="57"/>
      <c r="F399" s="57"/>
    </row>
    <row r="400" ht="15.75" customHeight="1">
      <c r="E400" s="57"/>
      <c r="F400" s="57"/>
    </row>
    <row r="401" ht="15.75" customHeight="1">
      <c r="E401" s="57"/>
      <c r="F401" s="57"/>
    </row>
    <row r="402" ht="15.75" customHeight="1">
      <c r="E402" s="57"/>
      <c r="F402" s="57"/>
    </row>
    <row r="403" ht="15.75" customHeight="1">
      <c r="E403" s="57"/>
      <c r="F403" s="57"/>
    </row>
    <row r="404" ht="15.75" customHeight="1">
      <c r="E404" s="57"/>
      <c r="F404" s="57"/>
    </row>
    <row r="405" ht="15.75" customHeight="1">
      <c r="E405" s="57"/>
      <c r="F405" s="57"/>
    </row>
    <row r="406" ht="15.75" customHeight="1">
      <c r="E406" s="57"/>
      <c r="F406" s="57"/>
    </row>
    <row r="407" ht="15.75" customHeight="1">
      <c r="E407" s="57"/>
      <c r="F407" s="57"/>
    </row>
    <row r="408" ht="15.75" customHeight="1">
      <c r="E408" s="57"/>
      <c r="F408" s="57"/>
    </row>
    <row r="409" ht="15.75" customHeight="1">
      <c r="E409" s="57"/>
      <c r="F409" s="57"/>
    </row>
    <row r="410" ht="15.75" customHeight="1">
      <c r="E410" s="57"/>
      <c r="F410" s="57"/>
    </row>
    <row r="411" ht="15.75" customHeight="1">
      <c r="E411" s="57"/>
      <c r="F411" s="57"/>
    </row>
    <row r="412" ht="15.75" customHeight="1">
      <c r="E412" s="57"/>
      <c r="F412" s="57"/>
    </row>
    <row r="413" ht="15.75" customHeight="1">
      <c r="E413" s="57"/>
      <c r="F413" s="57"/>
    </row>
    <row r="414" ht="15.75" customHeight="1">
      <c r="E414" s="57"/>
      <c r="F414" s="57"/>
    </row>
    <row r="415" ht="15.75" customHeight="1">
      <c r="E415" s="57"/>
      <c r="F415" s="57"/>
    </row>
    <row r="416" ht="15.75" customHeight="1">
      <c r="E416" s="57"/>
      <c r="F416" s="57"/>
    </row>
    <row r="417" ht="15.75" customHeight="1">
      <c r="E417" s="57"/>
      <c r="F417" s="57"/>
    </row>
    <row r="418" ht="15.75" customHeight="1">
      <c r="E418" s="57"/>
      <c r="F418" s="57"/>
    </row>
    <row r="419" ht="15.75" customHeight="1">
      <c r="E419" s="57"/>
      <c r="F419" s="57"/>
    </row>
    <row r="420" ht="15.75" customHeight="1">
      <c r="E420" s="57"/>
      <c r="F420" s="57"/>
    </row>
    <row r="421" ht="15.75" customHeight="1">
      <c r="E421" s="57"/>
      <c r="F421" s="57"/>
    </row>
    <row r="422" ht="15.75" customHeight="1">
      <c r="E422" s="57"/>
      <c r="F422" s="57"/>
    </row>
    <row r="423" ht="15.75" customHeight="1">
      <c r="E423" s="57"/>
      <c r="F423" s="57"/>
    </row>
    <row r="424" ht="15.75" customHeight="1">
      <c r="E424" s="57"/>
      <c r="F424" s="57"/>
    </row>
    <row r="425" ht="15.75" customHeight="1">
      <c r="E425" s="57"/>
      <c r="F425" s="57"/>
    </row>
    <row r="426" ht="15.75" customHeight="1">
      <c r="E426" s="57"/>
      <c r="F426" s="57"/>
    </row>
    <row r="427" ht="15.75" customHeight="1">
      <c r="E427" s="57"/>
      <c r="F427" s="57"/>
    </row>
    <row r="428" ht="15.75" customHeight="1">
      <c r="E428" s="57"/>
      <c r="F428" s="57"/>
    </row>
    <row r="429" ht="15.75" customHeight="1">
      <c r="E429" s="57"/>
      <c r="F429" s="57"/>
    </row>
    <row r="430" ht="15.75" customHeight="1">
      <c r="E430" s="57"/>
      <c r="F430" s="57"/>
    </row>
    <row r="431" ht="15.75" customHeight="1">
      <c r="E431" s="57"/>
      <c r="F431" s="57"/>
    </row>
    <row r="432" ht="15.75" customHeight="1">
      <c r="E432" s="57"/>
      <c r="F432" s="57"/>
    </row>
    <row r="433" ht="15.75" customHeight="1">
      <c r="E433" s="57"/>
      <c r="F433" s="57"/>
    </row>
    <row r="434" ht="15.75" customHeight="1">
      <c r="E434" s="57"/>
      <c r="F434" s="57"/>
    </row>
    <row r="435" ht="15.75" customHeight="1">
      <c r="E435" s="57"/>
      <c r="F435" s="57"/>
    </row>
    <row r="436" ht="15.75" customHeight="1">
      <c r="E436" s="57"/>
      <c r="F436" s="57"/>
    </row>
    <row r="437" ht="15.75" customHeight="1">
      <c r="E437" s="57"/>
      <c r="F437" s="57"/>
    </row>
    <row r="438" ht="15.75" customHeight="1">
      <c r="E438" s="57"/>
      <c r="F438" s="57"/>
    </row>
    <row r="439" ht="15.75" customHeight="1">
      <c r="E439" s="57"/>
      <c r="F439" s="57"/>
    </row>
    <row r="440" ht="15.75" customHeight="1">
      <c r="E440" s="57"/>
      <c r="F440" s="57"/>
    </row>
    <row r="441" ht="15.75" customHeight="1">
      <c r="E441" s="57"/>
      <c r="F441" s="57"/>
    </row>
    <row r="442" ht="15.75" customHeight="1">
      <c r="E442" s="57"/>
      <c r="F442" s="57"/>
    </row>
    <row r="443" ht="15.75" customHeight="1">
      <c r="E443" s="57"/>
      <c r="F443" s="57"/>
    </row>
    <row r="444" ht="15.75" customHeight="1">
      <c r="E444" s="57"/>
      <c r="F444" s="57"/>
    </row>
    <row r="445" ht="15.75" customHeight="1">
      <c r="E445" s="57"/>
      <c r="F445" s="57"/>
    </row>
    <row r="446" ht="15.75" customHeight="1">
      <c r="E446" s="57"/>
      <c r="F446" s="57"/>
    </row>
    <row r="447" ht="15.75" customHeight="1">
      <c r="E447" s="57"/>
      <c r="F447" s="57"/>
    </row>
    <row r="448" ht="15.75" customHeight="1">
      <c r="E448" s="57"/>
      <c r="F448" s="57"/>
    </row>
    <row r="449" ht="15.75" customHeight="1">
      <c r="E449" s="57"/>
      <c r="F449" s="57"/>
    </row>
    <row r="450" ht="15.75" customHeight="1">
      <c r="E450" s="57"/>
      <c r="F450" s="57"/>
    </row>
    <row r="451" ht="15.75" customHeight="1">
      <c r="E451" s="57"/>
      <c r="F451" s="57"/>
    </row>
    <row r="452" ht="15.75" customHeight="1">
      <c r="E452" s="57"/>
      <c r="F452" s="57"/>
    </row>
    <row r="453" ht="15.75" customHeight="1">
      <c r="E453" s="57"/>
      <c r="F453" s="57"/>
    </row>
    <row r="454" ht="15.75" customHeight="1">
      <c r="E454" s="57"/>
      <c r="F454" s="57"/>
    </row>
    <row r="455" ht="15.75" customHeight="1">
      <c r="E455" s="57"/>
      <c r="F455" s="57"/>
    </row>
    <row r="456" ht="15.75" customHeight="1">
      <c r="E456" s="57"/>
      <c r="F456" s="57"/>
    </row>
    <row r="457" ht="15.75" customHeight="1">
      <c r="E457" s="57"/>
      <c r="F457" s="57"/>
    </row>
    <row r="458" ht="15.75" customHeight="1">
      <c r="E458" s="57"/>
      <c r="F458" s="57"/>
    </row>
    <row r="459" ht="15.75" customHeight="1">
      <c r="E459" s="57"/>
      <c r="F459" s="57"/>
    </row>
    <row r="460" ht="15.75" customHeight="1">
      <c r="E460" s="57"/>
      <c r="F460" s="57"/>
    </row>
    <row r="461" ht="15.75" customHeight="1">
      <c r="E461" s="57"/>
      <c r="F461" s="57"/>
    </row>
    <row r="462" ht="15.75" customHeight="1">
      <c r="E462" s="57"/>
      <c r="F462" s="57"/>
    </row>
    <row r="463" ht="15.75" customHeight="1">
      <c r="E463" s="57"/>
      <c r="F463" s="57"/>
    </row>
    <row r="464" ht="15.75" customHeight="1">
      <c r="E464" s="57"/>
      <c r="F464" s="57"/>
    </row>
    <row r="465" ht="15.75" customHeight="1">
      <c r="E465" s="57"/>
      <c r="F465" s="57"/>
    </row>
    <row r="466" ht="15.75" customHeight="1">
      <c r="E466" s="57"/>
      <c r="F466" s="57"/>
    </row>
    <row r="467" ht="15.75" customHeight="1">
      <c r="E467" s="57"/>
      <c r="F467" s="57"/>
    </row>
    <row r="468" ht="15.75" customHeight="1">
      <c r="E468" s="57"/>
      <c r="F468" s="57"/>
    </row>
    <row r="469" ht="15.75" customHeight="1">
      <c r="E469" s="57"/>
      <c r="F469" s="57"/>
    </row>
    <row r="470" ht="15.75" customHeight="1">
      <c r="E470" s="57"/>
      <c r="F470" s="57"/>
    </row>
    <row r="471" ht="15.75" customHeight="1">
      <c r="E471" s="57"/>
      <c r="F471" s="57"/>
    </row>
    <row r="472" ht="15.75" customHeight="1">
      <c r="E472" s="57"/>
      <c r="F472" s="57"/>
    </row>
    <row r="473" ht="15.75" customHeight="1">
      <c r="E473" s="57"/>
      <c r="F473" s="57"/>
    </row>
    <row r="474" ht="15.75" customHeight="1">
      <c r="E474" s="57"/>
      <c r="F474" s="57"/>
    </row>
    <row r="475" ht="15.75" customHeight="1">
      <c r="E475" s="57"/>
      <c r="F475" s="57"/>
    </row>
    <row r="476" ht="15.75" customHeight="1">
      <c r="E476" s="57"/>
      <c r="F476" s="57"/>
    </row>
    <row r="477" ht="15.75" customHeight="1">
      <c r="E477" s="57"/>
      <c r="F477" s="57"/>
    </row>
    <row r="478" ht="15.75" customHeight="1">
      <c r="E478" s="57"/>
      <c r="F478" s="57"/>
    </row>
    <row r="479" ht="15.75" customHeight="1">
      <c r="E479" s="57"/>
      <c r="F479" s="57"/>
    </row>
    <row r="480" ht="15.75" customHeight="1">
      <c r="E480" s="57"/>
      <c r="F480" s="57"/>
    </row>
    <row r="481" ht="15.75" customHeight="1">
      <c r="E481" s="57"/>
      <c r="F481" s="57"/>
    </row>
    <row r="482" ht="15.75" customHeight="1">
      <c r="E482" s="57"/>
      <c r="F482" s="57"/>
    </row>
    <row r="483" ht="15.75" customHeight="1">
      <c r="E483" s="57"/>
      <c r="F483" s="57"/>
    </row>
    <row r="484" ht="15.75" customHeight="1">
      <c r="E484" s="57"/>
      <c r="F484" s="57"/>
    </row>
    <row r="485" ht="15.75" customHeight="1">
      <c r="E485" s="57"/>
      <c r="F485" s="57"/>
    </row>
    <row r="486" ht="15.75" customHeight="1">
      <c r="E486" s="57"/>
      <c r="F486" s="57"/>
    </row>
    <row r="487" ht="15.75" customHeight="1">
      <c r="E487" s="57"/>
      <c r="F487" s="57"/>
    </row>
    <row r="488" ht="15.75" customHeight="1">
      <c r="E488" s="57"/>
      <c r="F488" s="57"/>
    </row>
    <row r="489" ht="15.75" customHeight="1">
      <c r="E489" s="57"/>
      <c r="F489" s="57"/>
    </row>
    <row r="490" ht="15.75" customHeight="1">
      <c r="E490" s="57"/>
      <c r="F490" s="57"/>
    </row>
    <row r="491" ht="15.75" customHeight="1">
      <c r="E491" s="57"/>
      <c r="F491" s="57"/>
    </row>
    <row r="492" ht="15.75" customHeight="1">
      <c r="E492" s="57"/>
      <c r="F492" s="57"/>
    </row>
    <row r="493" ht="15.75" customHeight="1">
      <c r="E493" s="57"/>
      <c r="F493" s="57"/>
    </row>
    <row r="494" ht="15.75" customHeight="1">
      <c r="E494" s="57"/>
      <c r="F494" s="57"/>
    </row>
    <row r="495" ht="15.75" customHeight="1">
      <c r="E495" s="57"/>
      <c r="F495" s="57"/>
    </row>
    <row r="496" ht="15.75" customHeight="1">
      <c r="E496" s="57"/>
      <c r="F496" s="57"/>
    </row>
    <row r="497" ht="15.75" customHeight="1">
      <c r="E497" s="57"/>
      <c r="F497" s="57"/>
    </row>
    <row r="498" ht="15.75" customHeight="1">
      <c r="E498" s="57"/>
      <c r="F498" s="57"/>
    </row>
    <row r="499" ht="15.75" customHeight="1">
      <c r="E499" s="57"/>
      <c r="F499" s="57"/>
    </row>
    <row r="500" ht="15.75" customHeight="1">
      <c r="E500" s="57"/>
      <c r="F500" s="57"/>
    </row>
    <row r="501" ht="15.75" customHeight="1">
      <c r="E501" s="57"/>
      <c r="F501" s="57"/>
    </row>
    <row r="502" ht="15.75" customHeight="1">
      <c r="E502" s="57"/>
      <c r="F502" s="57"/>
    </row>
    <row r="503" ht="15.75" customHeight="1">
      <c r="E503" s="57"/>
      <c r="F503" s="57"/>
    </row>
    <row r="504" ht="15.75" customHeight="1">
      <c r="E504" s="57"/>
      <c r="F504" s="57"/>
    </row>
    <row r="505" ht="15.75" customHeight="1">
      <c r="E505" s="57"/>
      <c r="F505" s="57"/>
    </row>
    <row r="506" ht="15.75" customHeight="1">
      <c r="E506" s="57"/>
      <c r="F506" s="57"/>
    </row>
    <row r="507" ht="15.75" customHeight="1">
      <c r="E507" s="57"/>
      <c r="F507" s="57"/>
    </row>
    <row r="508" ht="15.75" customHeight="1">
      <c r="E508" s="57"/>
      <c r="F508" s="57"/>
    </row>
    <row r="509" ht="15.75" customHeight="1">
      <c r="E509" s="57"/>
      <c r="F509" s="57"/>
    </row>
    <row r="510" ht="15.75" customHeight="1">
      <c r="E510" s="57"/>
      <c r="F510" s="57"/>
    </row>
    <row r="511" ht="15.75" customHeight="1">
      <c r="E511" s="57"/>
      <c r="F511" s="57"/>
    </row>
    <row r="512" ht="15.75" customHeight="1">
      <c r="E512" s="57"/>
      <c r="F512" s="57"/>
    </row>
    <row r="513" ht="15.75" customHeight="1">
      <c r="E513" s="57"/>
      <c r="F513" s="57"/>
    </row>
    <row r="514" ht="15.75" customHeight="1">
      <c r="E514" s="57"/>
      <c r="F514" s="57"/>
    </row>
    <row r="515" ht="15.75" customHeight="1">
      <c r="E515" s="57"/>
      <c r="F515" s="57"/>
    </row>
    <row r="516" ht="15.75" customHeight="1">
      <c r="E516" s="57"/>
      <c r="F516" s="57"/>
    </row>
    <row r="517" ht="15.75" customHeight="1">
      <c r="E517" s="57"/>
      <c r="F517" s="57"/>
    </row>
    <row r="518" ht="15.75" customHeight="1">
      <c r="E518" s="57"/>
      <c r="F518" s="57"/>
    </row>
    <row r="519" ht="15.75" customHeight="1">
      <c r="E519" s="57"/>
      <c r="F519" s="57"/>
    </row>
    <row r="520" ht="15.75" customHeight="1">
      <c r="E520" s="57"/>
      <c r="F520" s="57"/>
    </row>
    <row r="521" ht="15.75" customHeight="1">
      <c r="E521" s="57"/>
      <c r="F521" s="57"/>
    </row>
    <row r="522" ht="15.75" customHeight="1">
      <c r="E522" s="57"/>
      <c r="F522" s="57"/>
    </row>
    <row r="523" ht="15.75" customHeight="1">
      <c r="E523" s="57"/>
      <c r="F523" s="57"/>
    </row>
    <row r="524" ht="15.75" customHeight="1">
      <c r="E524" s="57"/>
      <c r="F524" s="57"/>
    </row>
    <row r="525" ht="15.75" customHeight="1">
      <c r="E525" s="57"/>
      <c r="F525" s="57"/>
    </row>
    <row r="526" ht="15.75" customHeight="1">
      <c r="E526" s="57"/>
      <c r="F526" s="57"/>
    </row>
    <row r="527" ht="15.75" customHeight="1">
      <c r="E527" s="57"/>
      <c r="F527" s="57"/>
    </row>
    <row r="528" ht="15.75" customHeight="1">
      <c r="E528" s="57"/>
      <c r="F528" s="57"/>
    </row>
    <row r="529" ht="15.75" customHeight="1">
      <c r="E529" s="57"/>
      <c r="F529" s="57"/>
    </row>
    <row r="530" ht="15.75" customHeight="1">
      <c r="E530" s="57"/>
      <c r="F530" s="57"/>
    </row>
    <row r="531" ht="15.75" customHeight="1">
      <c r="E531" s="57"/>
      <c r="F531" s="57"/>
    </row>
    <row r="532" ht="15.75" customHeight="1">
      <c r="E532" s="57"/>
      <c r="F532" s="57"/>
    </row>
    <row r="533" ht="15.75" customHeight="1">
      <c r="E533" s="57"/>
      <c r="F533" s="57"/>
    </row>
    <row r="534" ht="15.75" customHeight="1">
      <c r="E534" s="57"/>
      <c r="F534" s="57"/>
    </row>
    <row r="535" ht="15.75" customHeight="1">
      <c r="E535" s="57"/>
      <c r="F535" s="57"/>
    </row>
    <row r="536" ht="15.75" customHeight="1">
      <c r="E536" s="57"/>
      <c r="F536" s="57"/>
    </row>
    <row r="537" ht="15.75" customHeight="1">
      <c r="E537" s="57"/>
      <c r="F537" s="57"/>
    </row>
    <row r="538" ht="15.75" customHeight="1">
      <c r="E538" s="57"/>
      <c r="F538" s="57"/>
    </row>
    <row r="539" ht="15.75" customHeight="1">
      <c r="E539" s="57"/>
      <c r="F539" s="57"/>
    </row>
    <row r="540" ht="15.75" customHeight="1">
      <c r="E540" s="57"/>
      <c r="F540" s="57"/>
    </row>
    <row r="541" ht="15.75" customHeight="1">
      <c r="E541" s="57"/>
      <c r="F541" s="57"/>
    </row>
    <row r="542" ht="15.75" customHeight="1">
      <c r="E542" s="57"/>
      <c r="F542" s="57"/>
    </row>
    <row r="543" ht="15.75" customHeight="1">
      <c r="E543" s="57"/>
      <c r="F543" s="57"/>
    </row>
    <row r="544" ht="15.75" customHeight="1">
      <c r="E544" s="57"/>
      <c r="F544" s="57"/>
    </row>
    <row r="545" ht="15.75" customHeight="1">
      <c r="E545" s="57"/>
      <c r="F545" s="57"/>
    </row>
    <row r="546" ht="15.75" customHeight="1">
      <c r="E546" s="57"/>
      <c r="F546" s="57"/>
    </row>
    <row r="547" ht="15.75" customHeight="1">
      <c r="E547" s="57"/>
      <c r="F547" s="57"/>
    </row>
    <row r="548" ht="15.75" customHeight="1">
      <c r="E548" s="57"/>
      <c r="F548" s="57"/>
    </row>
    <row r="549" ht="15.75" customHeight="1">
      <c r="E549" s="57"/>
      <c r="F549" s="57"/>
    </row>
    <row r="550" ht="15.75" customHeight="1">
      <c r="E550" s="57"/>
      <c r="F550" s="57"/>
    </row>
    <row r="551" ht="15.75" customHeight="1">
      <c r="E551" s="57"/>
      <c r="F551" s="57"/>
    </row>
    <row r="552" ht="15.75" customHeight="1">
      <c r="E552" s="57"/>
      <c r="F552" s="57"/>
    </row>
    <row r="553" ht="15.75" customHeight="1">
      <c r="E553" s="57"/>
      <c r="F553" s="57"/>
    </row>
    <row r="554" ht="15.75" customHeight="1">
      <c r="E554" s="57"/>
      <c r="F554" s="57"/>
    </row>
    <row r="555" ht="15.75" customHeight="1">
      <c r="E555" s="57"/>
      <c r="F555" s="57"/>
    </row>
    <row r="556" ht="15.75" customHeight="1">
      <c r="E556" s="57"/>
      <c r="F556" s="57"/>
    </row>
    <row r="557" ht="15.75" customHeight="1">
      <c r="E557" s="57"/>
      <c r="F557" s="57"/>
    </row>
    <row r="558" ht="15.75" customHeight="1">
      <c r="E558" s="57"/>
      <c r="F558" s="57"/>
    </row>
    <row r="559" ht="15.75" customHeight="1">
      <c r="E559" s="57"/>
      <c r="F559" s="57"/>
    </row>
    <row r="560" ht="15.75" customHeight="1">
      <c r="E560" s="57"/>
      <c r="F560" s="57"/>
    </row>
    <row r="561" ht="15.75" customHeight="1">
      <c r="E561" s="57"/>
      <c r="F561" s="57"/>
    </row>
    <row r="562" ht="15.75" customHeight="1">
      <c r="E562" s="57"/>
      <c r="F562" s="57"/>
    </row>
    <row r="563" ht="15.75" customHeight="1">
      <c r="E563" s="57"/>
      <c r="F563" s="57"/>
    </row>
    <row r="564" ht="15.75" customHeight="1">
      <c r="E564" s="57"/>
      <c r="F564" s="57"/>
    </row>
    <row r="565" ht="15.75" customHeight="1">
      <c r="E565" s="57"/>
      <c r="F565" s="57"/>
    </row>
    <row r="566" ht="15.75" customHeight="1">
      <c r="E566" s="57"/>
      <c r="F566" s="57"/>
    </row>
    <row r="567" ht="15.75" customHeight="1">
      <c r="E567" s="57"/>
      <c r="F567" s="57"/>
    </row>
    <row r="568" ht="15.75" customHeight="1">
      <c r="E568" s="57"/>
      <c r="F568" s="57"/>
    </row>
    <row r="569" ht="15.75" customHeight="1">
      <c r="E569" s="57"/>
      <c r="F569" s="57"/>
    </row>
    <row r="570" ht="15.75" customHeight="1">
      <c r="E570" s="57"/>
      <c r="F570" s="57"/>
    </row>
    <row r="571" ht="15.75" customHeight="1">
      <c r="E571" s="57"/>
      <c r="F571" s="57"/>
    </row>
    <row r="572" ht="15.75" customHeight="1">
      <c r="E572" s="57"/>
      <c r="F572" s="57"/>
    </row>
    <row r="573" ht="15.75" customHeight="1">
      <c r="E573" s="57"/>
      <c r="F573" s="57"/>
    </row>
    <row r="574" ht="15.75" customHeight="1">
      <c r="E574" s="57"/>
      <c r="F574" s="57"/>
    </row>
    <row r="575" ht="15.75" customHeight="1">
      <c r="E575" s="57"/>
      <c r="F575" s="57"/>
    </row>
    <row r="576" ht="15.75" customHeight="1">
      <c r="E576" s="57"/>
      <c r="F576" s="57"/>
    </row>
    <row r="577" ht="15.75" customHeight="1">
      <c r="E577" s="57"/>
      <c r="F577" s="57"/>
    </row>
    <row r="578" ht="15.75" customHeight="1">
      <c r="E578" s="57"/>
      <c r="F578" s="57"/>
    </row>
    <row r="579" ht="15.75" customHeight="1">
      <c r="E579" s="57"/>
      <c r="F579" s="57"/>
    </row>
    <row r="580" ht="15.75" customHeight="1">
      <c r="E580" s="57"/>
      <c r="F580" s="57"/>
    </row>
    <row r="581" ht="15.75" customHeight="1">
      <c r="E581" s="57"/>
      <c r="F581" s="57"/>
    </row>
    <row r="582" ht="15.75" customHeight="1">
      <c r="E582" s="57"/>
      <c r="F582" s="57"/>
    </row>
    <row r="583" ht="15.75" customHeight="1">
      <c r="E583" s="57"/>
      <c r="F583" s="57"/>
    </row>
    <row r="584" ht="15.75" customHeight="1">
      <c r="E584" s="57"/>
      <c r="F584" s="57"/>
    </row>
    <row r="585" ht="15.75" customHeight="1">
      <c r="E585" s="57"/>
      <c r="F585" s="57"/>
    </row>
    <row r="586" ht="15.75" customHeight="1">
      <c r="E586" s="57"/>
      <c r="F586" s="57"/>
    </row>
    <row r="587" ht="15.75" customHeight="1">
      <c r="E587" s="57"/>
      <c r="F587" s="57"/>
    </row>
    <row r="588" ht="15.75" customHeight="1">
      <c r="E588" s="57"/>
      <c r="F588" s="57"/>
    </row>
    <row r="589" ht="15.75" customHeight="1">
      <c r="E589" s="57"/>
      <c r="F589" s="57"/>
    </row>
    <row r="590" ht="15.75" customHeight="1">
      <c r="E590" s="57"/>
      <c r="F590" s="57"/>
    </row>
    <row r="591" ht="15.75" customHeight="1">
      <c r="E591" s="57"/>
      <c r="F591" s="57"/>
    </row>
    <row r="592" ht="15.75" customHeight="1">
      <c r="E592" s="57"/>
      <c r="F592" s="57"/>
    </row>
    <row r="593" ht="15.75" customHeight="1">
      <c r="E593" s="57"/>
      <c r="F593" s="57"/>
    </row>
    <row r="594" ht="15.75" customHeight="1">
      <c r="E594" s="57"/>
      <c r="F594" s="57"/>
    </row>
    <row r="595" ht="15.75" customHeight="1">
      <c r="E595" s="57"/>
      <c r="F595" s="57"/>
    </row>
    <row r="596" ht="15.75" customHeight="1">
      <c r="E596" s="57"/>
      <c r="F596" s="57"/>
    </row>
    <row r="597" ht="15.75" customHeight="1">
      <c r="E597" s="57"/>
      <c r="F597" s="57"/>
    </row>
    <row r="598" ht="15.75" customHeight="1">
      <c r="E598" s="57"/>
      <c r="F598" s="57"/>
    </row>
    <row r="599" ht="15.75" customHeight="1">
      <c r="E599" s="57"/>
      <c r="F599" s="57"/>
    </row>
    <row r="600" ht="15.75" customHeight="1">
      <c r="E600" s="57"/>
      <c r="F600" s="57"/>
    </row>
    <row r="601" ht="15.75" customHeight="1">
      <c r="E601" s="57"/>
      <c r="F601" s="57"/>
    </row>
    <row r="602" ht="15.75" customHeight="1">
      <c r="E602" s="57"/>
      <c r="F602" s="57"/>
    </row>
    <row r="603" ht="15.75" customHeight="1">
      <c r="E603" s="57"/>
      <c r="F603" s="57"/>
    </row>
    <row r="604" ht="15.75" customHeight="1">
      <c r="E604" s="57"/>
      <c r="F604" s="57"/>
    </row>
    <row r="605" ht="15.75" customHeight="1">
      <c r="E605" s="57"/>
      <c r="F605" s="57"/>
    </row>
    <row r="606" ht="15.75" customHeight="1">
      <c r="E606" s="57"/>
      <c r="F606" s="57"/>
    </row>
    <row r="607" ht="15.75" customHeight="1">
      <c r="E607" s="57"/>
      <c r="F607" s="57"/>
    </row>
    <row r="608" ht="15.75" customHeight="1">
      <c r="E608" s="57"/>
      <c r="F608" s="57"/>
    </row>
    <row r="609" ht="15.75" customHeight="1">
      <c r="E609" s="57"/>
      <c r="F609" s="57"/>
    </row>
    <row r="610" ht="15.75" customHeight="1">
      <c r="E610" s="57"/>
      <c r="F610" s="57"/>
    </row>
    <row r="611" ht="15.75" customHeight="1">
      <c r="E611" s="57"/>
      <c r="F611" s="57"/>
    </row>
    <row r="612" ht="15.75" customHeight="1">
      <c r="E612" s="57"/>
      <c r="F612" s="57"/>
    </row>
    <row r="613" ht="15.75" customHeight="1">
      <c r="E613" s="57"/>
      <c r="F613" s="57"/>
    </row>
    <row r="614" ht="15.75" customHeight="1">
      <c r="E614" s="57"/>
      <c r="F614" s="57"/>
    </row>
    <row r="615" ht="15.75" customHeight="1">
      <c r="E615" s="57"/>
      <c r="F615" s="57"/>
    </row>
    <row r="616" ht="15.75" customHeight="1">
      <c r="E616" s="57"/>
      <c r="F616" s="57"/>
    </row>
    <row r="617" ht="15.75" customHeight="1">
      <c r="E617" s="57"/>
      <c r="F617" s="57"/>
    </row>
    <row r="618" ht="15.75" customHeight="1">
      <c r="E618" s="57"/>
      <c r="F618" s="57"/>
    </row>
    <row r="619" ht="15.75" customHeight="1">
      <c r="E619" s="57"/>
      <c r="F619" s="57"/>
    </row>
    <row r="620" ht="15.75" customHeight="1">
      <c r="E620" s="57"/>
      <c r="F620" s="57"/>
    </row>
    <row r="621" ht="15.75" customHeight="1">
      <c r="E621" s="57"/>
      <c r="F621" s="57"/>
    </row>
    <row r="622" ht="15.75" customHeight="1">
      <c r="E622" s="57"/>
      <c r="F622" s="57"/>
    </row>
    <row r="623" ht="15.75" customHeight="1">
      <c r="E623" s="57"/>
      <c r="F623" s="57"/>
    </row>
    <row r="624" ht="15.75" customHeight="1">
      <c r="E624" s="57"/>
      <c r="F624" s="57"/>
    </row>
    <row r="625" ht="15.75" customHeight="1">
      <c r="E625" s="57"/>
      <c r="F625" s="57"/>
    </row>
    <row r="626" ht="15.75" customHeight="1">
      <c r="E626" s="57"/>
      <c r="F626" s="57"/>
    </row>
    <row r="627" ht="15.75" customHeight="1">
      <c r="E627" s="57"/>
      <c r="F627" s="57"/>
    </row>
    <row r="628" ht="15.75" customHeight="1">
      <c r="E628" s="57"/>
      <c r="F628" s="57"/>
    </row>
    <row r="629" ht="15.75" customHeight="1">
      <c r="E629" s="57"/>
      <c r="F629" s="57"/>
    </row>
    <row r="630" ht="15.75" customHeight="1">
      <c r="E630" s="57"/>
      <c r="F630" s="57"/>
    </row>
    <row r="631" ht="15.75" customHeight="1">
      <c r="E631" s="57"/>
      <c r="F631" s="57"/>
    </row>
    <row r="632" ht="15.75" customHeight="1">
      <c r="E632" s="57"/>
      <c r="F632" s="57"/>
    </row>
    <row r="633" ht="15.75" customHeight="1">
      <c r="E633" s="57"/>
      <c r="F633" s="57"/>
    </row>
    <row r="634" ht="15.75" customHeight="1">
      <c r="E634" s="57"/>
      <c r="F634" s="57"/>
    </row>
    <row r="635" ht="15.75" customHeight="1">
      <c r="E635" s="57"/>
      <c r="F635" s="57"/>
    </row>
    <row r="636" ht="15.75" customHeight="1">
      <c r="E636" s="57"/>
      <c r="F636" s="57"/>
    </row>
    <row r="637" ht="15.75" customHeight="1">
      <c r="E637" s="57"/>
      <c r="F637" s="57"/>
    </row>
    <row r="638" ht="15.75" customHeight="1">
      <c r="E638" s="57"/>
      <c r="F638" s="57"/>
    </row>
    <row r="639" ht="15.75" customHeight="1">
      <c r="E639" s="57"/>
      <c r="F639" s="57"/>
    </row>
    <row r="640" ht="15.75" customHeight="1">
      <c r="E640" s="57"/>
      <c r="F640" s="57"/>
    </row>
    <row r="641" ht="15.75" customHeight="1">
      <c r="E641" s="57"/>
      <c r="F641" s="57"/>
    </row>
    <row r="642" ht="15.75" customHeight="1">
      <c r="E642" s="57"/>
      <c r="F642" s="57"/>
    </row>
    <row r="643" ht="15.75" customHeight="1">
      <c r="E643" s="57"/>
      <c r="F643" s="57"/>
    </row>
    <row r="644" ht="15.75" customHeight="1">
      <c r="E644" s="57"/>
      <c r="F644" s="57"/>
    </row>
    <row r="645" ht="15.75" customHeight="1">
      <c r="E645" s="57"/>
      <c r="F645" s="57"/>
    </row>
    <row r="646" ht="15.75" customHeight="1">
      <c r="E646" s="57"/>
      <c r="F646" s="57"/>
    </row>
    <row r="647" ht="15.75" customHeight="1">
      <c r="E647" s="57"/>
      <c r="F647" s="57"/>
    </row>
    <row r="648" ht="15.75" customHeight="1">
      <c r="E648" s="57"/>
      <c r="F648" s="57"/>
    </row>
    <row r="649" ht="15.75" customHeight="1">
      <c r="E649" s="57"/>
      <c r="F649" s="57"/>
    </row>
    <row r="650" ht="15.75" customHeight="1">
      <c r="E650" s="57"/>
      <c r="F650" s="57"/>
    </row>
    <row r="651" ht="15.75" customHeight="1">
      <c r="E651" s="57"/>
      <c r="F651" s="57"/>
    </row>
    <row r="652" ht="15.75" customHeight="1">
      <c r="E652" s="57"/>
      <c r="F652" s="57"/>
    </row>
    <row r="653" ht="15.75" customHeight="1">
      <c r="E653" s="57"/>
      <c r="F653" s="57"/>
    </row>
    <row r="654" ht="15.75" customHeight="1">
      <c r="E654" s="57"/>
      <c r="F654" s="57"/>
    </row>
    <row r="655" ht="15.75" customHeight="1">
      <c r="E655" s="57"/>
      <c r="F655" s="57"/>
    </row>
    <row r="656" ht="15.75" customHeight="1">
      <c r="E656" s="57"/>
      <c r="F656" s="57"/>
    </row>
    <row r="657" ht="15.75" customHeight="1">
      <c r="E657" s="57"/>
      <c r="F657" s="57"/>
    </row>
    <row r="658" ht="15.75" customHeight="1">
      <c r="E658" s="57"/>
      <c r="F658" s="57"/>
    </row>
    <row r="659" ht="15.75" customHeight="1">
      <c r="E659" s="57"/>
      <c r="F659" s="57"/>
    </row>
    <row r="660" ht="15.75" customHeight="1">
      <c r="E660" s="57"/>
      <c r="F660" s="57"/>
    </row>
    <row r="661" ht="15.75" customHeight="1">
      <c r="E661" s="57"/>
      <c r="F661" s="57"/>
    </row>
    <row r="662" ht="15.75" customHeight="1">
      <c r="E662" s="57"/>
      <c r="F662" s="57"/>
    </row>
    <row r="663" ht="15.75" customHeight="1">
      <c r="E663" s="57"/>
      <c r="F663" s="57"/>
    </row>
    <row r="664" ht="15.75" customHeight="1">
      <c r="E664" s="57"/>
      <c r="F664" s="57"/>
    </row>
    <row r="665" ht="15.75" customHeight="1">
      <c r="E665" s="57"/>
      <c r="F665" s="57"/>
    </row>
    <row r="666" ht="15.75" customHeight="1">
      <c r="E666" s="57"/>
      <c r="F666" s="57"/>
    </row>
    <row r="667" ht="15.75" customHeight="1">
      <c r="E667" s="57"/>
      <c r="F667" s="57"/>
    </row>
    <row r="668" ht="15.75" customHeight="1">
      <c r="E668" s="57"/>
      <c r="F668" s="57"/>
    </row>
    <row r="669" ht="15.75" customHeight="1">
      <c r="E669" s="57"/>
      <c r="F669" s="57"/>
    </row>
    <row r="670" ht="15.75" customHeight="1">
      <c r="E670" s="57"/>
      <c r="F670" s="57"/>
    </row>
    <row r="671" ht="15.75" customHeight="1">
      <c r="E671" s="57"/>
      <c r="F671" s="57"/>
    </row>
    <row r="672" ht="15.75" customHeight="1">
      <c r="E672" s="57"/>
      <c r="F672" s="57"/>
    </row>
    <row r="673" ht="15.75" customHeight="1">
      <c r="E673" s="57"/>
      <c r="F673" s="57"/>
    </row>
    <row r="674" ht="15.75" customHeight="1">
      <c r="E674" s="57"/>
      <c r="F674" s="57"/>
    </row>
    <row r="675" ht="15.75" customHeight="1">
      <c r="E675" s="57"/>
      <c r="F675" s="57"/>
    </row>
    <row r="676" ht="15.75" customHeight="1">
      <c r="E676" s="57"/>
      <c r="F676" s="57"/>
    </row>
    <row r="677" ht="15.75" customHeight="1">
      <c r="E677" s="57"/>
      <c r="F677" s="57"/>
    </row>
    <row r="678" ht="15.75" customHeight="1">
      <c r="E678" s="57"/>
      <c r="F678" s="57"/>
    </row>
    <row r="679" ht="15.75" customHeight="1">
      <c r="E679" s="57"/>
      <c r="F679" s="57"/>
    </row>
    <row r="680" ht="15.75" customHeight="1">
      <c r="E680" s="57"/>
      <c r="F680" s="57"/>
    </row>
    <row r="681" ht="15.75" customHeight="1">
      <c r="E681" s="57"/>
      <c r="F681" s="57"/>
    </row>
    <row r="682" ht="15.75" customHeight="1">
      <c r="E682" s="57"/>
      <c r="F682" s="57"/>
    </row>
    <row r="683" ht="15.75" customHeight="1">
      <c r="E683" s="57"/>
      <c r="F683" s="57"/>
    </row>
    <row r="684" ht="15.75" customHeight="1">
      <c r="E684" s="57"/>
      <c r="F684" s="57"/>
    </row>
    <row r="685" ht="15.75" customHeight="1">
      <c r="E685" s="57"/>
      <c r="F685" s="57"/>
    </row>
    <row r="686" ht="15.75" customHeight="1">
      <c r="E686" s="57"/>
      <c r="F686" s="57"/>
    </row>
    <row r="687" ht="15.75" customHeight="1">
      <c r="E687" s="57"/>
      <c r="F687" s="57"/>
    </row>
    <row r="688" ht="15.75" customHeight="1">
      <c r="E688" s="57"/>
      <c r="F688" s="57"/>
    </row>
    <row r="689" ht="15.75" customHeight="1">
      <c r="E689" s="57"/>
      <c r="F689" s="57"/>
    </row>
    <row r="690" ht="15.75" customHeight="1">
      <c r="E690" s="57"/>
      <c r="F690" s="57"/>
    </row>
    <row r="691" ht="15.75" customHeight="1">
      <c r="E691" s="57"/>
      <c r="F691" s="57"/>
    </row>
    <row r="692" ht="15.75" customHeight="1">
      <c r="E692" s="57"/>
      <c r="F692" s="57"/>
    </row>
    <row r="693" ht="15.75" customHeight="1">
      <c r="E693" s="57"/>
      <c r="F693" s="57"/>
    </row>
    <row r="694" ht="15.75" customHeight="1">
      <c r="E694" s="57"/>
      <c r="F694" s="57"/>
    </row>
    <row r="695" ht="15.75" customHeight="1">
      <c r="E695" s="57"/>
      <c r="F695" s="57"/>
    </row>
    <row r="696" ht="15.75" customHeight="1">
      <c r="E696" s="57"/>
      <c r="F696" s="57"/>
    </row>
    <row r="697" ht="15.75" customHeight="1">
      <c r="E697" s="57"/>
      <c r="F697" s="57"/>
    </row>
    <row r="698" ht="15.75" customHeight="1">
      <c r="E698" s="57"/>
      <c r="F698" s="57"/>
    </row>
    <row r="699" ht="15.75" customHeight="1">
      <c r="E699" s="57"/>
      <c r="F699" s="57"/>
    </row>
    <row r="700" ht="15.75" customHeight="1">
      <c r="E700" s="57"/>
      <c r="F700" s="57"/>
    </row>
    <row r="701" ht="15.75" customHeight="1">
      <c r="E701" s="57"/>
      <c r="F701" s="57"/>
    </row>
    <row r="702" ht="15.75" customHeight="1">
      <c r="E702" s="57"/>
      <c r="F702" s="57"/>
    </row>
    <row r="703" ht="15.75" customHeight="1">
      <c r="E703" s="57"/>
      <c r="F703" s="57"/>
    </row>
    <row r="704" ht="15.75" customHeight="1">
      <c r="E704" s="57"/>
      <c r="F704" s="57"/>
    </row>
    <row r="705" ht="15.75" customHeight="1">
      <c r="E705" s="57"/>
      <c r="F705" s="57"/>
    </row>
    <row r="706" ht="15.75" customHeight="1">
      <c r="E706" s="57"/>
      <c r="F706" s="57"/>
    </row>
    <row r="707" ht="15.75" customHeight="1">
      <c r="E707" s="57"/>
      <c r="F707" s="57"/>
    </row>
    <row r="708" ht="15.75" customHeight="1">
      <c r="E708" s="57"/>
      <c r="F708" s="57"/>
    </row>
    <row r="709" ht="15.75" customHeight="1">
      <c r="E709" s="57"/>
      <c r="F709" s="57"/>
    </row>
    <row r="710" ht="15.75" customHeight="1">
      <c r="E710" s="57"/>
      <c r="F710" s="57"/>
    </row>
    <row r="711" ht="15.75" customHeight="1">
      <c r="E711" s="57"/>
      <c r="F711" s="57"/>
    </row>
    <row r="712" ht="15.75" customHeight="1">
      <c r="E712" s="57"/>
      <c r="F712" s="57"/>
    </row>
    <row r="713" ht="15.75" customHeight="1">
      <c r="E713" s="57"/>
      <c r="F713" s="57"/>
    </row>
    <row r="714" ht="15.75" customHeight="1">
      <c r="E714" s="57"/>
      <c r="F714" s="57"/>
    </row>
    <row r="715" ht="15.75" customHeight="1">
      <c r="E715" s="57"/>
      <c r="F715" s="57"/>
    </row>
    <row r="716" ht="15.75" customHeight="1">
      <c r="E716" s="57"/>
      <c r="F716" s="57"/>
    </row>
    <row r="717" ht="15.75" customHeight="1">
      <c r="E717" s="57"/>
      <c r="F717" s="57"/>
    </row>
    <row r="718" ht="15.75" customHeight="1">
      <c r="E718" s="57"/>
      <c r="F718" s="57"/>
    </row>
    <row r="719" ht="15.75" customHeight="1">
      <c r="E719" s="57"/>
      <c r="F719" s="57"/>
    </row>
    <row r="720" ht="15.75" customHeight="1">
      <c r="E720" s="57"/>
      <c r="F720" s="57"/>
    </row>
    <row r="721" ht="15.75" customHeight="1">
      <c r="E721" s="57"/>
      <c r="F721" s="57"/>
    </row>
    <row r="722" ht="15.75" customHeight="1">
      <c r="E722" s="57"/>
      <c r="F722" s="57"/>
    </row>
    <row r="723" ht="15.75" customHeight="1">
      <c r="E723" s="57"/>
      <c r="F723" s="57"/>
    </row>
    <row r="724" ht="15.75" customHeight="1">
      <c r="E724" s="57"/>
      <c r="F724" s="57"/>
    </row>
    <row r="725" ht="15.75" customHeight="1">
      <c r="E725" s="57"/>
      <c r="F725" s="57"/>
    </row>
    <row r="726" ht="15.75" customHeight="1">
      <c r="E726" s="57"/>
      <c r="F726" s="57"/>
    </row>
    <row r="727" ht="15.75" customHeight="1">
      <c r="E727" s="57"/>
      <c r="F727" s="57"/>
    </row>
    <row r="728" ht="15.75" customHeight="1">
      <c r="E728" s="57"/>
      <c r="F728" s="57"/>
    </row>
    <row r="729" ht="15.75" customHeight="1">
      <c r="E729" s="57"/>
      <c r="F729" s="57"/>
    </row>
    <row r="730" ht="15.75" customHeight="1">
      <c r="E730" s="57"/>
      <c r="F730" s="57"/>
    </row>
    <row r="731" ht="15.75" customHeight="1">
      <c r="E731" s="57"/>
      <c r="F731" s="57"/>
    </row>
    <row r="732" ht="15.75" customHeight="1">
      <c r="E732" s="57"/>
      <c r="F732" s="57"/>
    </row>
    <row r="733" ht="15.75" customHeight="1">
      <c r="E733" s="57"/>
      <c r="F733" s="57"/>
    </row>
    <row r="734" ht="15.75" customHeight="1">
      <c r="E734" s="57"/>
      <c r="F734" s="57"/>
    </row>
    <row r="735" ht="15.75" customHeight="1">
      <c r="E735" s="57"/>
      <c r="F735" s="57"/>
    </row>
    <row r="736" ht="15.75" customHeight="1">
      <c r="E736" s="57"/>
      <c r="F736" s="57"/>
    </row>
    <row r="737" ht="15.75" customHeight="1">
      <c r="E737" s="57"/>
      <c r="F737" s="57"/>
    </row>
    <row r="738" ht="15.75" customHeight="1">
      <c r="E738" s="57"/>
      <c r="F738" s="57"/>
    </row>
    <row r="739" ht="15.75" customHeight="1">
      <c r="E739" s="57"/>
      <c r="F739" s="57"/>
    </row>
    <row r="740" ht="15.75" customHeight="1">
      <c r="E740" s="57"/>
      <c r="F740" s="57"/>
    </row>
    <row r="741" ht="15.75" customHeight="1">
      <c r="E741" s="57"/>
      <c r="F741" s="57"/>
    </row>
    <row r="742" ht="15.75" customHeight="1">
      <c r="E742" s="57"/>
      <c r="F742" s="57"/>
    </row>
    <row r="743" ht="15.75" customHeight="1">
      <c r="E743" s="57"/>
      <c r="F743" s="57"/>
    </row>
    <row r="744" ht="15.75" customHeight="1">
      <c r="E744" s="57"/>
      <c r="F744" s="57"/>
    </row>
    <row r="745" ht="15.75" customHeight="1">
      <c r="E745" s="57"/>
      <c r="F745" s="57"/>
    </row>
    <row r="746" ht="15.75" customHeight="1">
      <c r="E746" s="57"/>
      <c r="F746" s="57"/>
    </row>
    <row r="747" ht="15.75" customHeight="1">
      <c r="E747" s="57"/>
      <c r="F747" s="57"/>
    </row>
    <row r="748" ht="15.75" customHeight="1">
      <c r="E748" s="57"/>
      <c r="F748" s="57"/>
    </row>
    <row r="749" ht="15.75" customHeight="1">
      <c r="E749" s="57"/>
      <c r="F749" s="57"/>
    </row>
    <row r="750" ht="15.75" customHeight="1">
      <c r="E750" s="57"/>
      <c r="F750" s="57"/>
    </row>
    <row r="751" ht="15.75" customHeight="1">
      <c r="E751" s="57"/>
      <c r="F751" s="57"/>
    </row>
    <row r="752" ht="15.75" customHeight="1">
      <c r="E752" s="57"/>
      <c r="F752" s="57"/>
    </row>
    <row r="753" ht="15.75" customHeight="1">
      <c r="E753" s="57"/>
      <c r="F753" s="57"/>
    </row>
    <row r="754" ht="15.75" customHeight="1">
      <c r="E754" s="57"/>
      <c r="F754" s="57"/>
    </row>
    <row r="755" ht="15.75" customHeight="1">
      <c r="E755" s="57"/>
      <c r="F755" s="57"/>
    </row>
    <row r="756" ht="15.75" customHeight="1">
      <c r="E756" s="57"/>
      <c r="F756" s="57"/>
    </row>
    <row r="757" ht="15.75" customHeight="1">
      <c r="E757" s="57"/>
      <c r="F757" s="57"/>
    </row>
    <row r="758" ht="15.75" customHeight="1">
      <c r="E758" s="57"/>
      <c r="F758" s="57"/>
    </row>
    <row r="759" ht="15.75" customHeight="1">
      <c r="E759" s="57"/>
      <c r="F759" s="57"/>
    </row>
    <row r="760" ht="15.75" customHeight="1">
      <c r="E760" s="57"/>
      <c r="F760" s="57"/>
    </row>
    <row r="761" ht="15.75" customHeight="1">
      <c r="E761" s="57"/>
      <c r="F761" s="57"/>
    </row>
    <row r="762" ht="15.75" customHeight="1">
      <c r="E762" s="57"/>
      <c r="F762" s="57"/>
    </row>
    <row r="763" ht="15.75" customHeight="1">
      <c r="E763" s="57"/>
      <c r="F763" s="57"/>
    </row>
    <row r="764" ht="15.75" customHeight="1">
      <c r="E764" s="57"/>
      <c r="F764" s="57"/>
    </row>
    <row r="765" ht="15.75" customHeight="1">
      <c r="E765" s="57"/>
      <c r="F765" s="57"/>
    </row>
    <row r="766" ht="15.75" customHeight="1">
      <c r="E766" s="57"/>
      <c r="F766" s="57"/>
    </row>
    <row r="767" ht="15.75" customHeight="1">
      <c r="E767" s="57"/>
      <c r="F767" s="57"/>
    </row>
    <row r="768" ht="15.75" customHeight="1">
      <c r="E768" s="57"/>
      <c r="F768" s="57"/>
    </row>
    <row r="769" ht="15.75" customHeight="1">
      <c r="E769" s="57"/>
      <c r="F769" s="57"/>
    </row>
    <row r="770" ht="15.75" customHeight="1">
      <c r="E770" s="57"/>
      <c r="F770" s="57"/>
    </row>
    <row r="771" ht="15.75" customHeight="1">
      <c r="E771" s="57"/>
      <c r="F771" s="57"/>
    </row>
    <row r="772" ht="15.75" customHeight="1">
      <c r="E772" s="57"/>
      <c r="F772" s="57"/>
    </row>
    <row r="773" ht="15.75" customHeight="1">
      <c r="E773" s="57"/>
      <c r="F773" s="57"/>
    </row>
    <row r="774" ht="15.75" customHeight="1">
      <c r="E774" s="57"/>
      <c r="F774" s="57"/>
    </row>
    <row r="775" ht="15.75" customHeight="1">
      <c r="E775" s="57"/>
      <c r="F775" s="57"/>
    </row>
    <row r="776" ht="15.75" customHeight="1">
      <c r="E776" s="57"/>
      <c r="F776" s="57"/>
    </row>
    <row r="777" ht="15.75" customHeight="1">
      <c r="E777" s="57"/>
      <c r="F777" s="57"/>
    </row>
    <row r="778" ht="15.75" customHeight="1">
      <c r="E778" s="57"/>
      <c r="F778" s="57"/>
    </row>
    <row r="779" ht="15.75" customHeight="1">
      <c r="E779" s="57"/>
      <c r="F779" s="57"/>
    </row>
    <row r="780" ht="15.75" customHeight="1">
      <c r="E780" s="57"/>
      <c r="F780" s="57"/>
    </row>
    <row r="781" ht="15.75" customHeight="1">
      <c r="E781" s="57"/>
      <c r="F781" s="57"/>
    </row>
    <row r="782" ht="15.75" customHeight="1">
      <c r="E782" s="57"/>
      <c r="F782" s="57"/>
    </row>
    <row r="783" ht="15.75" customHeight="1">
      <c r="E783" s="57"/>
      <c r="F783" s="57"/>
    </row>
    <row r="784" ht="15.75" customHeight="1">
      <c r="E784" s="57"/>
      <c r="F784" s="57"/>
    </row>
    <row r="785" ht="15.75" customHeight="1">
      <c r="E785" s="57"/>
      <c r="F785" s="57"/>
    </row>
    <row r="786" ht="15.75" customHeight="1">
      <c r="E786" s="57"/>
      <c r="F786" s="57"/>
    </row>
    <row r="787" ht="15.75" customHeight="1">
      <c r="E787" s="57"/>
      <c r="F787" s="57"/>
    </row>
    <row r="788" ht="15.75" customHeight="1">
      <c r="E788" s="57"/>
      <c r="F788" s="57"/>
    </row>
    <row r="789" ht="15.75" customHeight="1">
      <c r="E789" s="57"/>
      <c r="F789" s="57"/>
    </row>
    <row r="790" ht="15.75" customHeight="1">
      <c r="E790" s="57"/>
      <c r="F790" s="57"/>
    </row>
    <row r="791" ht="15.75" customHeight="1">
      <c r="E791" s="57"/>
      <c r="F791" s="57"/>
    </row>
    <row r="792" ht="15.75" customHeight="1">
      <c r="E792" s="57"/>
      <c r="F792" s="57"/>
    </row>
    <row r="793" ht="15.75" customHeight="1">
      <c r="E793" s="57"/>
      <c r="F793" s="57"/>
    </row>
    <row r="794" ht="15.75" customHeight="1">
      <c r="E794" s="57"/>
      <c r="F794" s="57"/>
    </row>
    <row r="795" ht="15.75" customHeight="1">
      <c r="E795" s="57"/>
      <c r="F795" s="57"/>
    </row>
    <row r="796" ht="15.75" customHeight="1">
      <c r="E796" s="57"/>
      <c r="F796" s="57"/>
    </row>
    <row r="797" ht="15.75" customHeight="1">
      <c r="E797" s="57"/>
      <c r="F797" s="57"/>
    </row>
    <row r="798" ht="15.75" customHeight="1">
      <c r="E798" s="57"/>
      <c r="F798" s="57"/>
    </row>
    <row r="799" ht="15.75" customHeight="1">
      <c r="E799" s="57"/>
      <c r="F799" s="57"/>
    </row>
    <row r="800" ht="15.75" customHeight="1">
      <c r="E800" s="57"/>
      <c r="F800" s="57"/>
    </row>
    <row r="801" ht="15.75" customHeight="1">
      <c r="E801" s="57"/>
      <c r="F801" s="57"/>
    </row>
    <row r="802" ht="15.75" customHeight="1">
      <c r="E802" s="57"/>
      <c r="F802" s="57"/>
    </row>
    <row r="803" ht="15.75" customHeight="1">
      <c r="E803" s="57"/>
      <c r="F803" s="57"/>
    </row>
    <row r="804" ht="15.75" customHeight="1">
      <c r="E804" s="57"/>
      <c r="F804" s="57"/>
    </row>
    <row r="805" ht="15.75" customHeight="1">
      <c r="E805" s="57"/>
      <c r="F805" s="57"/>
    </row>
    <row r="806" ht="15.75" customHeight="1">
      <c r="E806" s="57"/>
      <c r="F806" s="57"/>
    </row>
    <row r="807" ht="15.75" customHeight="1">
      <c r="E807" s="57"/>
      <c r="F807" s="57"/>
    </row>
    <row r="808" ht="15.75" customHeight="1">
      <c r="E808" s="57"/>
      <c r="F808" s="57"/>
    </row>
    <row r="809" ht="15.75" customHeight="1">
      <c r="E809" s="57"/>
      <c r="F809" s="57"/>
    </row>
    <row r="810" ht="15.75" customHeight="1">
      <c r="E810" s="57"/>
      <c r="F810" s="57"/>
    </row>
    <row r="811" ht="15.75" customHeight="1">
      <c r="E811" s="57"/>
      <c r="F811" s="57"/>
    </row>
    <row r="812" ht="15.75" customHeight="1">
      <c r="E812" s="57"/>
      <c r="F812" s="57"/>
    </row>
    <row r="813" ht="15.75" customHeight="1">
      <c r="E813" s="57"/>
      <c r="F813" s="57"/>
    </row>
    <row r="814" ht="15.75" customHeight="1">
      <c r="E814" s="57"/>
      <c r="F814" s="57"/>
    </row>
    <row r="815" ht="15.75" customHeight="1">
      <c r="E815" s="57"/>
      <c r="F815" s="57"/>
    </row>
    <row r="816" ht="15.75" customHeight="1">
      <c r="E816" s="57"/>
      <c r="F816" s="57"/>
    </row>
    <row r="817" ht="15.75" customHeight="1">
      <c r="E817" s="57"/>
      <c r="F817" s="57"/>
    </row>
    <row r="818" ht="15.75" customHeight="1">
      <c r="E818" s="57"/>
      <c r="F818" s="57"/>
    </row>
    <row r="819" ht="15.75" customHeight="1">
      <c r="E819" s="57"/>
      <c r="F819" s="57"/>
    </row>
    <row r="820" ht="15.75" customHeight="1">
      <c r="E820" s="57"/>
      <c r="F820" s="57"/>
    </row>
    <row r="821" ht="15.75" customHeight="1">
      <c r="E821" s="57"/>
      <c r="F821" s="57"/>
    </row>
    <row r="822" ht="15.75" customHeight="1">
      <c r="E822" s="57"/>
      <c r="F822" s="57"/>
    </row>
    <row r="823" ht="15.75" customHeight="1">
      <c r="E823" s="57"/>
      <c r="F823" s="57"/>
    </row>
    <row r="824" ht="15.75" customHeight="1">
      <c r="E824" s="57"/>
      <c r="F824" s="57"/>
    </row>
    <row r="825" ht="15.75" customHeight="1">
      <c r="E825" s="57"/>
      <c r="F825" s="57"/>
    </row>
    <row r="826" ht="15.75" customHeight="1">
      <c r="E826" s="57"/>
      <c r="F826" s="57"/>
    </row>
    <row r="827" ht="15.75" customHeight="1">
      <c r="E827" s="57"/>
      <c r="F827" s="57"/>
    </row>
    <row r="828" ht="15.75" customHeight="1">
      <c r="E828" s="57"/>
      <c r="F828" s="57"/>
    </row>
    <row r="829" ht="15.75" customHeight="1">
      <c r="E829" s="57"/>
      <c r="F829" s="57"/>
    </row>
    <row r="830" ht="15.75" customHeight="1">
      <c r="E830" s="57"/>
      <c r="F830" s="57"/>
    </row>
    <row r="831" ht="15.75" customHeight="1">
      <c r="E831" s="57"/>
      <c r="F831" s="57"/>
    </row>
    <row r="832" ht="15.75" customHeight="1">
      <c r="E832" s="57"/>
      <c r="F832" s="57"/>
    </row>
    <row r="833" ht="15.75" customHeight="1">
      <c r="E833" s="57"/>
      <c r="F833" s="57"/>
    </row>
    <row r="834" ht="15.75" customHeight="1">
      <c r="E834" s="57"/>
      <c r="F834" s="57"/>
    </row>
    <row r="835" ht="15.75" customHeight="1">
      <c r="E835" s="57"/>
      <c r="F835" s="57"/>
    </row>
    <row r="836" ht="15.75" customHeight="1">
      <c r="E836" s="57"/>
      <c r="F836" s="57"/>
    </row>
    <row r="837" ht="15.75" customHeight="1">
      <c r="E837" s="57"/>
      <c r="F837" s="57"/>
    </row>
    <row r="838" ht="15.75" customHeight="1">
      <c r="E838" s="57"/>
      <c r="F838" s="57"/>
    </row>
    <row r="839" ht="15.75" customHeight="1">
      <c r="E839" s="57"/>
      <c r="F839" s="57"/>
    </row>
    <row r="840" ht="15.75" customHeight="1">
      <c r="E840" s="57"/>
      <c r="F840" s="57"/>
    </row>
    <row r="841" ht="15.75" customHeight="1">
      <c r="E841" s="57"/>
      <c r="F841" s="57"/>
    </row>
    <row r="842" ht="15.75" customHeight="1">
      <c r="E842" s="57"/>
      <c r="F842" s="57"/>
    </row>
    <row r="843" ht="15.75" customHeight="1">
      <c r="E843" s="57"/>
      <c r="F843" s="57"/>
    </row>
    <row r="844" ht="15.75" customHeight="1">
      <c r="E844" s="57"/>
      <c r="F844" s="57"/>
    </row>
    <row r="845" ht="15.75" customHeight="1">
      <c r="E845" s="57"/>
      <c r="F845" s="57"/>
    </row>
    <row r="846" ht="15.75" customHeight="1">
      <c r="E846" s="57"/>
      <c r="F846" s="57"/>
    </row>
    <row r="847" ht="15.75" customHeight="1">
      <c r="E847" s="57"/>
      <c r="F847" s="57"/>
    </row>
    <row r="848" ht="15.75" customHeight="1">
      <c r="E848" s="57"/>
      <c r="F848" s="57"/>
    </row>
    <row r="849" ht="15.75" customHeight="1">
      <c r="E849" s="57"/>
      <c r="F849" s="57"/>
    </row>
    <row r="850" ht="15.75" customHeight="1">
      <c r="E850" s="57"/>
      <c r="F850" s="57"/>
    </row>
    <row r="851" ht="15.75" customHeight="1">
      <c r="E851" s="57"/>
      <c r="F851" s="57"/>
    </row>
    <row r="852" ht="15.75" customHeight="1">
      <c r="E852" s="57"/>
      <c r="F852" s="57"/>
    </row>
    <row r="853" ht="15.75" customHeight="1">
      <c r="E853" s="57"/>
      <c r="F853" s="57"/>
    </row>
    <row r="854" ht="15.75" customHeight="1">
      <c r="E854" s="57"/>
      <c r="F854" s="57"/>
    </row>
    <row r="855" ht="15.75" customHeight="1">
      <c r="E855" s="57"/>
      <c r="F855" s="57"/>
    </row>
    <row r="856" ht="15.75" customHeight="1">
      <c r="E856" s="57"/>
      <c r="F856" s="57"/>
    </row>
    <row r="857" ht="15.75" customHeight="1">
      <c r="E857" s="57"/>
      <c r="F857" s="57"/>
    </row>
    <row r="858" ht="15.75" customHeight="1">
      <c r="E858" s="57"/>
      <c r="F858" s="57"/>
    </row>
    <row r="859" ht="15.75" customHeight="1">
      <c r="E859" s="57"/>
      <c r="F859" s="57"/>
    </row>
    <row r="860" ht="15.75" customHeight="1">
      <c r="E860" s="57"/>
      <c r="F860" s="57"/>
    </row>
    <row r="861" ht="15.75" customHeight="1">
      <c r="E861" s="57"/>
      <c r="F861" s="57"/>
    </row>
    <row r="862" ht="15.75" customHeight="1">
      <c r="E862" s="57"/>
      <c r="F862" s="57"/>
    </row>
    <row r="863" ht="15.75" customHeight="1">
      <c r="E863" s="57"/>
      <c r="F863" s="57"/>
    </row>
    <row r="864" ht="15.75" customHeight="1">
      <c r="E864" s="57"/>
      <c r="F864" s="57"/>
    </row>
    <row r="865" ht="15.75" customHeight="1">
      <c r="E865" s="57"/>
      <c r="F865" s="57"/>
    </row>
    <row r="866" ht="15.75" customHeight="1">
      <c r="E866" s="57"/>
      <c r="F866" s="57"/>
    </row>
    <row r="867" ht="15.75" customHeight="1">
      <c r="E867" s="57"/>
      <c r="F867" s="57"/>
    </row>
    <row r="868" ht="15.75" customHeight="1">
      <c r="E868" s="57"/>
      <c r="F868" s="57"/>
    </row>
    <row r="869" ht="15.75" customHeight="1">
      <c r="E869" s="57"/>
      <c r="F869" s="57"/>
    </row>
    <row r="870" ht="15.75" customHeight="1">
      <c r="E870" s="57"/>
      <c r="F870" s="57"/>
    </row>
    <row r="871" ht="15.75" customHeight="1">
      <c r="E871" s="57"/>
      <c r="F871" s="57"/>
    </row>
    <row r="872" ht="15.75" customHeight="1">
      <c r="E872" s="57"/>
      <c r="F872" s="57"/>
    </row>
    <row r="873" ht="15.75" customHeight="1">
      <c r="E873" s="57"/>
      <c r="F873" s="57"/>
    </row>
    <row r="874" ht="15.75" customHeight="1">
      <c r="E874" s="57"/>
      <c r="F874" s="57"/>
    </row>
    <row r="875" ht="15.75" customHeight="1">
      <c r="E875" s="57"/>
      <c r="F875" s="57"/>
    </row>
    <row r="876" ht="15.75" customHeight="1">
      <c r="E876" s="57"/>
      <c r="F876" s="57"/>
    </row>
    <row r="877" ht="15.75" customHeight="1">
      <c r="E877" s="57"/>
      <c r="F877" s="57"/>
    </row>
    <row r="878" ht="15.75" customHeight="1">
      <c r="E878" s="57"/>
      <c r="F878" s="57"/>
    </row>
    <row r="879" ht="15.75" customHeight="1">
      <c r="E879" s="57"/>
      <c r="F879" s="57"/>
    </row>
    <row r="880" ht="15.75" customHeight="1">
      <c r="E880" s="57"/>
      <c r="F880" s="57"/>
    </row>
    <row r="881" ht="15.75" customHeight="1">
      <c r="E881" s="57"/>
      <c r="F881" s="57"/>
    </row>
    <row r="882" ht="15.75" customHeight="1">
      <c r="E882" s="57"/>
      <c r="F882" s="57"/>
    </row>
    <row r="883" ht="15.75" customHeight="1">
      <c r="E883" s="57"/>
      <c r="F883" s="57"/>
    </row>
    <row r="884" ht="15.75" customHeight="1">
      <c r="E884" s="57"/>
      <c r="F884" s="57"/>
    </row>
    <row r="885" ht="15.75" customHeight="1">
      <c r="E885" s="57"/>
      <c r="F885" s="57"/>
    </row>
    <row r="886" ht="15.75" customHeight="1">
      <c r="E886" s="57"/>
      <c r="F886" s="57"/>
    </row>
    <row r="887" ht="15.75" customHeight="1">
      <c r="E887" s="57"/>
      <c r="F887" s="57"/>
    </row>
    <row r="888" ht="15.75" customHeight="1">
      <c r="E888" s="57"/>
      <c r="F888" s="57"/>
    </row>
    <row r="889" ht="15.75" customHeight="1">
      <c r="E889" s="57"/>
      <c r="F889" s="57"/>
    </row>
    <row r="890" ht="15.75" customHeight="1">
      <c r="E890" s="57"/>
      <c r="F890" s="57"/>
    </row>
    <row r="891" ht="15.75" customHeight="1">
      <c r="E891" s="57"/>
      <c r="F891" s="57"/>
    </row>
    <row r="892" ht="15.75" customHeight="1">
      <c r="E892" s="57"/>
      <c r="F892" s="57"/>
    </row>
    <row r="893" ht="15.75" customHeight="1">
      <c r="E893" s="57"/>
      <c r="F893" s="57"/>
    </row>
    <row r="894" ht="15.75" customHeight="1">
      <c r="E894" s="57"/>
      <c r="F894" s="57"/>
    </row>
    <row r="895" ht="15.75" customHeight="1">
      <c r="E895" s="57"/>
      <c r="F895" s="57"/>
    </row>
    <row r="896" ht="15.75" customHeight="1">
      <c r="E896" s="57"/>
      <c r="F896" s="57"/>
    </row>
    <row r="897" ht="15.75" customHeight="1">
      <c r="E897" s="57"/>
      <c r="F897" s="57"/>
    </row>
    <row r="898" ht="15.75" customHeight="1">
      <c r="E898" s="57"/>
      <c r="F898" s="57"/>
    </row>
    <row r="899" ht="15.75" customHeight="1">
      <c r="E899" s="57"/>
      <c r="F899" s="57"/>
    </row>
    <row r="900" ht="15.75" customHeight="1">
      <c r="E900" s="57"/>
      <c r="F900" s="57"/>
    </row>
    <row r="901" ht="15.75" customHeight="1">
      <c r="E901" s="57"/>
      <c r="F901" s="57"/>
    </row>
    <row r="902" ht="15.75" customHeight="1">
      <c r="E902" s="57"/>
      <c r="F902" s="57"/>
    </row>
    <row r="903" ht="15.75" customHeight="1">
      <c r="E903" s="57"/>
      <c r="F903" s="57"/>
    </row>
    <row r="904" ht="15.75" customHeight="1">
      <c r="E904" s="57"/>
      <c r="F904" s="57"/>
    </row>
    <row r="905" ht="15.75" customHeight="1">
      <c r="E905" s="57"/>
      <c r="F905" s="57"/>
    </row>
    <row r="906" ht="15.75" customHeight="1">
      <c r="E906" s="57"/>
      <c r="F906" s="57"/>
    </row>
    <row r="907" ht="15.75" customHeight="1">
      <c r="E907" s="57"/>
      <c r="F907" s="57"/>
    </row>
    <row r="908" ht="15.75" customHeight="1">
      <c r="E908" s="57"/>
      <c r="F908" s="57"/>
    </row>
    <row r="909" ht="15.75" customHeight="1">
      <c r="E909" s="57"/>
      <c r="F909" s="57"/>
    </row>
    <row r="910" ht="15.75" customHeight="1">
      <c r="E910" s="57"/>
      <c r="F910" s="57"/>
    </row>
    <row r="911" ht="15.75" customHeight="1">
      <c r="E911" s="57"/>
      <c r="F911" s="57"/>
    </row>
    <row r="912" ht="15.75" customHeight="1">
      <c r="E912" s="57"/>
      <c r="F912" s="57"/>
    </row>
    <row r="913" ht="15.75" customHeight="1">
      <c r="E913" s="57"/>
      <c r="F913" s="57"/>
    </row>
    <row r="914" ht="15.75" customHeight="1">
      <c r="E914" s="57"/>
      <c r="F914" s="57"/>
    </row>
    <row r="915" ht="15.75" customHeight="1">
      <c r="E915" s="57"/>
      <c r="F915" s="57"/>
    </row>
    <row r="916" ht="15.75" customHeight="1">
      <c r="E916" s="57"/>
      <c r="F916" s="57"/>
    </row>
    <row r="917" ht="15.75" customHeight="1">
      <c r="E917" s="57"/>
      <c r="F917" s="57"/>
    </row>
    <row r="918" ht="15.75" customHeight="1">
      <c r="E918" s="57"/>
      <c r="F918" s="57"/>
    </row>
    <row r="919" ht="15.75" customHeight="1">
      <c r="E919" s="57"/>
      <c r="F919" s="57"/>
    </row>
    <row r="920" ht="15.75" customHeight="1">
      <c r="E920" s="57"/>
      <c r="F920" s="57"/>
    </row>
    <row r="921" ht="15.75" customHeight="1">
      <c r="E921" s="57"/>
      <c r="F921" s="57"/>
    </row>
    <row r="922" ht="15.75" customHeight="1">
      <c r="E922" s="57"/>
      <c r="F922" s="57"/>
    </row>
    <row r="923" ht="15.75" customHeight="1">
      <c r="E923" s="57"/>
      <c r="F923" s="57"/>
    </row>
    <row r="924" ht="15.75" customHeight="1">
      <c r="E924" s="57"/>
      <c r="F924" s="57"/>
    </row>
    <row r="925" ht="15.75" customHeight="1">
      <c r="E925" s="57"/>
      <c r="F925" s="57"/>
    </row>
    <row r="926" ht="15.75" customHeight="1">
      <c r="E926" s="57"/>
      <c r="F926" s="57"/>
    </row>
    <row r="927" ht="15.75" customHeight="1">
      <c r="E927" s="57"/>
      <c r="F927" s="57"/>
    </row>
    <row r="928" ht="15.75" customHeight="1">
      <c r="E928" s="57"/>
      <c r="F928" s="57"/>
    </row>
    <row r="929" ht="15.75" customHeight="1">
      <c r="E929" s="57"/>
      <c r="F929" s="57"/>
    </row>
    <row r="930" ht="15.75" customHeight="1">
      <c r="E930" s="57"/>
      <c r="F930" s="57"/>
    </row>
    <row r="931" ht="15.75" customHeight="1">
      <c r="E931" s="57"/>
      <c r="F931" s="57"/>
    </row>
    <row r="932" ht="15.75" customHeight="1">
      <c r="E932" s="57"/>
      <c r="F932" s="57"/>
    </row>
    <row r="933" ht="15.75" customHeight="1">
      <c r="E933" s="57"/>
      <c r="F933" s="57"/>
    </row>
    <row r="934" ht="15.75" customHeight="1">
      <c r="E934" s="57"/>
      <c r="F934" s="57"/>
    </row>
    <row r="935" ht="15.75" customHeight="1">
      <c r="E935" s="57"/>
      <c r="F935" s="57"/>
    </row>
    <row r="936" ht="15.75" customHeight="1">
      <c r="E936" s="57"/>
      <c r="F936" s="57"/>
    </row>
    <row r="937" ht="15.75" customHeight="1">
      <c r="E937" s="57"/>
      <c r="F937" s="57"/>
    </row>
    <row r="938" ht="15.75" customHeight="1">
      <c r="E938" s="57"/>
      <c r="F938" s="57"/>
    </row>
    <row r="939" ht="15.75" customHeight="1">
      <c r="E939" s="57"/>
      <c r="F939" s="57"/>
    </row>
    <row r="940" ht="15.75" customHeight="1">
      <c r="E940" s="57"/>
      <c r="F940" s="57"/>
    </row>
    <row r="941" ht="15.75" customHeight="1">
      <c r="E941" s="57"/>
      <c r="F941" s="57"/>
    </row>
    <row r="942" ht="15.75" customHeight="1">
      <c r="E942" s="57"/>
      <c r="F942" s="57"/>
    </row>
    <row r="943" ht="15.75" customHeight="1">
      <c r="E943" s="57"/>
      <c r="F943" s="57"/>
    </row>
    <row r="944" ht="15.75" customHeight="1">
      <c r="E944" s="57"/>
      <c r="F944" s="57"/>
    </row>
    <row r="945" ht="15.75" customHeight="1">
      <c r="E945" s="57"/>
      <c r="F945" s="57"/>
    </row>
    <row r="946" ht="15.75" customHeight="1">
      <c r="E946" s="57"/>
      <c r="F946" s="57"/>
    </row>
    <row r="947" ht="15.75" customHeight="1">
      <c r="E947" s="57"/>
      <c r="F947" s="57"/>
    </row>
    <row r="948" ht="15.75" customHeight="1">
      <c r="E948" s="57"/>
      <c r="F948" s="57"/>
    </row>
    <row r="949" ht="15.75" customHeight="1">
      <c r="E949" s="57"/>
      <c r="F949" s="57"/>
    </row>
    <row r="950" ht="15.75" customHeight="1">
      <c r="E950" s="57"/>
      <c r="F950" s="57"/>
    </row>
    <row r="951" ht="15.75" customHeight="1">
      <c r="E951" s="57"/>
      <c r="F951" s="57"/>
    </row>
    <row r="952" ht="15.75" customHeight="1">
      <c r="E952" s="57"/>
      <c r="F952" s="57"/>
    </row>
    <row r="953" ht="15.75" customHeight="1">
      <c r="E953" s="57"/>
      <c r="F953" s="57"/>
    </row>
    <row r="954" ht="15.75" customHeight="1">
      <c r="E954" s="57"/>
      <c r="F954" s="57"/>
    </row>
    <row r="955" ht="15.75" customHeight="1">
      <c r="E955" s="57"/>
      <c r="F955" s="57"/>
    </row>
    <row r="956" ht="15.75" customHeight="1">
      <c r="E956" s="57"/>
      <c r="F956" s="57"/>
    </row>
    <row r="957" ht="15.75" customHeight="1">
      <c r="E957" s="57"/>
      <c r="F957" s="57"/>
    </row>
    <row r="958" ht="15.75" customHeight="1">
      <c r="E958" s="57"/>
      <c r="F958" s="57"/>
    </row>
    <row r="959" ht="15.75" customHeight="1">
      <c r="E959" s="57"/>
      <c r="F959" s="57"/>
    </row>
    <row r="960" ht="15.75" customHeight="1">
      <c r="E960" s="57"/>
      <c r="F960" s="57"/>
    </row>
    <row r="961" ht="15.75" customHeight="1">
      <c r="E961" s="57"/>
      <c r="F961" s="57"/>
    </row>
    <row r="962" ht="15.75" customHeight="1">
      <c r="E962" s="57"/>
      <c r="F962" s="57"/>
    </row>
    <row r="963" ht="15.75" customHeight="1">
      <c r="E963" s="57"/>
      <c r="F963" s="57"/>
    </row>
    <row r="964" ht="15.75" customHeight="1">
      <c r="E964" s="57"/>
      <c r="F964" s="57"/>
    </row>
    <row r="965" ht="15.75" customHeight="1">
      <c r="E965" s="57"/>
      <c r="F965" s="57"/>
    </row>
    <row r="966" ht="15.75" customHeight="1">
      <c r="E966" s="57"/>
      <c r="F966" s="57"/>
    </row>
    <row r="967" ht="15.75" customHeight="1">
      <c r="E967" s="57"/>
      <c r="F967" s="57"/>
    </row>
    <row r="968" ht="15.75" customHeight="1">
      <c r="E968" s="57"/>
      <c r="F968" s="57"/>
    </row>
    <row r="969" ht="15.75" customHeight="1">
      <c r="E969" s="57"/>
      <c r="F969" s="57"/>
    </row>
    <row r="970" ht="15.75" customHeight="1">
      <c r="E970" s="57"/>
      <c r="F970" s="57"/>
    </row>
    <row r="971" ht="15.75" customHeight="1">
      <c r="E971" s="57"/>
      <c r="F971" s="57"/>
    </row>
    <row r="972" ht="15.75" customHeight="1">
      <c r="E972" s="57"/>
      <c r="F972" s="57"/>
    </row>
    <row r="973" ht="15.75" customHeight="1">
      <c r="E973" s="57"/>
      <c r="F973" s="57"/>
    </row>
    <row r="974" ht="15.75" customHeight="1">
      <c r="E974" s="57"/>
      <c r="F974" s="57"/>
    </row>
    <row r="975" ht="15.75" customHeight="1">
      <c r="E975" s="57"/>
      <c r="F975" s="57"/>
    </row>
    <row r="976" ht="15.75" customHeight="1">
      <c r="E976" s="57"/>
      <c r="F976" s="57"/>
    </row>
    <row r="977" ht="15.75" customHeight="1">
      <c r="E977" s="57"/>
      <c r="F977" s="57"/>
    </row>
    <row r="978" ht="15.75" customHeight="1">
      <c r="E978" s="57"/>
      <c r="F978" s="57"/>
    </row>
    <row r="979" ht="15.75" customHeight="1">
      <c r="E979" s="57"/>
      <c r="F979" s="57"/>
    </row>
    <row r="980" ht="15.75" customHeight="1">
      <c r="E980" s="57"/>
      <c r="F980" s="57"/>
    </row>
    <row r="981" ht="15.75" customHeight="1">
      <c r="E981" s="57"/>
      <c r="F981" s="57"/>
    </row>
    <row r="982" ht="15.75" customHeight="1">
      <c r="E982" s="57"/>
      <c r="F982" s="57"/>
    </row>
    <row r="983" ht="15.75" customHeight="1">
      <c r="E983" s="57"/>
      <c r="F983" s="57"/>
    </row>
    <row r="984" ht="15.75" customHeight="1">
      <c r="E984" s="57"/>
      <c r="F984" s="57"/>
    </row>
    <row r="985" ht="15.75" customHeight="1">
      <c r="E985" s="57"/>
      <c r="F985" s="57"/>
    </row>
    <row r="986" ht="15.75" customHeight="1">
      <c r="E986" s="57"/>
      <c r="F986" s="57"/>
    </row>
    <row r="987" ht="15.75" customHeight="1">
      <c r="E987" s="57"/>
      <c r="F987" s="57"/>
    </row>
    <row r="988" ht="15.75" customHeight="1">
      <c r="E988" s="57"/>
      <c r="F988" s="57"/>
    </row>
    <row r="989" ht="15.75" customHeight="1">
      <c r="E989" s="57"/>
      <c r="F989" s="57"/>
    </row>
    <row r="990" ht="15.75" customHeight="1">
      <c r="E990" s="57"/>
      <c r="F990" s="57"/>
    </row>
    <row r="991" ht="15.75" customHeight="1">
      <c r="E991" s="57"/>
      <c r="F991" s="57"/>
    </row>
    <row r="992" ht="15.75" customHeight="1">
      <c r="E992" s="57"/>
      <c r="F992" s="57"/>
    </row>
    <row r="993" ht="15.75" customHeight="1">
      <c r="E993" s="57"/>
      <c r="F993" s="57"/>
    </row>
    <row r="994" ht="15.75" customHeight="1">
      <c r="E994" s="57"/>
      <c r="F994" s="57"/>
    </row>
    <row r="995" ht="15.75" customHeight="1">
      <c r="E995" s="57"/>
      <c r="F995" s="57"/>
    </row>
    <row r="996" ht="15.75" customHeight="1">
      <c r="E996" s="57"/>
      <c r="F996" s="57"/>
    </row>
    <row r="997" ht="15.75" customHeight="1">
      <c r="E997" s="57"/>
      <c r="F997" s="57"/>
    </row>
    <row r="998" ht="15.75" customHeight="1">
      <c r="E998" s="57"/>
      <c r="F998" s="57"/>
    </row>
    <row r="999" ht="15.75" customHeight="1">
      <c r="E999" s="57"/>
      <c r="F999" s="57"/>
    </row>
    <row r="1000" ht="15.75" customHeight="1">
      <c r="E1000" s="57"/>
      <c r="F1000" s="57"/>
    </row>
  </sheetData>
  <hyperlinks>
    <hyperlink r:id="rId1" ref="B14"/>
  </hyperlinks>
  <printOptions/>
  <pageMargins bottom="0.75" footer="0.0" header="0.0" left="0.7" right="0.7" top="0.75"/>
  <pageSetup orientation="landscape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3.38"/>
    <col customWidth="1" min="2" max="2" width="15.75"/>
    <col customWidth="1" min="3" max="3" width="19.13"/>
    <col customWidth="1" min="4" max="4" width="93.38"/>
    <col customWidth="1" min="5" max="5" width="17.75"/>
    <col customWidth="1" min="6" max="26" width="8.63"/>
  </cols>
  <sheetData>
    <row r="1">
      <c r="A1" s="66" t="s">
        <v>550</v>
      </c>
      <c r="B1" s="1" t="s">
        <v>551</v>
      </c>
      <c r="C1" s="1" t="s">
        <v>535</v>
      </c>
      <c r="D1" s="1" t="s">
        <v>552</v>
      </c>
      <c r="E1" s="1" t="s">
        <v>553</v>
      </c>
    </row>
    <row r="2">
      <c r="A2" s="48" t="s">
        <v>554</v>
      </c>
      <c r="B2" s="48">
        <v>1.0</v>
      </c>
      <c r="C2" s="47">
        <v>45687.0</v>
      </c>
      <c r="D2" s="48" t="s">
        <v>555</v>
      </c>
      <c r="E2" s="67">
        <f>SUM(B2:B997)</f>
        <v>271</v>
      </c>
    </row>
    <row r="3">
      <c r="A3" s="48" t="s">
        <v>6</v>
      </c>
      <c r="B3" s="48">
        <v>3.0</v>
      </c>
      <c r="C3" s="47">
        <v>45689.0</v>
      </c>
      <c r="D3" s="48" t="s">
        <v>556</v>
      </c>
    </row>
    <row r="4">
      <c r="A4" s="48" t="s">
        <v>554</v>
      </c>
      <c r="B4" s="48">
        <v>2.0</v>
      </c>
      <c r="C4" s="47">
        <v>45695.0</v>
      </c>
      <c r="D4" s="48" t="s">
        <v>557</v>
      </c>
    </row>
    <row r="5">
      <c r="A5" s="48" t="s">
        <v>554</v>
      </c>
      <c r="B5" s="48">
        <v>1.0</v>
      </c>
      <c r="C5" s="47">
        <v>45703.0</v>
      </c>
      <c r="D5" s="48" t="s">
        <v>558</v>
      </c>
    </row>
    <row r="6">
      <c r="A6" s="48" t="s">
        <v>554</v>
      </c>
      <c r="B6" s="48">
        <v>2.0</v>
      </c>
      <c r="C6" s="47">
        <v>45704.0</v>
      </c>
      <c r="D6" s="48" t="s">
        <v>559</v>
      </c>
    </row>
    <row r="7">
      <c r="A7" s="48" t="s">
        <v>554</v>
      </c>
      <c r="B7" s="48">
        <v>1.0</v>
      </c>
      <c r="C7" s="47">
        <v>45719.0</v>
      </c>
      <c r="D7" s="48" t="s">
        <v>560</v>
      </c>
    </row>
    <row r="8">
      <c r="A8" s="48" t="s">
        <v>554</v>
      </c>
      <c r="B8" s="48">
        <v>1.0</v>
      </c>
      <c r="C8" s="47">
        <v>45724.0</v>
      </c>
      <c r="D8" s="48" t="s">
        <v>561</v>
      </c>
    </row>
    <row r="9">
      <c r="A9" s="48" t="s">
        <v>554</v>
      </c>
      <c r="B9" s="48">
        <v>2.0</v>
      </c>
      <c r="C9" s="47">
        <v>45733.0</v>
      </c>
      <c r="D9" s="48" t="s">
        <v>562</v>
      </c>
    </row>
    <row r="10">
      <c r="A10" s="48" t="s">
        <v>554</v>
      </c>
      <c r="B10" s="48">
        <v>1.0</v>
      </c>
      <c r="C10" s="47">
        <v>45739.0</v>
      </c>
      <c r="D10" s="48" t="s">
        <v>563</v>
      </c>
    </row>
    <row r="11">
      <c r="A11" s="48" t="s">
        <v>554</v>
      </c>
      <c r="B11" s="48">
        <v>2.0</v>
      </c>
      <c r="C11" s="47">
        <v>45741.0</v>
      </c>
      <c r="D11" s="48" t="s">
        <v>564</v>
      </c>
    </row>
    <row r="12">
      <c r="A12" s="48" t="s">
        <v>6</v>
      </c>
      <c r="B12" s="48">
        <v>6.0</v>
      </c>
      <c r="C12" s="47">
        <v>45741.0</v>
      </c>
      <c r="D12" s="48" t="s">
        <v>565</v>
      </c>
    </row>
    <row r="13">
      <c r="A13" s="48" t="s">
        <v>554</v>
      </c>
      <c r="B13" s="48">
        <v>6.0</v>
      </c>
      <c r="C13" s="47">
        <v>45741.0</v>
      </c>
      <c r="D13" s="48" t="s">
        <v>566</v>
      </c>
    </row>
    <row r="14">
      <c r="A14" s="48" t="s">
        <v>554</v>
      </c>
      <c r="B14" s="48">
        <v>2.0</v>
      </c>
      <c r="C14" s="47">
        <v>45757.0</v>
      </c>
      <c r="D14" s="48" t="s">
        <v>567</v>
      </c>
    </row>
    <row r="15">
      <c r="A15" s="48" t="s">
        <v>6</v>
      </c>
      <c r="B15" s="48">
        <v>2.0</v>
      </c>
      <c r="C15" s="47">
        <v>45757.0</v>
      </c>
      <c r="D15" s="48" t="s">
        <v>567</v>
      </c>
    </row>
    <row r="16">
      <c r="A16" s="48" t="s">
        <v>7</v>
      </c>
      <c r="B16" s="48">
        <v>2.0</v>
      </c>
      <c r="C16" s="47">
        <v>45757.0</v>
      </c>
      <c r="D16" s="48" t="s">
        <v>567</v>
      </c>
    </row>
    <row r="17">
      <c r="A17" s="48" t="s">
        <v>568</v>
      </c>
      <c r="B17" s="48">
        <v>1.0</v>
      </c>
      <c r="C17" s="47">
        <v>45757.0</v>
      </c>
      <c r="D17" s="48" t="s">
        <v>567</v>
      </c>
    </row>
    <row r="18">
      <c r="A18" s="48" t="s">
        <v>554</v>
      </c>
      <c r="B18" s="48">
        <v>1.0</v>
      </c>
      <c r="C18" s="47">
        <v>45765.0</v>
      </c>
      <c r="D18" s="48" t="s">
        <v>569</v>
      </c>
    </row>
    <row r="19">
      <c r="A19" s="48" t="s">
        <v>554</v>
      </c>
      <c r="B19" s="48">
        <v>1.0</v>
      </c>
      <c r="C19" s="47">
        <v>45767.0</v>
      </c>
      <c r="D19" s="48" t="s">
        <v>555</v>
      </c>
    </row>
    <row r="20">
      <c r="A20" s="48" t="s">
        <v>554</v>
      </c>
      <c r="B20" s="48">
        <v>1.0</v>
      </c>
      <c r="C20" s="47">
        <v>45782.0</v>
      </c>
      <c r="D20" s="48" t="s">
        <v>555</v>
      </c>
    </row>
    <row r="21" ht="15.75" customHeight="1">
      <c r="A21" s="48" t="s">
        <v>554</v>
      </c>
      <c r="B21" s="48">
        <v>1.0</v>
      </c>
      <c r="C21" s="47">
        <v>45788.0</v>
      </c>
      <c r="D21" s="48" t="s">
        <v>555</v>
      </c>
    </row>
    <row r="22" ht="15.75" customHeight="1">
      <c r="A22" s="48" t="s">
        <v>554</v>
      </c>
      <c r="B22" s="48">
        <v>1.0</v>
      </c>
      <c r="C22" s="47">
        <v>45795.0</v>
      </c>
      <c r="D22" s="48" t="s">
        <v>555</v>
      </c>
    </row>
    <row r="23" ht="15.75" customHeight="1">
      <c r="A23" s="48" t="s">
        <v>554</v>
      </c>
      <c r="B23" s="48">
        <v>1.0</v>
      </c>
      <c r="C23" s="47">
        <v>45804.0</v>
      </c>
      <c r="D23" s="48" t="s">
        <v>555</v>
      </c>
    </row>
    <row r="24" ht="15.75" customHeight="1">
      <c r="A24" s="48" t="s">
        <v>554</v>
      </c>
      <c r="B24" s="48">
        <v>1.0</v>
      </c>
      <c r="C24" s="47">
        <v>45809.0</v>
      </c>
      <c r="D24" s="48" t="s">
        <v>555</v>
      </c>
    </row>
    <row r="25" ht="15.75" customHeight="1">
      <c r="A25" s="48" t="s">
        <v>554</v>
      </c>
      <c r="B25" s="48">
        <v>1.0</v>
      </c>
      <c r="C25" s="47">
        <v>45817.0</v>
      </c>
      <c r="D25" s="48" t="s">
        <v>555</v>
      </c>
    </row>
    <row r="26" ht="15.75" customHeight="1">
      <c r="A26" s="48" t="s">
        <v>554</v>
      </c>
      <c r="B26" s="48">
        <v>1.0</v>
      </c>
      <c r="C26" s="47">
        <v>45826.0</v>
      </c>
      <c r="D26" s="48" t="s">
        <v>555</v>
      </c>
    </row>
    <row r="27" ht="15.75" customHeight="1">
      <c r="A27" s="48" t="s">
        <v>554</v>
      </c>
      <c r="B27" s="48">
        <v>1.0</v>
      </c>
      <c r="C27" s="47">
        <v>45838.0</v>
      </c>
      <c r="D27" s="48" t="s">
        <v>555</v>
      </c>
    </row>
    <row r="28" ht="15.75" customHeight="1">
      <c r="A28" s="48" t="s">
        <v>554</v>
      </c>
      <c r="B28" s="48">
        <v>1.0</v>
      </c>
      <c r="C28" s="47">
        <v>45845.0</v>
      </c>
      <c r="D28" s="48" t="s">
        <v>555</v>
      </c>
    </row>
    <row r="29" ht="15.75" customHeight="1">
      <c r="A29" s="48" t="s">
        <v>554</v>
      </c>
      <c r="B29" s="48">
        <v>5.0</v>
      </c>
      <c r="C29" s="47">
        <v>45849.0</v>
      </c>
      <c r="D29" s="48" t="s">
        <v>570</v>
      </c>
    </row>
    <row r="30" ht="15.75" customHeight="1">
      <c r="A30" s="48" t="s">
        <v>90</v>
      </c>
      <c r="B30" s="48">
        <v>5.0</v>
      </c>
      <c r="C30" s="47">
        <v>45849.0</v>
      </c>
      <c r="D30" s="48" t="s">
        <v>570</v>
      </c>
    </row>
    <row r="31" ht="15.75" customHeight="1">
      <c r="A31" s="48" t="s">
        <v>554</v>
      </c>
      <c r="B31" s="48">
        <v>2.0</v>
      </c>
      <c r="C31" s="47">
        <v>45854.0</v>
      </c>
      <c r="D31" s="48" t="s">
        <v>571</v>
      </c>
    </row>
    <row r="32" ht="15.75" customHeight="1">
      <c r="A32" s="48" t="s">
        <v>90</v>
      </c>
      <c r="B32" s="48">
        <v>2.0</v>
      </c>
      <c r="C32" s="47">
        <v>45854.0</v>
      </c>
      <c r="D32" s="48" t="s">
        <v>571</v>
      </c>
    </row>
    <row r="33" ht="15.75" customHeight="1">
      <c r="A33" s="48" t="s">
        <v>554</v>
      </c>
      <c r="B33" s="48">
        <v>1.0</v>
      </c>
      <c r="C33" s="47">
        <v>45858.0</v>
      </c>
      <c r="D33" s="48" t="s">
        <v>555</v>
      </c>
    </row>
    <row r="34" ht="15.75" customHeight="1">
      <c r="A34" s="48" t="s">
        <v>554</v>
      </c>
      <c r="B34" s="48">
        <v>4.0</v>
      </c>
      <c r="C34" s="47">
        <v>45863.0</v>
      </c>
      <c r="D34" s="48" t="s">
        <v>572</v>
      </c>
    </row>
    <row r="35" ht="15.75" customHeight="1">
      <c r="A35" s="48" t="s">
        <v>554</v>
      </c>
      <c r="B35" s="48">
        <v>2.0</v>
      </c>
      <c r="C35" s="47">
        <v>45865.0</v>
      </c>
      <c r="D35" s="48" t="s">
        <v>573</v>
      </c>
    </row>
    <row r="36" ht="15.75" customHeight="1">
      <c r="A36" s="48" t="s">
        <v>554</v>
      </c>
      <c r="B36" s="48">
        <v>1.0</v>
      </c>
      <c r="C36" s="47">
        <v>45872.0</v>
      </c>
      <c r="D36" s="48" t="s">
        <v>555</v>
      </c>
    </row>
    <row r="37" ht="15.75" customHeight="1">
      <c r="A37" s="48" t="s">
        <v>554</v>
      </c>
      <c r="B37" s="48">
        <v>2.0</v>
      </c>
      <c r="C37" s="47">
        <v>45875.0</v>
      </c>
      <c r="D37" s="48" t="s">
        <v>574</v>
      </c>
    </row>
    <row r="38" ht="15.75" customHeight="1">
      <c r="A38" s="48" t="s">
        <v>90</v>
      </c>
      <c r="B38" s="48">
        <v>2.0</v>
      </c>
      <c r="C38" s="47">
        <v>45875.0</v>
      </c>
      <c r="D38" s="48" t="s">
        <v>574</v>
      </c>
    </row>
    <row r="39" ht="15.75" customHeight="1">
      <c r="A39" s="48" t="s">
        <v>554</v>
      </c>
      <c r="B39" s="48">
        <v>1.0</v>
      </c>
      <c r="C39" s="47">
        <v>45881.0</v>
      </c>
      <c r="D39" s="48" t="s">
        <v>555</v>
      </c>
    </row>
    <row r="40" ht="15.75" customHeight="1">
      <c r="A40" s="48" t="s">
        <v>554</v>
      </c>
      <c r="B40" s="48">
        <v>1.0</v>
      </c>
      <c r="C40" s="47">
        <v>45886.0</v>
      </c>
      <c r="D40" s="48" t="s">
        <v>555</v>
      </c>
    </row>
    <row r="41" ht="15.75" customHeight="1">
      <c r="A41" s="48" t="s">
        <v>554</v>
      </c>
      <c r="B41" s="48">
        <v>1.0</v>
      </c>
      <c r="C41" s="47">
        <v>45894.0</v>
      </c>
      <c r="D41" s="48" t="s">
        <v>555</v>
      </c>
    </row>
    <row r="42" ht="15.75" customHeight="1">
      <c r="A42" s="48" t="s">
        <v>554</v>
      </c>
      <c r="B42" s="48">
        <v>1.0</v>
      </c>
      <c r="C42" s="47">
        <v>45902.0</v>
      </c>
      <c r="D42" s="48" t="s">
        <v>555</v>
      </c>
    </row>
    <row r="43" ht="15.75" customHeight="1">
      <c r="A43" s="48" t="s">
        <v>554</v>
      </c>
      <c r="B43" s="48">
        <v>1.0</v>
      </c>
      <c r="C43" s="47">
        <v>45909.0</v>
      </c>
      <c r="D43" s="48" t="s">
        <v>555</v>
      </c>
    </row>
    <row r="44" ht="15.75" customHeight="1">
      <c r="A44" s="48" t="s">
        <v>554</v>
      </c>
      <c r="B44" s="48">
        <v>1.0</v>
      </c>
      <c r="C44" s="47">
        <v>45915.0</v>
      </c>
      <c r="D44" s="48" t="s">
        <v>555</v>
      </c>
    </row>
    <row r="45" ht="15.75" customHeight="1">
      <c r="A45" s="48" t="s">
        <v>554</v>
      </c>
      <c r="B45" s="48">
        <v>1.0</v>
      </c>
      <c r="C45" s="47">
        <v>45922.0</v>
      </c>
      <c r="D45" s="48" t="s">
        <v>555</v>
      </c>
    </row>
    <row r="46" ht="15.75" customHeight="1">
      <c r="A46" s="48" t="s">
        <v>554</v>
      </c>
      <c r="B46" s="48">
        <v>6.0</v>
      </c>
      <c r="C46" s="47">
        <v>45926.0</v>
      </c>
      <c r="D46" s="48" t="s">
        <v>575</v>
      </c>
    </row>
    <row r="47" ht="15.75" customHeight="1">
      <c r="A47" s="48" t="s">
        <v>554</v>
      </c>
      <c r="B47" s="48">
        <v>1.0</v>
      </c>
      <c r="C47" s="47">
        <v>45929.0</v>
      </c>
      <c r="D47" s="48" t="s">
        <v>555</v>
      </c>
    </row>
    <row r="48" ht="15.75" customHeight="1">
      <c r="A48" s="48" t="s">
        <v>554</v>
      </c>
      <c r="B48" s="48">
        <v>3.0</v>
      </c>
      <c r="C48" s="47">
        <v>45932.0</v>
      </c>
      <c r="D48" s="48" t="s">
        <v>576</v>
      </c>
    </row>
    <row r="49" ht="15.75" customHeight="1">
      <c r="A49" s="48" t="s">
        <v>554</v>
      </c>
      <c r="B49" s="48">
        <v>1.0</v>
      </c>
      <c r="C49" s="47">
        <v>45938.0</v>
      </c>
      <c r="D49" s="48" t="s">
        <v>555</v>
      </c>
    </row>
    <row r="50" ht="15.75" customHeight="1">
      <c r="A50" s="48" t="s">
        <v>554</v>
      </c>
      <c r="B50" s="48">
        <v>8.0</v>
      </c>
      <c r="C50" s="47">
        <v>45933.0</v>
      </c>
      <c r="D50" s="48" t="s">
        <v>577</v>
      </c>
    </row>
    <row r="51" ht="15.75" customHeight="1">
      <c r="A51" s="48" t="s">
        <v>149</v>
      </c>
      <c r="B51" s="48">
        <v>8.0</v>
      </c>
      <c r="C51" s="47">
        <v>45933.0</v>
      </c>
      <c r="D51" s="48" t="s">
        <v>577</v>
      </c>
    </row>
    <row r="52" ht="15.75" customHeight="1">
      <c r="A52" s="48" t="s">
        <v>6</v>
      </c>
      <c r="B52" s="48">
        <v>4.0</v>
      </c>
      <c r="C52" s="47">
        <v>45933.0</v>
      </c>
      <c r="D52" s="48" t="s">
        <v>577</v>
      </c>
    </row>
    <row r="53" ht="15.75" customHeight="1">
      <c r="A53" s="48" t="s">
        <v>7</v>
      </c>
      <c r="B53" s="48">
        <v>4.0</v>
      </c>
      <c r="C53" s="47">
        <v>45933.0</v>
      </c>
      <c r="D53" s="48" t="s">
        <v>577</v>
      </c>
    </row>
    <row r="54" ht="15.75" customHeight="1">
      <c r="A54" s="48" t="s">
        <v>257</v>
      </c>
      <c r="B54" s="48">
        <v>4.0</v>
      </c>
      <c r="C54" s="47">
        <v>45933.0</v>
      </c>
      <c r="D54" s="48" t="s">
        <v>577</v>
      </c>
    </row>
    <row r="55" ht="15.75" customHeight="1">
      <c r="A55" s="48" t="s">
        <v>554</v>
      </c>
      <c r="B55" s="48">
        <v>2.0</v>
      </c>
      <c r="C55" s="47">
        <v>45934.0</v>
      </c>
      <c r="D55" s="48" t="s">
        <v>577</v>
      </c>
    </row>
    <row r="56" ht="15.75" customHeight="1">
      <c r="A56" s="48" t="s">
        <v>149</v>
      </c>
      <c r="B56" s="48">
        <v>2.0</v>
      </c>
      <c r="C56" s="47">
        <v>45934.0</v>
      </c>
      <c r="D56" s="48" t="s">
        <v>577</v>
      </c>
    </row>
    <row r="57" ht="15.75" customHeight="1">
      <c r="A57" s="48" t="s">
        <v>23</v>
      </c>
      <c r="B57" s="48">
        <v>2.5</v>
      </c>
      <c r="C57" s="47">
        <v>45934.0</v>
      </c>
      <c r="D57" s="48" t="s">
        <v>577</v>
      </c>
    </row>
    <row r="58" ht="15.75" customHeight="1">
      <c r="A58" s="48" t="s">
        <v>109</v>
      </c>
      <c r="B58" s="48">
        <v>2.5</v>
      </c>
      <c r="C58" s="47">
        <v>45934.0</v>
      </c>
      <c r="D58" s="48" t="s">
        <v>577</v>
      </c>
    </row>
    <row r="59" ht="15.75" customHeight="1">
      <c r="A59" s="51" t="s">
        <v>554</v>
      </c>
      <c r="B59" s="51">
        <v>2.0</v>
      </c>
      <c r="C59" s="68">
        <v>45934.0</v>
      </c>
      <c r="D59" s="51" t="s">
        <v>578</v>
      </c>
    </row>
    <row r="60" ht="15.75" customHeight="1">
      <c r="A60" s="51" t="s">
        <v>257</v>
      </c>
      <c r="B60" s="51">
        <v>2.0</v>
      </c>
      <c r="C60" s="68">
        <v>45934.0</v>
      </c>
      <c r="D60" s="51" t="s">
        <v>578</v>
      </c>
    </row>
    <row r="61" ht="15.75" customHeight="1">
      <c r="A61" s="51" t="s">
        <v>209</v>
      </c>
      <c r="B61" s="51">
        <v>2.0</v>
      </c>
      <c r="C61" s="68">
        <v>45934.0</v>
      </c>
      <c r="D61" s="51" t="s">
        <v>578</v>
      </c>
    </row>
    <row r="62" ht="15.75" customHeight="1">
      <c r="A62" s="48" t="s">
        <v>554</v>
      </c>
      <c r="B62" s="51">
        <v>2.0</v>
      </c>
      <c r="C62" s="63">
        <v>45938.0</v>
      </c>
      <c r="D62" s="51" t="s">
        <v>579</v>
      </c>
    </row>
    <row r="63" ht="15.75" customHeight="1">
      <c r="A63" s="51" t="s">
        <v>580</v>
      </c>
      <c r="B63" s="51">
        <v>2.0</v>
      </c>
      <c r="C63" s="63">
        <v>45938.0</v>
      </c>
      <c r="D63" s="51" t="s">
        <v>579</v>
      </c>
    </row>
    <row r="64" ht="15.75" customHeight="1">
      <c r="A64" s="48" t="s">
        <v>554</v>
      </c>
      <c r="B64" s="48">
        <v>1.0</v>
      </c>
      <c r="C64" s="50">
        <v>45942.0</v>
      </c>
      <c r="D64" s="48" t="s">
        <v>555</v>
      </c>
    </row>
    <row r="65" ht="15.75" customHeight="1">
      <c r="A65" s="48" t="s">
        <v>554</v>
      </c>
      <c r="B65" s="48">
        <v>1.0</v>
      </c>
      <c r="C65" s="50">
        <v>45950.0</v>
      </c>
      <c r="D65" s="48" t="s">
        <v>555</v>
      </c>
    </row>
    <row r="66" ht="15.75" customHeight="1">
      <c r="A66" s="48" t="s">
        <v>554</v>
      </c>
      <c r="B66" s="48">
        <v>1.0</v>
      </c>
      <c r="C66" s="50">
        <v>45957.0</v>
      </c>
      <c r="D66" s="48" t="s">
        <v>555</v>
      </c>
    </row>
    <row r="67" ht="15.75" customHeight="1">
      <c r="A67" s="51" t="s">
        <v>554</v>
      </c>
      <c r="B67" s="51">
        <v>1.5</v>
      </c>
      <c r="C67" s="63">
        <v>45957.0</v>
      </c>
      <c r="D67" s="51" t="s">
        <v>581</v>
      </c>
    </row>
    <row r="68" ht="15.75" customHeight="1">
      <c r="A68" s="51" t="s">
        <v>6</v>
      </c>
      <c r="B68" s="51">
        <v>1.5</v>
      </c>
      <c r="C68" s="63">
        <v>45957.0</v>
      </c>
      <c r="D68" s="51" t="s">
        <v>581</v>
      </c>
    </row>
    <row r="69" ht="15.75" customHeight="1">
      <c r="A69" s="51" t="s">
        <v>7</v>
      </c>
      <c r="B69" s="51">
        <v>1.5</v>
      </c>
      <c r="C69" s="63">
        <v>45957.0</v>
      </c>
      <c r="D69" s="51" t="s">
        <v>581</v>
      </c>
    </row>
    <row r="70" ht="15.75" customHeight="1">
      <c r="A70" s="51" t="s">
        <v>23</v>
      </c>
      <c r="B70" s="51">
        <v>1.5</v>
      </c>
      <c r="C70" s="63">
        <v>45957.0</v>
      </c>
      <c r="D70" s="51" t="s">
        <v>581</v>
      </c>
    </row>
    <row r="71" ht="15.75" customHeight="1">
      <c r="A71" s="51" t="s">
        <v>257</v>
      </c>
      <c r="B71" s="51">
        <v>1.5</v>
      </c>
      <c r="C71" s="63">
        <v>45957.0</v>
      </c>
      <c r="D71" s="51" t="s">
        <v>581</v>
      </c>
    </row>
    <row r="72" ht="15.75" customHeight="1">
      <c r="A72" s="51" t="s">
        <v>209</v>
      </c>
      <c r="B72" s="51">
        <v>1.5</v>
      </c>
      <c r="C72" s="63">
        <v>45957.0</v>
      </c>
      <c r="D72" s="51" t="s">
        <v>581</v>
      </c>
    </row>
    <row r="73" ht="15.75" customHeight="1">
      <c r="A73" s="51" t="s">
        <v>109</v>
      </c>
      <c r="B73" s="51">
        <v>1.5</v>
      </c>
      <c r="C73" s="63">
        <v>45957.0</v>
      </c>
      <c r="D73" s="51" t="s">
        <v>581</v>
      </c>
    </row>
    <row r="74" ht="15.75" customHeight="1">
      <c r="A74" s="51" t="s">
        <v>15</v>
      </c>
      <c r="B74" s="51">
        <v>1.5</v>
      </c>
      <c r="C74" s="63">
        <v>45957.0</v>
      </c>
      <c r="D74" s="51" t="s">
        <v>581</v>
      </c>
    </row>
    <row r="75" ht="15.75" customHeight="1">
      <c r="A75" s="51" t="s">
        <v>257</v>
      </c>
      <c r="B75" s="51">
        <v>1.0</v>
      </c>
      <c r="C75" s="63">
        <v>45958.0</v>
      </c>
      <c r="D75" s="51" t="s">
        <v>582</v>
      </c>
    </row>
    <row r="76" ht="15.75" customHeight="1">
      <c r="A76" s="51" t="s">
        <v>109</v>
      </c>
      <c r="B76" s="51">
        <v>1.0</v>
      </c>
      <c r="C76" s="63">
        <v>45958.0</v>
      </c>
      <c r="D76" s="51" t="s">
        <v>582</v>
      </c>
    </row>
    <row r="77" ht="15.75" customHeight="1">
      <c r="A77" s="51" t="s">
        <v>6</v>
      </c>
      <c r="B77" s="51">
        <v>1.0</v>
      </c>
      <c r="C77" s="63">
        <v>45958.0</v>
      </c>
      <c r="D77" s="51" t="s">
        <v>582</v>
      </c>
    </row>
    <row r="78" ht="15.75" customHeight="1">
      <c r="A78" s="51" t="s">
        <v>48</v>
      </c>
      <c r="B78" s="51">
        <v>1.0</v>
      </c>
      <c r="C78" s="63">
        <v>45958.0</v>
      </c>
      <c r="D78" s="51" t="s">
        <v>582</v>
      </c>
    </row>
    <row r="79" ht="15.75" customHeight="1">
      <c r="A79" s="51" t="s">
        <v>554</v>
      </c>
      <c r="B79" s="51">
        <v>1.0</v>
      </c>
      <c r="C79" s="63">
        <v>45958.0</v>
      </c>
      <c r="D79" s="51" t="s">
        <v>582</v>
      </c>
    </row>
    <row r="80" ht="15.75" customHeight="1">
      <c r="A80" s="51" t="s">
        <v>554</v>
      </c>
      <c r="B80" s="51">
        <v>1.0</v>
      </c>
      <c r="C80" s="63">
        <v>45964.0</v>
      </c>
      <c r="D80" s="48" t="s">
        <v>555</v>
      </c>
    </row>
    <row r="81" ht="15.75" customHeight="1">
      <c r="A81" s="51" t="s">
        <v>554</v>
      </c>
      <c r="B81" s="51">
        <v>1.0</v>
      </c>
      <c r="C81" s="63">
        <v>45971.0</v>
      </c>
      <c r="D81" s="48" t="s">
        <v>555</v>
      </c>
    </row>
    <row r="82" ht="15.75" customHeight="1">
      <c r="A82" s="51" t="s">
        <v>10</v>
      </c>
      <c r="B82" s="51">
        <v>2.0</v>
      </c>
      <c r="C82" s="63">
        <v>45976.0</v>
      </c>
      <c r="D82" s="51" t="s">
        <v>583</v>
      </c>
    </row>
    <row r="83" ht="15.75" customHeight="1">
      <c r="A83" s="51" t="s">
        <v>257</v>
      </c>
      <c r="B83" s="51">
        <v>4.0</v>
      </c>
      <c r="C83" s="63">
        <v>45976.0</v>
      </c>
      <c r="D83" s="51" t="s">
        <v>583</v>
      </c>
    </row>
    <row r="84" ht="15.75" customHeight="1">
      <c r="A84" s="51" t="s">
        <v>584</v>
      </c>
      <c r="B84" s="51">
        <v>2.0</v>
      </c>
      <c r="C84" s="63">
        <v>45976.0</v>
      </c>
      <c r="D84" s="51" t="s">
        <v>583</v>
      </c>
    </row>
    <row r="85" ht="15.75" customHeight="1">
      <c r="A85" s="51" t="s">
        <v>113</v>
      </c>
      <c r="B85" s="51">
        <v>2.0</v>
      </c>
      <c r="C85" s="63">
        <v>45976.0</v>
      </c>
      <c r="D85" s="51" t="s">
        <v>583</v>
      </c>
    </row>
    <row r="86" ht="15.75" customHeight="1">
      <c r="A86" s="51" t="s">
        <v>113</v>
      </c>
      <c r="B86" s="51">
        <v>3.0</v>
      </c>
      <c r="C86" s="63">
        <v>45983.0</v>
      </c>
      <c r="D86" s="51" t="s">
        <v>585</v>
      </c>
    </row>
    <row r="87" ht="15.75" customHeight="1">
      <c r="A87" s="51" t="s">
        <v>7</v>
      </c>
      <c r="B87" s="51">
        <v>3.0</v>
      </c>
      <c r="C87" s="63">
        <v>45983.0</v>
      </c>
      <c r="D87" s="51" t="s">
        <v>585</v>
      </c>
    </row>
    <row r="88" ht="15.75" customHeight="1">
      <c r="A88" s="51" t="s">
        <v>249</v>
      </c>
      <c r="B88" s="51">
        <v>3.0</v>
      </c>
      <c r="C88" s="63">
        <v>45983.0</v>
      </c>
      <c r="D88" s="51" t="s">
        <v>585</v>
      </c>
    </row>
    <row r="89" ht="15.75" customHeight="1">
      <c r="A89" s="51" t="s">
        <v>6</v>
      </c>
      <c r="B89" s="51">
        <v>3.0</v>
      </c>
      <c r="C89" s="63">
        <v>45983.0</v>
      </c>
      <c r="D89" s="51" t="s">
        <v>585</v>
      </c>
    </row>
    <row r="90" ht="15.75" customHeight="1">
      <c r="A90" s="51" t="s">
        <v>150</v>
      </c>
      <c r="B90" s="51">
        <v>3.0</v>
      </c>
      <c r="C90" s="63">
        <v>45983.0</v>
      </c>
      <c r="D90" s="51" t="s">
        <v>585</v>
      </c>
    </row>
    <row r="91" ht="15.75" customHeight="1">
      <c r="A91" s="51" t="s">
        <v>586</v>
      </c>
      <c r="B91" s="51">
        <v>3.0</v>
      </c>
      <c r="C91" s="63">
        <v>45983.0</v>
      </c>
      <c r="D91" s="51" t="s">
        <v>585</v>
      </c>
    </row>
    <row r="92" ht="15.75" customHeight="1">
      <c r="A92" s="51" t="s">
        <v>347</v>
      </c>
      <c r="B92" s="51">
        <v>3.0</v>
      </c>
      <c r="C92" s="63">
        <v>45983.0</v>
      </c>
      <c r="D92" s="51" t="s">
        <v>585</v>
      </c>
    </row>
    <row r="93" ht="15.75" customHeight="1">
      <c r="A93" s="51" t="s">
        <v>257</v>
      </c>
      <c r="B93" s="51">
        <v>3.0</v>
      </c>
      <c r="C93" s="63">
        <v>45983.0</v>
      </c>
      <c r="D93" s="51" t="s">
        <v>585</v>
      </c>
    </row>
    <row r="94" ht="15.75" customHeight="1">
      <c r="A94" s="51" t="s">
        <v>164</v>
      </c>
      <c r="B94" s="51">
        <v>3.0</v>
      </c>
      <c r="C94" s="63">
        <v>45983.0</v>
      </c>
      <c r="D94" s="51" t="s">
        <v>585</v>
      </c>
    </row>
    <row r="95" ht="15.75" customHeight="1">
      <c r="A95" s="51" t="s">
        <v>147</v>
      </c>
      <c r="B95" s="51">
        <v>3.0</v>
      </c>
      <c r="C95" s="63">
        <v>45983.0</v>
      </c>
      <c r="D95" s="51" t="s">
        <v>585</v>
      </c>
    </row>
    <row r="96" ht="15.75" customHeight="1">
      <c r="A96" s="51" t="s">
        <v>289</v>
      </c>
      <c r="B96" s="51">
        <v>3.0</v>
      </c>
      <c r="C96" s="63">
        <v>45983.0</v>
      </c>
      <c r="D96" s="51" t="s">
        <v>585</v>
      </c>
    </row>
    <row r="97" ht="15.75" customHeight="1">
      <c r="A97" s="51" t="s">
        <v>587</v>
      </c>
      <c r="B97" s="51">
        <v>3.0</v>
      </c>
      <c r="C97" s="63">
        <v>45983.0</v>
      </c>
      <c r="D97" s="51" t="s">
        <v>585</v>
      </c>
    </row>
    <row r="98" ht="15.75" customHeight="1">
      <c r="A98" s="51" t="s">
        <v>245</v>
      </c>
      <c r="B98" s="51">
        <v>3.0</v>
      </c>
      <c r="C98" s="63">
        <v>45983.0</v>
      </c>
      <c r="D98" s="51" t="s">
        <v>585</v>
      </c>
    </row>
    <row r="99" ht="15.75" customHeight="1">
      <c r="A99" s="51" t="s">
        <v>588</v>
      </c>
      <c r="B99" s="51">
        <v>3.0</v>
      </c>
      <c r="C99" s="63">
        <v>45983.0</v>
      </c>
      <c r="D99" s="51" t="s">
        <v>585</v>
      </c>
    </row>
    <row r="100" ht="15.75" customHeight="1">
      <c r="A100" s="51" t="s">
        <v>149</v>
      </c>
      <c r="B100" s="51">
        <v>3.0</v>
      </c>
      <c r="C100" s="63">
        <v>45983.0</v>
      </c>
      <c r="D100" s="51" t="s">
        <v>585</v>
      </c>
    </row>
    <row r="101" ht="15.75" customHeight="1">
      <c r="A101" s="51" t="s">
        <v>589</v>
      </c>
      <c r="B101" s="51">
        <v>3.0</v>
      </c>
      <c r="C101" s="63">
        <v>45983.0</v>
      </c>
      <c r="D101" s="51" t="s">
        <v>585</v>
      </c>
    </row>
    <row r="102" ht="15.75" customHeight="1">
      <c r="A102" s="51" t="s">
        <v>144</v>
      </c>
      <c r="B102" s="51">
        <v>3.0</v>
      </c>
      <c r="C102" s="63">
        <v>45983.0</v>
      </c>
      <c r="D102" s="51" t="s">
        <v>585</v>
      </c>
    </row>
    <row r="103" ht="15.75" customHeight="1">
      <c r="A103" s="51" t="s">
        <v>590</v>
      </c>
      <c r="B103" s="51">
        <v>3.0</v>
      </c>
      <c r="C103" s="63">
        <v>45983.0</v>
      </c>
      <c r="D103" s="51" t="s">
        <v>585</v>
      </c>
    </row>
    <row r="104" ht="15.75" customHeight="1">
      <c r="A104" s="51" t="s">
        <v>591</v>
      </c>
      <c r="B104" s="51">
        <v>3.0</v>
      </c>
      <c r="C104" s="63">
        <v>45983.0</v>
      </c>
      <c r="D104" s="51" t="s">
        <v>585</v>
      </c>
    </row>
    <row r="105" ht="15.75" customHeight="1">
      <c r="A105" s="51" t="s">
        <v>592</v>
      </c>
      <c r="B105" s="51">
        <v>3.0</v>
      </c>
      <c r="C105" s="63">
        <v>45983.0</v>
      </c>
      <c r="D105" s="51" t="s">
        <v>585</v>
      </c>
    </row>
    <row r="106" ht="15.75" customHeight="1">
      <c r="A106" s="51" t="s">
        <v>593</v>
      </c>
      <c r="B106" s="51">
        <v>3.0</v>
      </c>
      <c r="C106" s="63">
        <v>45983.0</v>
      </c>
      <c r="D106" s="51" t="s">
        <v>585</v>
      </c>
    </row>
    <row r="107" ht="15.75" customHeight="1">
      <c r="A107" s="51" t="s">
        <v>594</v>
      </c>
      <c r="B107" s="51">
        <v>3.0</v>
      </c>
      <c r="C107" s="63">
        <v>45983.0</v>
      </c>
      <c r="D107" s="51" t="s">
        <v>585</v>
      </c>
    </row>
    <row r="108" ht="15.75" customHeight="1">
      <c r="A108" s="51" t="s">
        <v>595</v>
      </c>
      <c r="B108" s="51">
        <v>3.0</v>
      </c>
      <c r="C108" s="63">
        <v>45983.0</v>
      </c>
      <c r="D108" s="51" t="s">
        <v>585</v>
      </c>
    </row>
    <row r="109" ht="15.75" customHeight="1">
      <c r="A109" s="51" t="s">
        <v>596</v>
      </c>
      <c r="B109" s="51">
        <v>3.0</v>
      </c>
      <c r="C109" s="63">
        <v>45983.0</v>
      </c>
      <c r="D109" s="51" t="s">
        <v>585</v>
      </c>
    </row>
    <row r="110" ht="15.75" customHeight="1">
      <c r="A110" s="51" t="s">
        <v>597</v>
      </c>
      <c r="B110" s="51">
        <v>3.0</v>
      </c>
      <c r="C110" s="63">
        <v>45983.0</v>
      </c>
      <c r="D110" s="51" t="s">
        <v>585</v>
      </c>
    </row>
    <row r="111" ht="15.75" customHeight="1">
      <c r="A111" s="51" t="s">
        <v>142</v>
      </c>
      <c r="B111" s="51">
        <v>3.0</v>
      </c>
      <c r="C111" s="63">
        <v>45983.0</v>
      </c>
      <c r="D111" s="51" t="s">
        <v>585</v>
      </c>
    </row>
    <row r="112" ht="15.75" customHeight="1">
      <c r="A112" s="51" t="s">
        <v>356</v>
      </c>
      <c r="B112" s="51">
        <v>3.0</v>
      </c>
      <c r="C112" s="63">
        <v>45983.0</v>
      </c>
      <c r="D112" s="51" t="s">
        <v>585</v>
      </c>
    </row>
    <row r="113" ht="15.75" customHeight="1">
      <c r="A113" s="51" t="s">
        <v>167</v>
      </c>
      <c r="B113" s="51">
        <v>3.0</v>
      </c>
      <c r="C113" s="63">
        <v>45983.0</v>
      </c>
      <c r="D113" s="51" t="s">
        <v>585</v>
      </c>
    </row>
    <row r="114" ht="15.75" customHeight="1">
      <c r="A114" s="51" t="s">
        <v>554</v>
      </c>
      <c r="B114" s="51">
        <v>3.0</v>
      </c>
      <c r="C114" s="63">
        <v>45983.0</v>
      </c>
      <c r="D114" s="51" t="s">
        <v>585</v>
      </c>
    </row>
    <row r="115" ht="15.75" customHeight="1">
      <c r="A115" s="51" t="s">
        <v>554</v>
      </c>
      <c r="B115" s="51">
        <v>2.0</v>
      </c>
      <c r="C115" s="63">
        <v>45984.0</v>
      </c>
      <c r="D115" s="51" t="s">
        <v>598</v>
      </c>
    </row>
    <row r="116" ht="15.75" customHeight="1">
      <c r="A116" s="51" t="s">
        <v>347</v>
      </c>
      <c r="B116" s="51">
        <v>2.0</v>
      </c>
      <c r="C116" s="63">
        <v>45984.0</v>
      </c>
      <c r="D116" s="51" t="s">
        <v>598</v>
      </c>
    </row>
    <row r="117" ht="15.75" customHeight="1">
      <c r="A117" s="51" t="s">
        <v>257</v>
      </c>
      <c r="B117" s="51">
        <v>2.0</v>
      </c>
      <c r="C117" s="63">
        <v>45984.0</v>
      </c>
      <c r="D117" s="51" t="s">
        <v>598</v>
      </c>
    </row>
    <row r="118" ht="15.75" customHeight="1">
      <c r="A118" s="51" t="s">
        <v>554</v>
      </c>
      <c r="B118" s="51">
        <v>1.0</v>
      </c>
      <c r="C118" s="63">
        <v>45991.0</v>
      </c>
      <c r="D118" s="48" t="s">
        <v>555</v>
      </c>
    </row>
    <row r="119" ht="15.75" customHeight="1">
      <c r="A119" s="51" t="s">
        <v>209</v>
      </c>
      <c r="B119" s="51">
        <v>2.0</v>
      </c>
      <c r="C119" s="63">
        <v>45998.0</v>
      </c>
      <c r="D119" s="51" t="s">
        <v>598</v>
      </c>
    </row>
    <row r="120" ht="15.75" customHeight="1">
      <c r="A120" s="51" t="s">
        <v>347</v>
      </c>
      <c r="B120" s="51">
        <v>2.0</v>
      </c>
      <c r="C120" s="63">
        <v>45998.0</v>
      </c>
      <c r="D120" s="51" t="s">
        <v>598</v>
      </c>
    </row>
    <row r="121" ht="15.75" customHeight="1">
      <c r="A121" s="51" t="s">
        <v>257</v>
      </c>
      <c r="B121" s="51">
        <v>2.0</v>
      </c>
      <c r="C121" s="63">
        <v>45998.0</v>
      </c>
      <c r="D121" s="51" t="s">
        <v>598</v>
      </c>
    </row>
    <row r="122" ht="15.75" customHeight="1">
      <c r="A122" s="51" t="s">
        <v>216</v>
      </c>
      <c r="B122" s="51">
        <v>2.0</v>
      </c>
      <c r="C122" s="63">
        <v>45998.0</v>
      </c>
      <c r="D122" s="51" t="s">
        <v>598</v>
      </c>
    </row>
    <row r="123" ht="15.75" customHeight="1">
      <c r="A123" s="51"/>
      <c r="B123" s="51"/>
      <c r="C123" s="63"/>
      <c r="D123" s="51"/>
    </row>
    <row r="124" ht="15.75" customHeight="1">
      <c r="A124" s="51"/>
      <c r="B124" s="51"/>
      <c r="C124" s="63"/>
      <c r="D124" s="51"/>
    </row>
    <row r="125" ht="15.75" customHeight="1">
      <c r="A125" s="51"/>
      <c r="B125" s="51"/>
      <c r="C125" s="63"/>
      <c r="D125" s="51"/>
    </row>
    <row r="126" ht="15.75" customHeight="1">
      <c r="A126" s="51"/>
      <c r="B126" s="51"/>
      <c r="C126" s="63"/>
      <c r="D126" s="51"/>
    </row>
    <row r="127" ht="15.75" customHeight="1">
      <c r="A127" s="51"/>
      <c r="B127" s="51"/>
      <c r="C127" s="63"/>
      <c r="D127" s="51"/>
    </row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</sheetData>
  <printOptions/>
  <pageMargins bottom="0.75" footer="0.0" header="0.0" left="0.7" right="0.7" top="0.75"/>
  <pageSetup orientation="landscape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3.38"/>
    <col customWidth="1" min="2" max="2" width="15.75"/>
    <col customWidth="1" min="3" max="3" width="19.13"/>
    <col customWidth="1" min="4" max="4" width="93.38"/>
    <col customWidth="1" min="5" max="5" width="17.75"/>
    <col customWidth="1" min="6" max="26" width="8.63"/>
  </cols>
  <sheetData>
    <row r="1">
      <c r="A1" s="66" t="s">
        <v>550</v>
      </c>
      <c r="B1" s="1" t="s">
        <v>551</v>
      </c>
      <c r="C1" s="1" t="s">
        <v>535</v>
      </c>
      <c r="D1" s="1" t="s">
        <v>552</v>
      </c>
      <c r="E1" s="1" t="s">
        <v>553</v>
      </c>
    </row>
    <row r="2">
      <c r="A2" s="51" t="s">
        <v>599</v>
      </c>
      <c r="B2" s="51">
        <v>2.5</v>
      </c>
      <c r="C2" s="63">
        <v>46114.0</v>
      </c>
      <c r="D2" s="51" t="s">
        <v>600</v>
      </c>
      <c r="E2" s="67">
        <f>SUM(B2:B997)</f>
        <v>12.5</v>
      </c>
    </row>
    <row r="3">
      <c r="A3" s="51" t="s">
        <v>554</v>
      </c>
      <c r="B3" s="51">
        <v>2.5</v>
      </c>
      <c r="C3" s="63">
        <v>46114.0</v>
      </c>
      <c r="D3" s="51" t="s">
        <v>600</v>
      </c>
    </row>
    <row r="4">
      <c r="A4" s="51" t="s">
        <v>216</v>
      </c>
      <c r="B4" s="51">
        <v>2.5</v>
      </c>
      <c r="C4" s="63">
        <v>46114.0</v>
      </c>
      <c r="D4" s="51" t="s">
        <v>600</v>
      </c>
    </row>
    <row r="5">
      <c r="A5" s="51" t="s">
        <v>142</v>
      </c>
      <c r="B5" s="51">
        <v>2.5</v>
      </c>
      <c r="C5" s="63">
        <v>46114.0</v>
      </c>
      <c r="D5" s="51" t="s">
        <v>600</v>
      </c>
    </row>
    <row r="6">
      <c r="A6" s="51" t="s">
        <v>601</v>
      </c>
      <c r="B6" s="51">
        <v>2.5</v>
      </c>
      <c r="C6" s="63">
        <v>46114.0</v>
      </c>
      <c r="D6" s="51" t="s">
        <v>600</v>
      </c>
    </row>
    <row r="7">
      <c r="C7" s="47"/>
    </row>
    <row r="8">
      <c r="C8" s="47"/>
    </row>
    <row r="9">
      <c r="C9" s="47"/>
    </row>
    <row r="10">
      <c r="C10" s="47"/>
    </row>
    <row r="11">
      <c r="C11" s="47"/>
    </row>
    <row r="12">
      <c r="C12" s="47"/>
    </row>
    <row r="13">
      <c r="C13" s="47"/>
    </row>
    <row r="14">
      <c r="C14" s="47"/>
    </row>
    <row r="15">
      <c r="C15" s="47"/>
    </row>
    <row r="16">
      <c r="C16" s="47"/>
    </row>
    <row r="17">
      <c r="C17" s="47"/>
    </row>
    <row r="18">
      <c r="C18" s="47"/>
    </row>
    <row r="19">
      <c r="C19" s="47"/>
    </row>
    <row r="20">
      <c r="C20" s="47"/>
    </row>
    <row r="21" ht="15.75" customHeight="1">
      <c r="C21" s="47"/>
    </row>
    <row r="22" ht="15.75" customHeight="1">
      <c r="C22" s="47"/>
    </row>
    <row r="23" ht="15.75" customHeight="1">
      <c r="C23" s="47"/>
    </row>
    <row r="24" ht="15.75" customHeight="1">
      <c r="C24" s="47"/>
    </row>
    <row r="25" ht="15.75" customHeight="1">
      <c r="C25" s="47"/>
    </row>
    <row r="26" ht="15.75" customHeight="1">
      <c r="C26" s="47"/>
    </row>
    <row r="27" ht="15.75" customHeight="1">
      <c r="C27" s="47"/>
    </row>
    <row r="28" ht="15.75" customHeight="1">
      <c r="C28" s="47"/>
    </row>
    <row r="29" ht="15.75" customHeight="1">
      <c r="C29" s="47"/>
    </row>
    <row r="30" ht="15.75" customHeight="1">
      <c r="C30" s="47"/>
    </row>
    <row r="31" ht="15.75" customHeight="1">
      <c r="C31" s="47"/>
    </row>
    <row r="32" ht="15.75" customHeight="1">
      <c r="C32" s="47"/>
    </row>
    <row r="33" ht="15.75" customHeight="1">
      <c r="C33" s="47"/>
    </row>
    <row r="34" ht="15.75" customHeight="1">
      <c r="C34" s="47"/>
    </row>
    <row r="35" ht="15.75" customHeight="1">
      <c r="C35" s="47"/>
    </row>
    <row r="36" ht="15.75" customHeight="1">
      <c r="C36" s="47"/>
    </row>
    <row r="37" ht="15.75" customHeight="1">
      <c r="C37" s="47"/>
    </row>
    <row r="38" ht="15.75" customHeight="1">
      <c r="C38" s="47"/>
    </row>
    <row r="39" ht="15.75" customHeight="1">
      <c r="C39" s="47"/>
    </row>
    <row r="40" ht="15.75" customHeight="1">
      <c r="C40" s="47"/>
    </row>
    <row r="41" ht="15.75" customHeight="1">
      <c r="C41" s="47"/>
    </row>
    <row r="42" ht="15.75" customHeight="1">
      <c r="C42" s="47"/>
    </row>
    <row r="43" ht="15.75" customHeight="1">
      <c r="C43" s="47"/>
    </row>
    <row r="44" ht="15.75" customHeight="1">
      <c r="C44" s="47"/>
    </row>
    <row r="45" ht="15.75" customHeight="1">
      <c r="C45" s="47"/>
    </row>
    <row r="46" ht="15.75" customHeight="1">
      <c r="C46" s="47"/>
    </row>
    <row r="47" ht="15.75" customHeight="1">
      <c r="C47" s="47"/>
    </row>
    <row r="48" ht="15.75" customHeight="1">
      <c r="C48" s="47"/>
    </row>
    <row r="49" ht="15.75" customHeight="1">
      <c r="C49" s="47"/>
    </row>
    <row r="50" ht="15.75" customHeight="1">
      <c r="C50" s="47"/>
    </row>
    <row r="51" ht="15.75" customHeight="1">
      <c r="C51" s="47"/>
    </row>
    <row r="52" ht="15.75" customHeight="1">
      <c r="C52" s="47"/>
    </row>
    <row r="53" ht="15.75" customHeight="1">
      <c r="C53" s="47"/>
    </row>
    <row r="54" ht="15.75" customHeight="1">
      <c r="C54" s="47"/>
    </row>
    <row r="55" ht="15.75" customHeight="1">
      <c r="C55" s="47"/>
    </row>
    <row r="56" ht="15.75" customHeight="1">
      <c r="C56" s="47"/>
    </row>
    <row r="57" ht="15.75" customHeight="1">
      <c r="C57" s="47"/>
    </row>
    <row r="58" ht="15.75" customHeight="1">
      <c r="C58" s="47"/>
    </row>
    <row r="59" ht="15.75" customHeight="1">
      <c r="A59" s="51"/>
      <c r="B59" s="51"/>
      <c r="C59" s="68"/>
      <c r="D59" s="51"/>
    </row>
    <row r="60" ht="15.75" customHeight="1">
      <c r="A60" s="51"/>
      <c r="B60" s="51"/>
      <c r="C60" s="68"/>
      <c r="D60" s="51"/>
    </row>
    <row r="61" ht="15.75" customHeight="1">
      <c r="A61" s="51"/>
      <c r="B61" s="51"/>
      <c r="C61" s="68"/>
      <c r="D61" s="51"/>
    </row>
    <row r="62" ht="15.75" customHeight="1">
      <c r="B62" s="51"/>
      <c r="C62" s="63"/>
      <c r="D62" s="51"/>
    </row>
    <row r="63" ht="15.75" customHeight="1">
      <c r="A63" s="51"/>
      <c r="B63" s="51"/>
      <c r="C63" s="63"/>
      <c r="D63" s="51"/>
    </row>
    <row r="64" ht="15.75" customHeight="1">
      <c r="C64" s="50"/>
    </row>
    <row r="65" ht="15.75" customHeight="1">
      <c r="C65" s="50"/>
    </row>
    <row r="66" ht="15.75" customHeight="1">
      <c r="C66" s="50"/>
    </row>
    <row r="67" ht="15.75" customHeight="1">
      <c r="A67" s="51"/>
      <c r="B67" s="51"/>
      <c r="C67" s="63"/>
      <c r="D67" s="51"/>
    </row>
    <row r="68" ht="15.75" customHeight="1">
      <c r="A68" s="51"/>
      <c r="B68" s="51"/>
      <c r="C68" s="63"/>
      <c r="D68" s="51"/>
    </row>
    <row r="69" ht="15.75" customHeight="1">
      <c r="A69" s="51"/>
      <c r="B69" s="51"/>
      <c r="C69" s="63"/>
      <c r="D69" s="51"/>
    </row>
    <row r="70" ht="15.75" customHeight="1">
      <c r="A70" s="51"/>
      <c r="B70" s="51"/>
      <c r="C70" s="63"/>
      <c r="D70" s="51"/>
    </row>
    <row r="71" ht="15.75" customHeight="1">
      <c r="A71" s="51"/>
      <c r="B71" s="51"/>
      <c r="C71" s="63"/>
      <c r="D71" s="51"/>
    </row>
    <row r="72" ht="15.75" customHeight="1">
      <c r="A72" s="51"/>
      <c r="B72" s="51"/>
      <c r="C72" s="63"/>
      <c r="D72" s="51"/>
    </row>
    <row r="73" ht="15.75" customHeight="1">
      <c r="A73" s="51"/>
      <c r="B73" s="51"/>
      <c r="C73" s="63"/>
      <c r="D73" s="51"/>
    </row>
    <row r="74" ht="15.75" customHeight="1">
      <c r="A74" s="51"/>
      <c r="B74" s="51"/>
      <c r="C74" s="63"/>
      <c r="D74" s="51"/>
    </row>
    <row r="75" ht="15.75" customHeight="1">
      <c r="A75" s="51"/>
      <c r="B75" s="51"/>
      <c r="C75" s="63"/>
      <c r="D75" s="51"/>
    </row>
    <row r="76" ht="15.75" customHeight="1">
      <c r="A76" s="51"/>
      <c r="B76" s="51"/>
      <c r="C76" s="63"/>
      <c r="D76" s="51"/>
    </row>
    <row r="77" ht="15.75" customHeight="1">
      <c r="A77" s="51"/>
      <c r="B77" s="51"/>
      <c r="C77" s="63"/>
      <c r="D77" s="51"/>
    </row>
    <row r="78" ht="15.75" customHeight="1">
      <c r="A78" s="51"/>
      <c r="B78" s="51"/>
      <c r="C78" s="63"/>
      <c r="D78" s="51"/>
    </row>
    <row r="79" ht="15.75" customHeight="1">
      <c r="A79" s="51"/>
      <c r="B79" s="51"/>
      <c r="C79" s="63"/>
      <c r="D79" s="51"/>
    </row>
    <row r="80" ht="15.75" customHeight="1">
      <c r="A80" s="51"/>
      <c r="B80" s="51"/>
      <c r="C80" s="63"/>
    </row>
    <row r="81" ht="15.75" customHeight="1">
      <c r="A81" s="51"/>
      <c r="B81" s="51"/>
      <c r="C81" s="63"/>
    </row>
    <row r="82" ht="15.75" customHeight="1">
      <c r="A82" s="51"/>
      <c r="B82" s="51"/>
      <c r="C82" s="63"/>
      <c r="D82" s="51"/>
    </row>
    <row r="83" ht="15.75" customHeight="1">
      <c r="A83" s="51"/>
      <c r="B83" s="51"/>
      <c r="C83" s="63"/>
      <c r="D83" s="51"/>
    </row>
    <row r="84" ht="15.75" customHeight="1">
      <c r="A84" s="51"/>
      <c r="B84" s="51"/>
      <c r="C84" s="63"/>
      <c r="D84" s="51"/>
    </row>
    <row r="85" ht="15.75" customHeight="1">
      <c r="A85" s="51"/>
      <c r="B85" s="51"/>
      <c r="C85" s="63"/>
      <c r="D85" s="51"/>
    </row>
    <row r="86" ht="15.75" customHeight="1">
      <c r="A86" s="51"/>
      <c r="B86" s="51"/>
      <c r="C86" s="63"/>
      <c r="D86" s="51"/>
    </row>
    <row r="87" ht="15.75" customHeight="1">
      <c r="A87" s="51"/>
      <c r="B87" s="51"/>
      <c r="C87" s="63"/>
      <c r="D87" s="51"/>
    </row>
    <row r="88" ht="15.75" customHeight="1">
      <c r="A88" s="51"/>
      <c r="B88" s="51"/>
      <c r="C88" s="63"/>
      <c r="D88" s="51"/>
    </row>
    <row r="89" ht="15.75" customHeight="1">
      <c r="A89" s="51"/>
      <c r="B89" s="51"/>
      <c r="C89" s="63"/>
      <c r="D89" s="51"/>
    </row>
    <row r="90" ht="15.75" customHeight="1">
      <c r="A90" s="51"/>
      <c r="B90" s="51"/>
      <c r="C90" s="63"/>
      <c r="D90" s="51"/>
    </row>
    <row r="91" ht="15.75" customHeight="1">
      <c r="A91" s="51"/>
      <c r="B91" s="51"/>
      <c r="C91" s="63"/>
      <c r="D91" s="51"/>
    </row>
    <row r="92" ht="15.75" customHeight="1">
      <c r="A92" s="51"/>
      <c r="B92" s="51"/>
      <c r="C92" s="63"/>
      <c r="D92" s="51"/>
    </row>
    <row r="93" ht="15.75" customHeight="1">
      <c r="A93" s="51"/>
      <c r="B93" s="51"/>
      <c r="C93" s="63"/>
      <c r="D93" s="51"/>
    </row>
    <row r="94" ht="15.75" customHeight="1">
      <c r="A94" s="51"/>
      <c r="B94" s="51"/>
      <c r="C94" s="63"/>
      <c r="D94" s="51"/>
    </row>
    <row r="95" ht="15.75" customHeight="1">
      <c r="A95" s="51"/>
      <c r="B95" s="51"/>
      <c r="C95" s="63"/>
      <c r="D95" s="51"/>
    </row>
    <row r="96" ht="15.75" customHeight="1">
      <c r="A96" s="51"/>
      <c r="B96" s="51"/>
      <c r="C96" s="63"/>
      <c r="D96" s="51"/>
    </row>
    <row r="97" ht="15.75" customHeight="1">
      <c r="A97" s="51"/>
      <c r="B97" s="51"/>
      <c r="C97" s="63"/>
      <c r="D97" s="51"/>
    </row>
    <row r="98" ht="15.75" customHeight="1">
      <c r="A98" s="51"/>
      <c r="B98" s="51"/>
      <c r="C98" s="63"/>
      <c r="D98" s="51"/>
    </row>
    <row r="99" ht="15.75" customHeight="1">
      <c r="A99" s="51"/>
      <c r="B99" s="51"/>
      <c r="C99" s="63"/>
      <c r="D99" s="51"/>
    </row>
    <row r="100" ht="15.75" customHeight="1">
      <c r="A100" s="51"/>
      <c r="B100" s="51"/>
      <c r="C100" s="63"/>
      <c r="D100" s="51"/>
    </row>
    <row r="101" ht="15.75" customHeight="1">
      <c r="A101" s="51"/>
      <c r="B101" s="51"/>
      <c r="C101" s="63"/>
      <c r="D101" s="51"/>
    </row>
    <row r="102" ht="15.75" customHeight="1">
      <c r="A102" s="51"/>
      <c r="B102" s="51"/>
      <c r="C102" s="63"/>
      <c r="D102" s="51"/>
    </row>
    <row r="103" ht="15.75" customHeight="1">
      <c r="A103" s="51"/>
      <c r="B103" s="51"/>
      <c r="C103" s="63"/>
      <c r="D103" s="51"/>
    </row>
    <row r="104" ht="15.75" customHeight="1">
      <c r="A104" s="51"/>
      <c r="B104" s="51"/>
      <c r="C104" s="63"/>
      <c r="D104" s="51"/>
    </row>
    <row r="105" ht="15.75" customHeight="1">
      <c r="A105" s="51"/>
      <c r="B105" s="51"/>
      <c r="C105" s="63"/>
      <c r="D105" s="51"/>
    </row>
    <row r="106" ht="15.75" customHeight="1">
      <c r="A106" s="51"/>
      <c r="B106" s="51"/>
      <c r="C106" s="63"/>
      <c r="D106" s="51"/>
    </row>
    <row r="107" ht="15.75" customHeight="1">
      <c r="A107" s="51"/>
      <c r="B107" s="51"/>
      <c r="C107" s="63"/>
      <c r="D107" s="51"/>
    </row>
    <row r="108" ht="15.75" customHeight="1">
      <c r="A108" s="51"/>
      <c r="B108" s="51"/>
      <c r="C108" s="63"/>
      <c r="D108" s="51"/>
    </row>
    <row r="109" ht="15.75" customHeight="1">
      <c r="A109" s="51"/>
      <c r="B109" s="51"/>
      <c r="C109" s="63"/>
      <c r="D109" s="51"/>
    </row>
    <row r="110" ht="15.75" customHeight="1">
      <c r="A110" s="51"/>
      <c r="B110" s="51"/>
      <c r="C110" s="63"/>
      <c r="D110" s="51"/>
    </row>
    <row r="111" ht="15.75" customHeight="1">
      <c r="A111" s="51"/>
      <c r="B111" s="51"/>
      <c r="C111" s="63"/>
      <c r="D111" s="51"/>
    </row>
    <row r="112" ht="15.75" customHeight="1">
      <c r="A112" s="51"/>
      <c r="B112" s="51"/>
      <c r="C112" s="63"/>
      <c r="D112" s="51"/>
    </row>
    <row r="113" ht="15.75" customHeight="1">
      <c r="A113" s="51"/>
      <c r="B113" s="51"/>
      <c r="C113" s="63"/>
      <c r="D113" s="51"/>
    </row>
    <row r="114" ht="15.75" customHeight="1">
      <c r="A114" s="51"/>
      <c r="B114" s="51"/>
      <c r="C114" s="63"/>
      <c r="D114" s="51"/>
    </row>
    <row r="115" ht="15.75" customHeight="1">
      <c r="A115" s="51"/>
      <c r="B115" s="51"/>
      <c r="C115" s="63"/>
      <c r="D115" s="51"/>
    </row>
    <row r="116" ht="15.75" customHeight="1">
      <c r="A116" s="51"/>
      <c r="B116" s="51"/>
      <c r="C116" s="63"/>
      <c r="D116" s="51"/>
    </row>
    <row r="117" ht="15.75" customHeight="1">
      <c r="A117" s="51"/>
      <c r="B117" s="51"/>
      <c r="C117" s="63"/>
      <c r="D117" s="51"/>
    </row>
    <row r="118" ht="15.75" customHeight="1">
      <c r="A118" s="51"/>
      <c r="B118" s="51"/>
      <c r="C118" s="63"/>
    </row>
    <row r="119" ht="15.75" customHeight="1">
      <c r="A119" s="51"/>
      <c r="B119" s="51"/>
      <c r="C119" s="63"/>
      <c r="D119" s="51"/>
    </row>
    <row r="120" ht="15.75" customHeight="1">
      <c r="A120" s="51"/>
      <c r="B120" s="51"/>
      <c r="C120" s="63"/>
      <c r="D120" s="51"/>
    </row>
    <row r="121" ht="15.75" customHeight="1">
      <c r="A121" s="51"/>
      <c r="B121" s="51"/>
      <c r="C121" s="63"/>
      <c r="D121" s="51"/>
    </row>
    <row r="122" ht="15.75" customHeight="1">
      <c r="A122" s="51"/>
      <c r="B122" s="51"/>
      <c r="C122" s="63"/>
      <c r="D122" s="51"/>
    </row>
    <row r="123" ht="15.75" customHeight="1">
      <c r="A123" s="51"/>
      <c r="B123" s="51"/>
      <c r="C123" s="63"/>
      <c r="D123" s="51"/>
    </row>
    <row r="124" ht="15.75" customHeight="1">
      <c r="A124" s="51"/>
      <c r="B124" s="51"/>
      <c r="C124" s="63"/>
      <c r="D124" s="51"/>
    </row>
    <row r="125" ht="15.75" customHeight="1">
      <c r="A125" s="51"/>
      <c r="B125" s="51"/>
      <c r="C125" s="63"/>
      <c r="D125" s="51"/>
    </row>
    <row r="126" ht="15.75" customHeight="1">
      <c r="A126" s="51"/>
      <c r="B126" s="51"/>
      <c r="C126" s="63"/>
      <c r="D126" s="51"/>
    </row>
    <row r="127" ht="15.75" customHeight="1">
      <c r="A127" s="51"/>
      <c r="B127" s="51"/>
      <c r="C127" s="63"/>
      <c r="D127" s="51"/>
    </row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</sheetData>
  <printOptions/>
  <pageMargins bottom="0.75" footer="0.0" header="0.0" left="0.7" right="0.7" top="0.75"/>
  <pageSetup orientation="landscape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32.75"/>
    <col customWidth="1" min="2" max="2" width="47.38"/>
    <col customWidth="1" min="3" max="3" width="38.38"/>
    <col customWidth="1" min="4" max="4" width="32.0"/>
    <col customWidth="1" min="5" max="5" width="18.63"/>
    <col customWidth="1" min="6" max="6" width="18.0"/>
    <col customWidth="1" min="7" max="26" width="8.63"/>
  </cols>
  <sheetData>
    <row r="1" ht="60.0" customHeight="1">
      <c r="A1" s="69" t="s">
        <v>602</v>
      </c>
      <c r="B1" s="69" t="s">
        <v>603</v>
      </c>
      <c r="C1" s="70" t="s">
        <v>604</v>
      </c>
      <c r="D1" s="69" t="s">
        <v>605</v>
      </c>
    </row>
    <row r="2" ht="37.5" customHeight="1">
      <c r="A2" s="71" t="s">
        <v>606</v>
      </c>
      <c r="B2" s="71" t="s">
        <v>607</v>
      </c>
      <c r="C2" s="72">
        <v>1.8563186253E10</v>
      </c>
      <c r="D2" s="73">
        <v>482.0</v>
      </c>
    </row>
    <row r="3">
      <c r="A3" s="71" t="s">
        <v>6</v>
      </c>
      <c r="B3" s="71" t="s">
        <v>608</v>
      </c>
      <c r="C3" s="72">
        <v>1.8587357727E10</v>
      </c>
    </row>
    <row r="4">
      <c r="A4" s="71" t="s">
        <v>609</v>
      </c>
      <c r="B4" s="71" t="s">
        <v>610</v>
      </c>
      <c r="C4" s="72">
        <v>1.5129157415E10</v>
      </c>
    </row>
    <row r="5">
      <c r="A5" s="71" t="s">
        <v>15</v>
      </c>
      <c r="B5" s="71" t="s">
        <v>611</v>
      </c>
      <c r="C5" s="72">
        <v>1.5126769067E10</v>
      </c>
    </row>
    <row r="6">
      <c r="A6" s="71" t="s">
        <v>7</v>
      </c>
      <c r="B6" s="71" t="s">
        <v>612</v>
      </c>
      <c r="C6" s="72">
        <v>1.7373461731E10</v>
      </c>
    </row>
    <row r="7">
      <c r="A7" s="71" t="s">
        <v>8</v>
      </c>
      <c r="B7" s="71" t="s">
        <v>613</v>
      </c>
      <c r="C7" s="72">
        <v>1.7373561332E10</v>
      </c>
    </row>
    <row r="8">
      <c r="A8" s="71" t="s">
        <v>614</v>
      </c>
      <c r="B8" s="71" t="s">
        <v>615</v>
      </c>
      <c r="C8" s="72">
        <v>1.8562719805E10</v>
      </c>
    </row>
    <row r="9">
      <c r="A9" s="71" t="s">
        <v>616</v>
      </c>
      <c r="B9" s="71" t="s">
        <v>617</v>
      </c>
      <c r="C9" s="72">
        <v>1.8063355047E10</v>
      </c>
    </row>
    <row r="10">
      <c r="A10" s="71" t="s">
        <v>618</v>
      </c>
      <c r="B10" s="71" t="s">
        <v>619</v>
      </c>
      <c r="C10" s="72">
        <v>1.2106064786E10</v>
      </c>
    </row>
    <row r="11">
      <c r="A11" s="71" t="s">
        <v>20</v>
      </c>
      <c r="B11" s="71" t="s">
        <v>620</v>
      </c>
      <c r="C11" s="72">
        <v>1.2104105831E10</v>
      </c>
    </row>
    <row r="12">
      <c r="A12" s="71" t="s">
        <v>16</v>
      </c>
      <c r="B12" s="71" t="s">
        <v>621</v>
      </c>
      <c r="C12" s="72">
        <v>1.5129758207E10</v>
      </c>
    </row>
    <row r="13">
      <c r="A13" s="71" t="s">
        <v>46</v>
      </c>
      <c r="B13" s="71" t="s">
        <v>622</v>
      </c>
      <c r="C13" s="72">
        <v>1.2063709043E10</v>
      </c>
    </row>
    <row r="14">
      <c r="A14" s="71" t="s">
        <v>19</v>
      </c>
      <c r="B14" s="71" t="s">
        <v>623</v>
      </c>
      <c r="C14" s="72">
        <v>1.40933039E10</v>
      </c>
    </row>
    <row r="15">
      <c r="A15" s="71" t="s">
        <v>21</v>
      </c>
      <c r="B15" s="71" t="s">
        <v>624</v>
      </c>
      <c r="C15" s="72">
        <v>1.5129442462E10</v>
      </c>
    </row>
    <row r="16">
      <c r="A16" s="71" t="s">
        <v>618</v>
      </c>
      <c r="B16" s="71" t="s">
        <v>619</v>
      </c>
      <c r="C16" s="72">
        <v>1.2106064786E10</v>
      </c>
    </row>
    <row r="17">
      <c r="A17" s="71" t="s">
        <v>625</v>
      </c>
      <c r="B17" s="71" t="s">
        <v>626</v>
      </c>
      <c r="C17" s="72">
        <v>1.2818583566E10</v>
      </c>
    </row>
    <row r="18">
      <c r="A18" s="71" t="s">
        <v>10</v>
      </c>
      <c r="B18" s="71" t="s">
        <v>627</v>
      </c>
      <c r="C18" s="72">
        <v>1.512921342E10</v>
      </c>
    </row>
    <row r="19">
      <c r="A19" s="71" t="s">
        <v>24</v>
      </c>
      <c r="B19" s="71" t="s">
        <v>628</v>
      </c>
      <c r="C19" s="72">
        <v>1.5129641588E10</v>
      </c>
    </row>
    <row r="20">
      <c r="A20" s="71" t="s">
        <v>629</v>
      </c>
      <c r="B20" s="71" t="s">
        <v>630</v>
      </c>
      <c r="C20" s="72">
        <v>1.6508239535E10</v>
      </c>
    </row>
    <row r="21" ht="15.75" customHeight="1">
      <c r="A21" s="71" t="s">
        <v>47</v>
      </c>
      <c r="B21" s="71" t="s">
        <v>631</v>
      </c>
      <c r="C21" s="72">
        <v>1.2068397311E10</v>
      </c>
    </row>
    <row r="22" ht="15.75" customHeight="1">
      <c r="A22" s="71" t="s">
        <v>48</v>
      </c>
      <c r="B22" s="71" t="s">
        <v>632</v>
      </c>
      <c r="C22" s="72">
        <v>1.9045882958E10</v>
      </c>
    </row>
    <row r="23" ht="15.75" customHeight="1">
      <c r="A23" s="71" t="s">
        <v>52</v>
      </c>
      <c r="B23" s="71" t="s">
        <v>633</v>
      </c>
      <c r="C23" s="72">
        <v>1.5304880965E10</v>
      </c>
    </row>
    <row r="24" ht="15.75" customHeight="1">
      <c r="A24" s="71" t="s">
        <v>50</v>
      </c>
      <c r="B24" s="71" t="s">
        <v>634</v>
      </c>
      <c r="C24" s="72">
        <v>1.5128278022E10</v>
      </c>
    </row>
    <row r="25" ht="15.75" customHeight="1">
      <c r="A25" s="71" t="s">
        <v>49</v>
      </c>
      <c r="B25" s="71" t="s">
        <v>635</v>
      </c>
      <c r="C25" s="72">
        <v>1.323533077E10</v>
      </c>
    </row>
    <row r="26" ht="15.75" customHeight="1">
      <c r="A26" s="71" t="s">
        <v>39</v>
      </c>
      <c r="B26" s="71" t="s">
        <v>636</v>
      </c>
      <c r="C26" s="72">
        <v>1.512660331E10</v>
      </c>
    </row>
    <row r="27" ht="15.75" customHeight="1">
      <c r="A27" s="71" t="s">
        <v>64</v>
      </c>
      <c r="B27" s="71" t="s">
        <v>637</v>
      </c>
      <c r="C27" s="72">
        <v>1.9035306003E10</v>
      </c>
    </row>
    <row r="28" ht="15.75" customHeight="1">
      <c r="A28" s="71" t="s">
        <v>638</v>
      </c>
      <c r="B28" s="71" t="s">
        <v>639</v>
      </c>
      <c r="C28" s="72">
        <v>1.5127813239E10</v>
      </c>
    </row>
    <row r="29" ht="15.75" customHeight="1">
      <c r="A29" s="71" t="s">
        <v>66</v>
      </c>
      <c r="B29" s="71" t="s">
        <v>640</v>
      </c>
      <c r="C29" s="72">
        <v>1.5124968437E10</v>
      </c>
    </row>
    <row r="30" ht="15.75" customHeight="1">
      <c r="A30" s="71" t="s">
        <v>641</v>
      </c>
      <c r="B30" s="71" t="s">
        <v>642</v>
      </c>
      <c r="C30" s="72">
        <v>1.5125501282E10</v>
      </c>
    </row>
    <row r="31" ht="15.75" customHeight="1">
      <c r="A31" s="71" t="s">
        <v>568</v>
      </c>
      <c r="B31" s="71" t="s">
        <v>643</v>
      </c>
      <c r="C31" s="72">
        <v>1.95656629E10</v>
      </c>
    </row>
    <row r="32" ht="15.75" customHeight="1">
      <c r="A32" s="71" t="s">
        <v>68</v>
      </c>
      <c r="B32" s="71" t="s">
        <v>644</v>
      </c>
      <c r="C32" s="72">
        <v>1.2819794212E10</v>
      </c>
    </row>
    <row r="33" ht="15.75" customHeight="1">
      <c r="A33" s="71" t="s">
        <v>67</v>
      </c>
      <c r="B33" s="71" t="s">
        <v>645</v>
      </c>
      <c r="C33" s="72">
        <v>1.5122141201E10</v>
      </c>
    </row>
    <row r="34" ht="15.75" customHeight="1">
      <c r="A34" s="71" t="s">
        <v>51</v>
      </c>
      <c r="B34" s="71"/>
      <c r="C34" s="74">
        <v>1.2064840233E10</v>
      </c>
    </row>
    <row r="35" ht="15.75" customHeight="1">
      <c r="A35" s="71" t="s">
        <v>54</v>
      </c>
      <c r="B35" s="71"/>
      <c r="C35" s="74">
        <v>1.5129138331E10</v>
      </c>
    </row>
    <row r="36" ht="15.75" customHeight="1">
      <c r="A36" s="71" t="s">
        <v>9</v>
      </c>
      <c r="B36" s="71"/>
      <c r="C36" s="74">
        <v>1.5122968385E10</v>
      </c>
    </row>
    <row r="37" ht="15.75" customHeight="1">
      <c r="A37" s="71" t="s">
        <v>11</v>
      </c>
      <c r="B37" s="71"/>
      <c r="C37" s="74">
        <v>1.5124017213E10</v>
      </c>
    </row>
    <row r="38" ht="15.75" customHeight="1">
      <c r="A38" s="71" t="s">
        <v>12</v>
      </c>
      <c r="B38" s="71" t="s">
        <v>646</v>
      </c>
      <c r="C38" s="72">
        <v>1.9125470536E10</v>
      </c>
    </row>
    <row r="39" ht="15.75" customHeight="1">
      <c r="A39" s="71" t="s">
        <v>56</v>
      </c>
      <c r="B39" s="71"/>
      <c r="C39" s="74">
        <v>1.5593339957E10</v>
      </c>
    </row>
    <row r="40" ht="15.75" customHeight="1">
      <c r="A40" s="71" t="s">
        <v>75</v>
      </c>
      <c r="B40" s="71"/>
      <c r="C40" s="74">
        <v>1.5129529994E10</v>
      </c>
    </row>
    <row r="41" ht="15.75" customHeight="1">
      <c r="A41" s="71" t="s">
        <v>58</v>
      </c>
      <c r="B41" s="71"/>
      <c r="C41" s="74">
        <v>1.3126199668E10</v>
      </c>
    </row>
    <row r="42" ht="15.75" customHeight="1">
      <c r="A42" s="71" t="s">
        <v>59</v>
      </c>
      <c r="B42" s="71"/>
      <c r="C42" s="74">
        <v>1.2108379296E10</v>
      </c>
    </row>
    <row r="43" ht="15.75" customHeight="1">
      <c r="A43" s="71" t="s">
        <v>61</v>
      </c>
      <c r="B43" s="71"/>
      <c r="C43" s="74">
        <v>1.2104626499E10</v>
      </c>
    </row>
    <row r="44" ht="15.75" customHeight="1">
      <c r="A44" s="71" t="s">
        <v>14</v>
      </c>
      <c r="B44" s="71"/>
      <c r="C44" s="72"/>
    </row>
    <row r="45" ht="15.75" customHeight="1">
      <c r="A45" s="71" t="s">
        <v>22</v>
      </c>
      <c r="B45" s="71"/>
      <c r="C45" s="72"/>
    </row>
    <row r="46" ht="15.75" customHeight="1">
      <c r="A46" s="71" t="s">
        <v>25</v>
      </c>
      <c r="B46" s="71"/>
      <c r="C46" s="74">
        <v>1.8317139105E10</v>
      </c>
    </row>
    <row r="47" ht="15.75" customHeight="1">
      <c r="A47" s="71" t="s">
        <v>26</v>
      </c>
      <c r="B47" s="71"/>
      <c r="C47" s="74">
        <v>1.8046613004E10</v>
      </c>
    </row>
    <row r="48" ht="15.75" customHeight="1">
      <c r="A48" s="71" t="s">
        <v>27</v>
      </c>
      <c r="B48" s="71"/>
      <c r="C48" s="72"/>
    </row>
    <row r="49" ht="15.75" customHeight="1">
      <c r="A49" s="71" t="s">
        <v>28</v>
      </c>
      <c r="B49" s="71"/>
      <c r="C49" s="74">
        <v>1.8622502326E10</v>
      </c>
    </row>
    <row r="50" ht="15.75" customHeight="1">
      <c r="A50" s="71" t="s">
        <v>647</v>
      </c>
      <c r="B50" s="71"/>
      <c r="C50" s="74">
        <v>1.512701007E10</v>
      </c>
    </row>
    <row r="51" ht="15.75" customHeight="1">
      <c r="A51" s="71" t="s">
        <v>30</v>
      </c>
      <c r="B51" s="71"/>
      <c r="C51" s="74">
        <v>1.7323977299E10</v>
      </c>
    </row>
    <row r="52" ht="15.75" customHeight="1">
      <c r="A52" s="71" t="s">
        <v>31</v>
      </c>
      <c r="B52" s="71"/>
      <c r="C52" s="74">
        <v>1.5126941754E10</v>
      </c>
    </row>
    <row r="53" ht="15.75" customHeight="1">
      <c r="A53" s="71" t="s">
        <v>32</v>
      </c>
      <c r="B53" s="71"/>
      <c r="C53" s="74">
        <v>1.6823479581E10</v>
      </c>
    </row>
    <row r="54" ht="15.75" customHeight="1">
      <c r="A54" s="71" t="s">
        <v>34</v>
      </c>
      <c r="B54" s="71"/>
      <c r="C54" s="74">
        <v>1.8068318487E10</v>
      </c>
    </row>
    <row r="55" ht="15.75" customHeight="1">
      <c r="A55" s="75" t="s">
        <v>35</v>
      </c>
      <c r="B55" s="71"/>
      <c r="C55" s="72"/>
    </row>
    <row r="56" ht="15.75" customHeight="1">
      <c r="A56" s="75" t="s">
        <v>648</v>
      </c>
      <c r="B56" s="71"/>
      <c r="C56" s="74">
        <v>1.6192084116E10</v>
      </c>
    </row>
    <row r="57" ht="15.75" customHeight="1">
      <c r="A57" s="71" t="s">
        <v>37</v>
      </c>
      <c r="B57" s="71"/>
      <c r="C57" s="74">
        <v>1.8287817136E10</v>
      </c>
    </row>
    <row r="58" ht="15.75" customHeight="1">
      <c r="A58" s="71" t="s">
        <v>38</v>
      </c>
      <c r="B58" s="71"/>
      <c r="C58" s="74">
        <v>1.3176252028E10</v>
      </c>
    </row>
    <row r="59" ht="15.75" customHeight="1">
      <c r="A59" s="71" t="s">
        <v>40</v>
      </c>
      <c r="B59" s="71"/>
      <c r="C59" s="74">
        <v>1.8587354034E10</v>
      </c>
    </row>
    <row r="60" ht="15.75" customHeight="1">
      <c r="A60" s="71" t="s">
        <v>41</v>
      </c>
      <c r="B60" s="71" t="s">
        <v>649</v>
      </c>
      <c r="C60" s="72">
        <v>1.8046908858E10</v>
      </c>
    </row>
    <row r="61" ht="15.75" customHeight="1">
      <c r="A61" s="71" t="s">
        <v>42</v>
      </c>
      <c r="B61" s="71"/>
      <c r="C61" s="74">
        <v>1.5126987067E10</v>
      </c>
    </row>
    <row r="62" ht="15.75" customHeight="1">
      <c r="A62" s="71" t="s">
        <v>43</v>
      </c>
      <c r="B62" s="71"/>
      <c r="C62" s="74">
        <v>1.8033175923E10</v>
      </c>
    </row>
    <row r="63" ht="15.75" customHeight="1">
      <c r="A63" s="71" t="s">
        <v>44</v>
      </c>
      <c r="B63" s="71"/>
      <c r="C63" s="74">
        <v>1.3854553226E10</v>
      </c>
    </row>
    <row r="64" ht="15.75" customHeight="1">
      <c r="A64" s="71" t="s">
        <v>45</v>
      </c>
      <c r="B64" s="71"/>
      <c r="C64" s="74">
        <v>1.5127863489E10</v>
      </c>
    </row>
    <row r="65" ht="15.75" customHeight="1">
      <c r="A65" s="71" t="s">
        <v>53</v>
      </c>
      <c r="B65" s="71"/>
      <c r="C65" s="74">
        <v>1.8566937437E10</v>
      </c>
    </row>
    <row r="66" ht="15.75" customHeight="1">
      <c r="A66" s="71" t="s">
        <v>70</v>
      </c>
      <c r="B66" s="71" t="s">
        <v>650</v>
      </c>
      <c r="C66" s="72">
        <v>1.512739931E10</v>
      </c>
    </row>
    <row r="67" ht="15.75" customHeight="1">
      <c r="A67" s="71" t="s">
        <v>69</v>
      </c>
      <c r="B67" s="71" t="s">
        <v>651</v>
      </c>
      <c r="C67" s="72">
        <v>1.8327732246E10</v>
      </c>
    </row>
    <row r="68" ht="15.75" customHeight="1">
      <c r="A68" s="71" t="s">
        <v>72</v>
      </c>
      <c r="B68" s="71" t="s">
        <v>652</v>
      </c>
      <c r="C68" s="72">
        <v>1.9714134351E10</v>
      </c>
    </row>
    <row r="69" ht="15.75" customHeight="1">
      <c r="A69" s="71" t="s">
        <v>71</v>
      </c>
      <c r="B69" s="71" t="s">
        <v>653</v>
      </c>
      <c r="C69" s="72">
        <v>1.8587353434E10</v>
      </c>
    </row>
    <row r="70" ht="15.75" customHeight="1">
      <c r="A70" s="71" t="s">
        <v>654</v>
      </c>
      <c r="B70" s="71"/>
      <c r="C70" s="74">
        <v>1.83253552E10</v>
      </c>
    </row>
    <row r="71" ht="15.75" customHeight="1">
      <c r="A71" s="71" t="s">
        <v>74</v>
      </c>
      <c r="B71" s="71"/>
      <c r="C71" s="74">
        <v>1.9798204981E10</v>
      </c>
    </row>
    <row r="72" ht="15.75" customHeight="1">
      <c r="A72" s="71" t="s">
        <v>313</v>
      </c>
      <c r="B72" s="71" t="s">
        <v>655</v>
      </c>
      <c r="C72" s="72">
        <v>1.5129249279E10</v>
      </c>
    </row>
    <row r="73" ht="15.75" customHeight="1">
      <c r="A73" s="71" t="s">
        <v>73</v>
      </c>
      <c r="B73" s="71" t="s">
        <v>656</v>
      </c>
      <c r="C73" s="72">
        <v>1.73748465E10</v>
      </c>
    </row>
    <row r="74" ht="15.75" customHeight="1">
      <c r="A74" s="71" t="s">
        <v>77</v>
      </c>
      <c r="B74" s="71" t="s">
        <v>657</v>
      </c>
      <c r="C74" s="72">
        <v>1.5127209164E10</v>
      </c>
    </row>
    <row r="75" ht="15.75" customHeight="1">
      <c r="A75" s="71" t="s">
        <v>79</v>
      </c>
      <c r="B75" s="71" t="s">
        <v>658</v>
      </c>
      <c r="C75" s="72">
        <v>1.8326225548E10</v>
      </c>
    </row>
    <row r="76" ht="15.75" customHeight="1">
      <c r="A76" s="71" t="s">
        <v>78</v>
      </c>
      <c r="B76" s="71" t="s">
        <v>659</v>
      </c>
      <c r="C76" s="72">
        <v>1.8303513205E10</v>
      </c>
    </row>
    <row r="77" ht="15.75" customHeight="1">
      <c r="A77" s="71" t="s">
        <v>76</v>
      </c>
      <c r="B77" s="71" t="s">
        <v>660</v>
      </c>
      <c r="C77" s="72">
        <v>1.8503466135E10</v>
      </c>
    </row>
    <row r="78" ht="15.75" customHeight="1">
      <c r="A78" s="71" t="s">
        <v>80</v>
      </c>
      <c r="B78" s="71" t="s">
        <v>661</v>
      </c>
      <c r="C78" s="72">
        <v>1.5405323943E10</v>
      </c>
    </row>
    <row r="79" ht="15.75" customHeight="1">
      <c r="A79" s="71" t="s">
        <v>81</v>
      </c>
      <c r="B79" s="71" t="s">
        <v>662</v>
      </c>
      <c r="C79" s="72">
        <v>1.5129445335E10</v>
      </c>
    </row>
    <row r="80" ht="15.75" customHeight="1">
      <c r="A80" s="71" t="s">
        <v>82</v>
      </c>
      <c r="B80" s="71" t="s">
        <v>663</v>
      </c>
      <c r="C80" s="72">
        <v>1.5129939123E10</v>
      </c>
    </row>
    <row r="81" ht="15.75" customHeight="1">
      <c r="A81" s="71" t="s">
        <v>237</v>
      </c>
      <c r="B81" s="71" t="s">
        <v>664</v>
      </c>
      <c r="C81" s="72">
        <v>1.2108571487E10</v>
      </c>
    </row>
    <row r="82" ht="15.75" customHeight="1">
      <c r="A82" s="71" t="s">
        <v>117</v>
      </c>
      <c r="B82" s="71" t="s">
        <v>665</v>
      </c>
      <c r="C82" s="72">
        <v>1.9727033032E10</v>
      </c>
    </row>
    <row r="83" ht="15.75" customHeight="1">
      <c r="A83" s="71" t="s">
        <v>85</v>
      </c>
      <c r="B83" s="71" t="s">
        <v>666</v>
      </c>
      <c r="C83" s="72">
        <v>1.8124561321E10</v>
      </c>
    </row>
    <row r="84" ht="15.75" customHeight="1">
      <c r="A84" s="71" t="s">
        <v>83</v>
      </c>
      <c r="B84" s="71" t="s">
        <v>667</v>
      </c>
      <c r="C84" s="72">
        <v>1.2105699512E10</v>
      </c>
    </row>
    <row r="85" ht="15.75" customHeight="1">
      <c r="A85" s="71" t="s">
        <v>84</v>
      </c>
      <c r="B85" s="71" t="s">
        <v>668</v>
      </c>
      <c r="C85" s="72">
        <v>1.5129697317E10</v>
      </c>
    </row>
    <row r="86" ht="15.75" customHeight="1">
      <c r="A86" s="71" t="s">
        <v>238</v>
      </c>
      <c r="B86" s="71" t="s">
        <v>669</v>
      </c>
      <c r="C86" s="72">
        <v>1.2623323559E10</v>
      </c>
    </row>
    <row r="87" ht="15.75" customHeight="1">
      <c r="A87" s="71" t="s">
        <v>96</v>
      </c>
      <c r="B87" s="71" t="s">
        <v>670</v>
      </c>
      <c r="C87" s="72">
        <v>1.2232211018E10</v>
      </c>
    </row>
    <row r="88" ht="15.75" customHeight="1">
      <c r="A88" s="71" t="s">
        <v>257</v>
      </c>
      <c r="B88" s="71" t="s">
        <v>671</v>
      </c>
      <c r="C88" s="72">
        <v>1.956862023E10</v>
      </c>
    </row>
    <row r="89" ht="15.75" customHeight="1">
      <c r="A89" s="71" t="s">
        <v>113</v>
      </c>
      <c r="B89" s="71" t="s">
        <v>672</v>
      </c>
      <c r="C89" s="72">
        <v>1.5129715221E10</v>
      </c>
    </row>
    <row r="90" ht="15.75" customHeight="1">
      <c r="A90" s="71" t="s">
        <v>98</v>
      </c>
      <c r="B90" s="71" t="s">
        <v>673</v>
      </c>
      <c r="C90" s="72">
        <v>1.6306965048E10</v>
      </c>
    </row>
    <row r="91" ht="15.75" customHeight="1">
      <c r="A91" s="71" t="s">
        <v>239</v>
      </c>
      <c r="B91" s="75" t="s">
        <v>674</v>
      </c>
      <c r="C91" s="74">
        <v>1.9703673554E10</v>
      </c>
    </row>
    <row r="92" ht="15.75" customHeight="1">
      <c r="A92" s="71" t="s">
        <v>105</v>
      </c>
      <c r="B92" s="71" t="s">
        <v>675</v>
      </c>
      <c r="C92" s="72">
        <v>1.6508618221E10</v>
      </c>
    </row>
    <row r="93" ht="15.75" customHeight="1">
      <c r="A93" s="71" t="s">
        <v>16</v>
      </c>
      <c r="B93" s="76" t="s">
        <v>621</v>
      </c>
      <c r="C93" s="72">
        <v>1.5129758207E10</v>
      </c>
    </row>
    <row r="94" ht="15.75" customHeight="1">
      <c r="A94" s="71" t="s">
        <v>240</v>
      </c>
      <c r="B94" s="76" t="s">
        <v>676</v>
      </c>
      <c r="C94" s="72">
        <v>1.7657671639E10</v>
      </c>
    </row>
    <row r="95" ht="15.75" customHeight="1">
      <c r="A95" s="71" t="s">
        <v>87</v>
      </c>
      <c r="B95" s="71" t="s">
        <v>677</v>
      </c>
      <c r="C95" s="72">
        <v>1.4045098272E10</v>
      </c>
    </row>
    <row r="96" ht="15.75" customHeight="1">
      <c r="A96" s="71" t="s">
        <v>316</v>
      </c>
      <c r="B96" s="71" t="s">
        <v>678</v>
      </c>
      <c r="C96" s="72">
        <v>1.4438049772E10</v>
      </c>
    </row>
    <row r="97" ht="15.75" customHeight="1">
      <c r="A97" s="71" t="s">
        <v>679</v>
      </c>
      <c r="B97" s="76" t="s">
        <v>680</v>
      </c>
      <c r="C97" s="74">
        <v>1.7032680226E10</v>
      </c>
    </row>
    <row r="98" ht="15.75" customHeight="1">
      <c r="A98" s="75" t="s">
        <v>681</v>
      </c>
      <c r="B98" s="75" t="s">
        <v>674</v>
      </c>
      <c r="C98" s="74">
        <v>1.8582137722E10</v>
      </c>
    </row>
    <row r="99" ht="15.75" customHeight="1">
      <c r="A99" s="71" t="s">
        <v>89</v>
      </c>
      <c r="B99" s="75" t="s">
        <v>674</v>
      </c>
      <c r="C99" s="74">
        <v>1.8582131027E10</v>
      </c>
    </row>
    <row r="100" ht="15.75" customHeight="1">
      <c r="A100" s="71" t="s">
        <v>317</v>
      </c>
      <c r="B100" s="71" t="s">
        <v>682</v>
      </c>
      <c r="C100" s="72">
        <v>1.8303778148E10</v>
      </c>
    </row>
    <row r="101" ht="15.75" customHeight="1">
      <c r="A101" s="71" t="s">
        <v>109</v>
      </c>
      <c r="B101" s="71" t="s">
        <v>683</v>
      </c>
      <c r="C101" s="72">
        <v>1.5125690784E10</v>
      </c>
    </row>
    <row r="102" ht="15.75" customHeight="1">
      <c r="A102" s="71" t="s">
        <v>119</v>
      </c>
      <c r="B102" s="71" t="s">
        <v>684</v>
      </c>
      <c r="C102" s="72">
        <v>1.73735745E10</v>
      </c>
    </row>
    <row r="103" ht="15.75" customHeight="1">
      <c r="A103" s="71" t="s">
        <v>90</v>
      </c>
      <c r="B103" s="71" t="s">
        <v>685</v>
      </c>
      <c r="C103" s="72">
        <v>1.7167831417E10</v>
      </c>
    </row>
    <row r="104" ht="15.75" customHeight="1">
      <c r="A104" s="71" t="s">
        <v>241</v>
      </c>
      <c r="B104" s="71" t="s">
        <v>686</v>
      </c>
      <c r="C104" s="72">
        <v>1.6164434636E10</v>
      </c>
    </row>
    <row r="105" ht="15.75" customHeight="1">
      <c r="A105" s="71" t="s">
        <v>93</v>
      </c>
      <c r="B105" s="71" t="s">
        <v>687</v>
      </c>
      <c r="C105" s="72">
        <v>1.5126931453E10</v>
      </c>
    </row>
    <row r="106" ht="15.75" customHeight="1">
      <c r="A106" s="71" t="s">
        <v>91</v>
      </c>
      <c r="B106" s="71" t="s">
        <v>688</v>
      </c>
      <c r="C106" s="72">
        <v>1.7133977686E10</v>
      </c>
    </row>
    <row r="107" ht="15.75" customHeight="1">
      <c r="A107" s="71" t="s">
        <v>689</v>
      </c>
      <c r="B107" s="71" t="s">
        <v>690</v>
      </c>
      <c r="C107" s="72">
        <v>1.5126573685E10</v>
      </c>
    </row>
    <row r="108" ht="15.75" customHeight="1">
      <c r="A108" s="71" t="s">
        <v>135</v>
      </c>
      <c r="B108" s="71" t="s">
        <v>691</v>
      </c>
      <c r="C108" s="72">
        <v>1.5129548099E10</v>
      </c>
    </row>
    <row r="109" ht="15.75" customHeight="1">
      <c r="A109" s="71" t="s">
        <v>318</v>
      </c>
      <c r="B109" s="71" t="s">
        <v>692</v>
      </c>
      <c r="C109" s="72">
        <v>1.7377701606E10</v>
      </c>
    </row>
    <row r="110" ht="15.75" customHeight="1">
      <c r="A110" s="71" t="s">
        <v>264</v>
      </c>
      <c r="B110" s="71" t="s">
        <v>693</v>
      </c>
      <c r="C110" s="72">
        <v>1.7372889601E10</v>
      </c>
    </row>
    <row r="111" ht="15.75" customHeight="1">
      <c r="A111" s="71" t="s">
        <v>97</v>
      </c>
      <c r="B111" s="71" t="s">
        <v>694</v>
      </c>
      <c r="C111" s="72">
        <v>1.2026026799E10</v>
      </c>
    </row>
    <row r="112" ht="15.75" customHeight="1">
      <c r="A112" s="71" t="s">
        <v>319</v>
      </c>
      <c r="B112" s="71" t="s">
        <v>695</v>
      </c>
      <c r="C112" s="72">
        <v>1.5127991624E10</v>
      </c>
    </row>
    <row r="113" ht="15.75" customHeight="1">
      <c r="A113" s="71" t="s">
        <v>95</v>
      </c>
      <c r="B113" s="71" t="s">
        <v>696</v>
      </c>
      <c r="C113" s="72">
        <v>1.7179171485E10</v>
      </c>
    </row>
    <row r="114" ht="15.75" customHeight="1">
      <c r="A114" s="71" t="s">
        <v>94</v>
      </c>
      <c r="B114" s="75" t="s">
        <v>674</v>
      </c>
      <c r="C114" s="74">
        <v>1.5122998729E10</v>
      </c>
    </row>
    <row r="115" ht="15.75" customHeight="1">
      <c r="A115" s="71" t="s">
        <v>697</v>
      </c>
      <c r="B115" s="71" t="s">
        <v>698</v>
      </c>
      <c r="C115" s="72">
        <v>1.5122279859E10</v>
      </c>
    </row>
    <row r="116" ht="15.75" customHeight="1">
      <c r="A116" s="71" t="s">
        <v>320</v>
      </c>
      <c r="B116" s="71" t="s">
        <v>699</v>
      </c>
      <c r="C116" s="72">
        <v>1.3104035837E10</v>
      </c>
    </row>
    <row r="117" ht="15.75" customHeight="1">
      <c r="A117" s="71" t="s">
        <v>321</v>
      </c>
      <c r="B117" s="71" t="s">
        <v>700</v>
      </c>
      <c r="C117" s="72">
        <v>1.2144054774E10</v>
      </c>
    </row>
    <row r="118" ht="15.75" customHeight="1">
      <c r="A118" s="71" t="s">
        <v>99</v>
      </c>
      <c r="B118" s="71" t="s">
        <v>701</v>
      </c>
      <c r="C118" s="72">
        <v>1.5129937263E10</v>
      </c>
    </row>
    <row r="119" ht="15.75" customHeight="1">
      <c r="A119" s="71" t="s">
        <v>100</v>
      </c>
      <c r="B119" s="71" t="s">
        <v>702</v>
      </c>
      <c r="C119" s="72">
        <v>1.5127757156E10</v>
      </c>
    </row>
    <row r="120" ht="15.75" customHeight="1">
      <c r="A120" s="71" t="s">
        <v>242</v>
      </c>
      <c r="B120" s="71" t="s">
        <v>703</v>
      </c>
      <c r="C120" s="72">
        <v>1.5125543899E10</v>
      </c>
    </row>
    <row r="121" ht="15.75" customHeight="1">
      <c r="A121" s="71" t="s">
        <v>101</v>
      </c>
      <c r="B121" s="71" t="s">
        <v>704</v>
      </c>
      <c r="C121" s="72">
        <v>1.4085902908E10</v>
      </c>
    </row>
    <row r="122" ht="15.75" customHeight="1">
      <c r="A122" s="71" t="s">
        <v>243</v>
      </c>
      <c r="B122" s="71" t="s">
        <v>705</v>
      </c>
      <c r="C122" s="72">
        <v>1.7162259112E10</v>
      </c>
    </row>
    <row r="123" ht="15.75" customHeight="1">
      <c r="A123" s="71" t="s">
        <v>259</v>
      </c>
      <c r="B123" s="71" t="s">
        <v>674</v>
      </c>
      <c r="C123" s="74">
        <v>1.5129948247E10</v>
      </c>
    </row>
    <row r="124" ht="15.75" customHeight="1">
      <c r="A124" s="71" t="s">
        <v>706</v>
      </c>
      <c r="B124" s="71" t="s">
        <v>707</v>
      </c>
      <c r="C124" s="72">
        <v>1.512300812E10</v>
      </c>
    </row>
    <row r="125" ht="15.75" customHeight="1">
      <c r="A125" s="71" t="s">
        <v>103</v>
      </c>
      <c r="B125" s="71" t="s">
        <v>708</v>
      </c>
      <c r="C125" s="72">
        <v>1.9792576987E10</v>
      </c>
    </row>
    <row r="126" ht="15.75" customHeight="1">
      <c r="A126" s="71" t="s">
        <v>102</v>
      </c>
      <c r="B126" s="71" t="s">
        <v>709</v>
      </c>
      <c r="C126" s="72">
        <v>1.8172697663E10</v>
      </c>
    </row>
    <row r="127" ht="15.75" customHeight="1">
      <c r="A127" s="71" t="s">
        <v>110</v>
      </c>
      <c r="B127" s="71" t="s">
        <v>710</v>
      </c>
      <c r="C127" s="74">
        <v>1.5714042988E10</v>
      </c>
    </row>
    <row r="128" ht="15.75" customHeight="1">
      <c r="A128" s="71" t="s">
        <v>245</v>
      </c>
      <c r="B128" s="71" t="s">
        <v>711</v>
      </c>
      <c r="C128" s="72">
        <v>1.8323871786E10</v>
      </c>
    </row>
    <row r="129" ht="15.75" customHeight="1">
      <c r="A129" s="71" t="s">
        <v>106</v>
      </c>
      <c r="B129" s="71" t="s">
        <v>712</v>
      </c>
      <c r="C129" s="72">
        <v>1.4348518406E10</v>
      </c>
    </row>
    <row r="130" ht="15.75" customHeight="1">
      <c r="A130" s="71" t="s">
        <v>244</v>
      </c>
      <c r="B130" s="71" t="s">
        <v>713</v>
      </c>
      <c r="C130" s="72">
        <v>1.3057819565E10</v>
      </c>
    </row>
    <row r="131" ht="15.75" customHeight="1">
      <c r="A131" s="71" t="s">
        <v>714</v>
      </c>
      <c r="B131" s="71" t="s">
        <v>715</v>
      </c>
      <c r="C131" s="72">
        <v>1.7379001807E10</v>
      </c>
    </row>
    <row r="132" ht="15.75" customHeight="1">
      <c r="A132" s="71" t="s">
        <v>107</v>
      </c>
      <c r="B132" s="71" t="s">
        <v>716</v>
      </c>
      <c r="C132" s="72">
        <v>1.8325358811E10</v>
      </c>
    </row>
    <row r="133" ht="15.75" customHeight="1">
      <c r="A133" s="71" t="s">
        <v>108</v>
      </c>
      <c r="B133" s="71" t="s">
        <v>717</v>
      </c>
      <c r="C133" s="72">
        <v>1.8326146175E10</v>
      </c>
    </row>
    <row r="134" ht="15.75" customHeight="1">
      <c r="A134" s="71" t="s">
        <v>142</v>
      </c>
      <c r="B134" s="71" t="s">
        <v>718</v>
      </c>
      <c r="C134" s="72">
        <v>1.5124174412E10</v>
      </c>
    </row>
    <row r="135" ht="15.75" customHeight="1">
      <c r="A135" s="71" t="s">
        <v>247</v>
      </c>
      <c r="B135" s="71" t="s">
        <v>719</v>
      </c>
      <c r="C135" s="72">
        <v>1.5126058361E10</v>
      </c>
    </row>
    <row r="136" ht="15.75" customHeight="1">
      <c r="A136" s="71" t="s">
        <v>249</v>
      </c>
      <c r="B136" s="71" t="s">
        <v>720</v>
      </c>
      <c r="C136" s="72">
        <v>1.5049081826E10</v>
      </c>
    </row>
    <row r="137" ht="15.75" customHeight="1">
      <c r="A137" s="71" t="s">
        <v>248</v>
      </c>
      <c r="B137" s="71" t="s">
        <v>721</v>
      </c>
      <c r="C137" s="72">
        <v>1.5128089137E10</v>
      </c>
    </row>
    <row r="138" ht="15.75" customHeight="1">
      <c r="A138" s="71" t="s">
        <v>111</v>
      </c>
      <c r="B138" s="71" t="s">
        <v>722</v>
      </c>
      <c r="C138" s="72">
        <v>1.6208054024E10</v>
      </c>
    </row>
    <row r="139" ht="15.75" customHeight="1">
      <c r="A139" s="71" t="s">
        <v>251</v>
      </c>
      <c r="B139" s="71" t="s">
        <v>723</v>
      </c>
      <c r="C139" s="72">
        <v>1.7042076504E10</v>
      </c>
    </row>
    <row r="140" ht="15.75" customHeight="1">
      <c r="A140" s="71" t="s">
        <v>322</v>
      </c>
      <c r="B140" s="71" t="s">
        <v>724</v>
      </c>
      <c r="C140" s="72">
        <v>1.4043721058E10</v>
      </c>
    </row>
    <row r="141" ht="15.75" customHeight="1">
      <c r="A141" s="71" t="s">
        <v>725</v>
      </c>
      <c r="B141" s="71" t="s">
        <v>726</v>
      </c>
      <c r="C141" s="72">
        <v>1.3179102679E10</v>
      </c>
    </row>
    <row r="142" ht="15.75" customHeight="1">
      <c r="A142" s="71" t="s">
        <v>112</v>
      </c>
      <c r="B142" s="71" t="s">
        <v>727</v>
      </c>
      <c r="C142" s="72">
        <v>1.7135919484E10</v>
      </c>
    </row>
    <row r="143" ht="15.75" customHeight="1">
      <c r="A143" s="71" t="s">
        <v>325</v>
      </c>
      <c r="B143" s="71" t="s">
        <v>728</v>
      </c>
      <c r="C143" s="72">
        <v>1.6303330398E10</v>
      </c>
    </row>
    <row r="144" ht="15.75" customHeight="1">
      <c r="A144" s="71" t="s">
        <v>209</v>
      </c>
      <c r="B144" s="71" t="s">
        <v>729</v>
      </c>
      <c r="C144" s="72">
        <v>1.512497618E10</v>
      </c>
    </row>
    <row r="145" ht="15.75" customHeight="1">
      <c r="A145" s="71" t="s">
        <v>115</v>
      </c>
      <c r="B145" s="71" t="s">
        <v>730</v>
      </c>
      <c r="C145" s="72">
        <v>1.2246885988E10</v>
      </c>
    </row>
    <row r="146" ht="15.75" customHeight="1">
      <c r="A146" s="71" t="s">
        <v>731</v>
      </c>
      <c r="B146" s="71" t="s">
        <v>732</v>
      </c>
      <c r="C146" s="72">
        <v>1.4074627264E10</v>
      </c>
    </row>
    <row r="147" ht="15.75" customHeight="1">
      <c r="A147" s="71" t="s">
        <v>324</v>
      </c>
      <c r="B147" s="71" t="s">
        <v>733</v>
      </c>
      <c r="C147" s="72">
        <v>1.5742268013E10</v>
      </c>
    </row>
    <row r="148" ht="15.75" customHeight="1">
      <c r="A148" s="71" t="s">
        <v>118</v>
      </c>
      <c r="B148" s="76" t="s">
        <v>734</v>
      </c>
      <c r="C148" s="72">
        <v>1.8326335115E10</v>
      </c>
    </row>
    <row r="149" ht="15.75" customHeight="1">
      <c r="A149" s="71" t="s">
        <v>735</v>
      </c>
      <c r="B149" s="76" t="s">
        <v>736</v>
      </c>
      <c r="C149" s="72">
        <v>1.5129066371E10</v>
      </c>
    </row>
    <row r="150" ht="15.75" customHeight="1">
      <c r="A150" s="71" t="s">
        <v>326</v>
      </c>
      <c r="B150" s="76" t="s">
        <v>737</v>
      </c>
      <c r="C150" s="72">
        <v>1.5127887897E10</v>
      </c>
    </row>
    <row r="151" ht="15.75" customHeight="1">
      <c r="A151" s="71" t="s">
        <v>253</v>
      </c>
      <c r="B151" s="76" t="s">
        <v>738</v>
      </c>
      <c r="C151" s="72">
        <v>1.760851665E10</v>
      </c>
    </row>
    <row r="152" ht="15.75" customHeight="1">
      <c r="A152" s="71" t="s">
        <v>150</v>
      </c>
      <c r="B152" s="76" t="s">
        <v>739</v>
      </c>
      <c r="C152" s="72">
        <v>1.512379107E10</v>
      </c>
    </row>
    <row r="153" ht="15.75" customHeight="1">
      <c r="A153" s="71" t="s">
        <v>252</v>
      </c>
      <c r="B153" s="76" t="s">
        <v>740</v>
      </c>
      <c r="C153" s="72">
        <v>1.5124686475E10</v>
      </c>
    </row>
    <row r="154" ht="15.75" customHeight="1">
      <c r="A154" s="71" t="s">
        <v>254</v>
      </c>
      <c r="B154" s="76" t="s">
        <v>741</v>
      </c>
      <c r="C154" s="72">
        <v>1.9204896688E10</v>
      </c>
    </row>
    <row r="155" ht="15.75" customHeight="1">
      <c r="A155" s="71" t="s">
        <v>120</v>
      </c>
      <c r="B155" s="71" t="s">
        <v>742</v>
      </c>
      <c r="C155" s="72">
        <v>1.5125747085E10</v>
      </c>
    </row>
    <row r="156" ht="15.75" customHeight="1">
      <c r="A156" s="71" t="s">
        <v>255</v>
      </c>
      <c r="B156" s="71" t="s">
        <v>650</v>
      </c>
      <c r="C156" s="72">
        <v>1.512739931E10</v>
      </c>
    </row>
    <row r="157" ht="15.75" customHeight="1">
      <c r="A157" s="71" t="s">
        <v>327</v>
      </c>
      <c r="B157" s="71" t="s">
        <v>743</v>
      </c>
      <c r="C157" s="72">
        <v>1.6502136885E10</v>
      </c>
    </row>
    <row r="158" ht="15.75" customHeight="1">
      <c r="A158" s="71" t="s">
        <v>121</v>
      </c>
      <c r="B158" s="71" t="s">
        <v>744</v>
      </c>
      <c r="C158" s="72">
        <v>1.4348069086E10</v>
      </c>
    </row>
    <row r="159" ht="15.75" customHeight="1">
      <c r="A159" s="71" t="s">
        <v>123</v>
      </c>
      <c r="B159" s="71" t="s">
        <v>745</v>
      </c>
      <c r="C159" s="72">
        <v>1.7313347411E10</v>
      </c>
    </row>
    <row r="160" ht="15.75" customHeight="1">
      <c r="A160" s="71" t="s">
        <v>328</v>
      </c>
      <c r="B160" s="71" t="s">
        <v>746</v>
      </c>
      <c r="C160" s="72">
        <v>1.512969172E10</v>
      </c>
    </row>
    <row r="161" ht="15.75" customHeight="1">
      <c r="A161" s="71" t="s">
        <v>124</v>
      </c>
      <c r="B161" s="71" t="s">
        <v>747</v>
      </c>
      <c r="C161" s="72">
        <v>1.7379775508E10</v>
      </c>
    </row>
    <row r="162" ht="15.75" customHeight="1">
      <c r="A162" s="71" t="s">
        <v>122</v>
      </c>
      <c r="B162" s="76" t="s">
        <v>748</v>
      </c>
      <c r="C162" s="72">
        <v>1.6183830855E10</v>
      </c>
    </row>
    <row r="163" ht="15.75" customHeight="1">
      <c r="A163" s="71" t="s">
        <v>128</v>
      </c>
      <c r="B163" s="71" t="s">
        <v>749</v>
      </c>
      <c r="C163" s="72">
        <v>1.3617288757E10</v>
      </c>
    </row>
    <row r="164" ht="15.75" customHeight="1">
      <c r="A164" s="71" t="s">
        <v>133</v>
      </c>
      <c r="B164" s="71" t="s">
        <v>750</v>
      </c>
      <c r="C164" s="72">
        <v>1.2544213168E10</v>
      </c>
    </row>
    <row r="165" ht="15.75" customHeight="1">
      <c r="A165" s="71" t="s">
        <v>132</v>
      </c>
      <c r="B165" s="71" t="s">
        <v>751</v>
      </c>
      <c r="C165" s="72">
        <v>1.2818511461E10</v>
      </c>
    </row>
    <row r="166" ht="15.75" customHeight="1">
      <c r="A166" s="71" t="s">
        <v>126</v>
      </c>
      <c r="B166" s="71" t="s">
        <v>752</v>
      </c>
      <c r="C166" s="72">
        <v>1.8327668339E10</v>
      </c>
    </row>
    <row r="167" ht="15.75" customHeight="1">
      <c r="A167" s="71" t="s">
        <v>753</v>
      </c>
      <c r="B167" s="71" t="s">
        <v>754</v>
      </c>
      <c r="C167" s="72">
        <v>1.2522882683E10</v>
      </c>
    </row>
    <row r="168" ht="15.75" customHeight="1">
      <c r="A168" s="71" t="s">
        <v>134</v>
      </c>
      <c r="B168" s="71" t="s">
        <v>755</v>
      </c>
      <c r="C168" s="72">
        <v>1.5128222647E10</v>
      </c>
    </row>
    <row r="169" ht="15.75" customHeight="1">
      <c r="A169" s="71" t="s">
        <v>130</v>
      </c>
      <c r="B169" s="71" t="s">
        <v>756</v>
      </c>
      <c r="C169" s="72">
        <v>1.8322307866E10</v>
      </c>
    </row>
    <row r="170" ht="15.75" customHeight="1">
      <c r="A170" s="71" t="s">
        <v>129</v>
      </c>
      <c r="B170" s="71" t="s">
        <v>757</v>
      </c>
      <c r="C170" s="72">
        <v>1.8328678395E10</v>
      </c>
    </row>
    <row r="171" ht="15.75" customHeight="1">
      <c r="A171" s="71" t="s">
        <v>131</v>
      </c>
      <c r="B171" s="76" t="s">
        <v>758</v>
      </c>
      <c r="C171" s="72">
        <v>1.9407044414E10</v>
      </c>
    </row>
    <row r="172" ht="15.75" customHeight="1">
      <c r="A172" s="71" t="s">
        <v>125</v>
      </c>
      <c r="B172" s="71" t="s">
        <v>759</v>
      </c>
      <c r="C172" s="72">
        <v>1.9403903121E10</v>
      </c>
    </row>
    <row r="173" ht="15.75" customHeight="1">
      <c r="A173" s="71" t="s">
        <v>127</v>
      </c>
      <c r="B173" s="71" t="s">
        <v>760</v>
      </c>
      <c r="C173" s="72">
        <v>1.9197582272E10</v>
      </c>
    </row>
    <row r="174" ht="15.75" customHeight="1">
      <c r="A174" s="71" t="s">
        <v>329</v>
      </c>
      <c r="B174" s="75" t="s">
        <v>674</v>
      </c>
      <c r="C174" s="74" t="s">
        <v>674</v>
      </c>
    </row>
    <row r="175" ht="15.75" customHeight="1">
      <c r="A175" s="71" t="s">
        <v>137</v>
      </c>
      <c r="B175" s="71" t="s">
        <v>761</v>
      </c>
      <c r="C175" s="72">
        <v>1.9709486022E10</v>
      </c>
    </row>
    <row r="176" ht="15.75" customHeight="1">
      <c r="A176" s="71" t="s">
        <v>136</v>
      </c>
      <c r="B176" s="71" t="s">
        <v>762</v>
      </c>
      <c r="C176" s="72">
        <v>1.5128091138E10</v>
      </c>
    </row>
    <row r="177" ht="15.75" customHeight="1">
      <c r="A177" s="71" t="s">
        <v>138</v>
      </c>
      <c r="B177" s="71" t="s">
        <v>763</v>
      </c>
      <c r="C177" s="72">
        <v>1.7373891784E10</v>
      </c>
    </row>
    <row r="178" ht="15.75" customHeight="1">
      <c r="A178" s="71" t="s">
        <v>167</v>
      </c>
      <c r="B178" s="71"/>
      <c r="C178" s="74">
        <v>1.936346128E10</v>
      </c>
    </row>
    <row r="179" ht="15.75" customHeight="1">
      <c r="A179" s="71" t="s">
        <v>764</v>
      </c>
      <c r="B179" s="71" t="s">
        <v>765</v>
      </c>
      <c r="C179" s="72">
        <v>1.210464425E10</v>
      </c>
    </row>
    <row r="180" ht="15.75" customHeight="1">
      <c r="A180" s="71" t="s">
        <v>140</v>
      </c>
      <c r="B180" s="71" t="s">
        <v>766</v>
      </c>
      <c r="C180" s="72">
        <v>1.5127347434E10</v>
      </c>
    </row>
    <row r="181" ht="15.75" customHeight="1">
      <c r="A181" s="71" t="s">
        <v>141</v>
      </c>
      <c r="B181" s="71" t="s">
        <v>767</v>
      </c>
      <c r="C181" s="72">
        <v>1.3107172349E10</v>
      </c>
    </row>
    <row r="182" ht="15.75" customHeight="1">
      <c r="A182" s="71" t="s">
        <v>332</v>
      </c>
      <c r="B182" s="71" t="s">
        <v>768</v>
      </c>
      <c r="C182" s="72">
        <v>1.2022906461E10</v>
      </c>
    </row>
    <row r="183" ht="15.75" customHeight="1">
      <c r="A183" s="71" t="s">
        <v>139</v>
      </c>
      <c r="B183" s="71" t="s">
        <v>769</v>
      </c>
      <c r="C183" s="72">
        <v>1.5127884022E10</v>
      </c>
    </row>
    <row r="184" ht="15.75" customHeight="1">
      <c r="A184" s="71" t="s">
        <v>331</v>
      </c>
      <c r="B184" s="71" t="s">
        <v>770</v>
      </c>
      <c r="C184" s="72">
        <v>1.3058788911E10</v>
      </c>
    </row>
    <row r="185" ht="15.75" customHeight="1">
      <c r="A185" s="71" t="s">
        <v>334</v>
      </c>
      <c r="B185" s="71" t="s">
        <v>771</v>
      </c>
      <c r="C185" s="72">
        <v>1.5126957217E10</v>
      </c>
    </row>
    <row r="186" ht="15.75" customHeight="1">
      <c r="A186" s="71" t="s">
        <v>143</v>
      </c>
      <c r="B186" s="77" t="s">
        <v>772</v>
      </c>
      <c r="C186" s="72">
        <v>1.832289677E10</v>
      </c>
    </row>
    <row r="187" ht="15.75" customHeight="1">
      <c r="A187" s="71" t="s">
        <v>145</v>
      </c>
      <c r="B187" s="71" t="s">
        <v>773</v>
      </c>
      <c r="C187" s="72">
        <v>1.5122341587E10</v>
      </c>
    </row>
    <row r="188" ht="15.75" customHeight="1">
      <c r="A188" s="71" t="s">
        <v>144</v>
      </c>
      <c r="B188" s="71" t="s">
        <v>774</v>
      </c>
      <c r="C188" s="72">
        <v>1.5126980819E10</v>
      </c>
    </row>
    <row r="189" ht="15.75" customHeight="1">
      <c r="A189" s="71" t="s">
        <v>335</v>
      </c>
      <c r="B189" s="71" t="s">
        <v>775</v>
      </c>
      <c r="C189" s="72">
        <v>1.6823927358E10</v>
      </c>
    </row>
    <row r="190" ht="15.75" customHeight="1">
      <c r="A190" s="71" t="s">
        <v>776</v>
      </c>
      <c r="B190" s="71" t="s">
        <v>777</v>
      </c>
      <c r="C190" s="72">
        <v>1.5127390798E10</v>
      </c>
    </row>
    <row r="191" ht="15.75" customHeight="1">
      <c r="A191" s="71" t="s">
        <v>265</v>
      </c>
      <c r="B191" s="71" t="s">
        <v>778</v>
      </c>
      <c r="C191" s="72">
        <v>1.972975273E10</v>
      </c>
    </row>
    <row r="192" ht="15.75" customHeight="1">
      <c r="A192" s="71" t="s">
        <v>188</v>
      </c>
      <c r="B192" s="71" t="s">
        <v>779</v>
      </c>
      <c r="C192" s="72">
        <v>1.3368315262E10</v>
      </c>
    </row>
    <row r="193" ht="15.75" customHeight="1">
      <c r="A193" s="71" t="s">
        <v>460</v>
      </c>
      <c r="B193" s="71" t="s">
        <v>780</v>
      </c>
      <c r="C193" s="72">
        <v>1.5127345739E10</v>
      </c>
    </row>
    <row r="194" ht="15.75" customHeight="1">
      <c r="A194" s="71" t="s">
        <v>262</v>
      </c>
      <c r="B194" s="71" t="s">
        <v>781</v>
      </c>
      <c r="C194" s="72">
        <v>1.5756804796E10</v>
      </c>
    </row>
    <row r="195" ht="15.75" customHeight="1">
      <c r="A195" s="71" t="s">
        <v>149</v>
      </c>
      <c r="B195" s="71" t="s">
        <v>782</v>
      </c>
      <c r="C195" s="72">
        <v>1.6199202552E10</v>
      </c>
    </row>
    <row r="196" ht="15.75" customHeight="1">
      <c r="A196" s="71" t="s">
        <v>147</v>
      </c>
      <c r="B196" s="71" t="s">
        <v>783</v>
      </c>
      <c r="C196" s="72">
        <v>1.7372980882E10</v>
      </c>
    </row>
    <row r="197" ht="15.75" customHeight="1">
      <c r="A197" s="71" t="s">
        <v>148</v>
      </c>
      <c r="B197" s="71" t="s">
        <v>784</v>
      </c>
      <c r="C197" s="72">
        <v>1.8302218052E10</v>
      </c>
    </row>
    <row r="198" ht="15.75" customHeight="1">
      <c r="A198" s="71" t="s">
        <v>146</v>
      </c>
      <c r="B198" s="71" t="s">
        <v>785</v>
      </c>
      <c r="C198" s="72">
        <v>1.2102882134E10</v>
      </c>
    </row>
    <row r="199" ht="15.75" customHeight="1">
      <c r="A199" s="71" t="s">
        <v>269</v>
      </c>
      <c r="B199" s="71" t="s">
        <v>786</v>
      </c>
      <c r="C199" s="72">
        <v>1.7377420517E10</v>
      </c>
    </row>
    <row r="200" ht="15.75" customHeight="1">
      <c r="A200" s="71" t="s">
        <v>268</v>
      </c>
      <c r="B200" s="71" t="s">
        <v>787</v>
      </c>
      <c r="C200" s="72">
        <v>1.5124662753E10</v>
      </c>
    </row>
    <row r="201" ht="15.75" customHeight="1">
      <c r="A201" s="71" t="s">
        <v>788</v>
      </c>
      <c r="B201" s="71" t="s">
        <v>789</v>
      </c>
      <c r="C201" s="74">
        <v>1.5125501296E10</v>
      </c>
    </row>
    <row r="202" ht="15.75" customHeight="1">
      <c r="A202" s="71" t="s">
        <v>174</v>
      </c>
      <c r="B202" s="71" t="s">
        <v>790</v>
      </c>
      <c r="C202" s="74">
        <v>1.4127704457E10</v>
      </c>
    </row>
    <row r="203" ht="15.75" customHeight="1">
      <c r="A203" s="71" t="s">
        <v>270</v>
      </c>
      <c r="B203" s="71" t="s">
        <v>791</v>
      </c>
      <c r="C203" s="72">
        <v>1.5123045194E10</v>
      </c>
    </row>
    <row r="204" ht="15.75" customHeight="1">
      <c r="A204" s="71" t="s">
        <v>152</v>
      </c>
      <c r="B204" s="71" t="s">
        <v>792</v>
      </c>
      <c r="C204" s="72">
        <v>1.8155701294E10</v>
      </c>
    </row>
    <row r="205" ht="15.75" customHeight="1">
      <c r="A205" s="71" t="s">
        <v>793</v>
      </c>
      <c r="B205" s="71" t="s">
        <v>794</v>
      </c>
      <c r="C205" s="72">
        <v>1.860205978E10</v>
      </c>
    </row>
    <row r="206" ht="15.75" customHeight="1">
      <c r="A206" s="71" t="s">
        <v>271</v>
      </c>
      <c r="B206" s="71" t="s">
        <v>795</v>
      </c>
      <c r="C206" s="72">
        <v>1.5756805256E10</v>
      </c>
    </row>
    <row r="207" ht="15.75" customHeight="1">
      <c r="A207" s="71" t="s">
        <v>155</v>
      </c>
      <c r="B207" s="71" t="s">
        <v>796</v>
      </c>
      <c r="C207" s="78" t="s">
        <v>797</v>
      </c>
    </row>
    <row r="208" ht="15.75" customHeight="1">
      <c r="A208" s="71" t="s">
        <v>337</v>
      </c>
      <c r="B208" s="71" t="s">
        <v>798</v>
      </c>
      <c r="C208" s="78" t="s">
        <v>799</v>
      </c>
    </row>
    <row r="209" ht="15.75" customHeight="1">
      <c r="A209" s="71" t="s">
        <v>336</v>
      </c>
      <c r="B209" s="71" t="s">
        <v>800</v>
      </c>
      <c r="C209" s="78" t="s">
        <v>801</v>
      </c>
    </row>
    <row r="210" ht="15.75" customHeight="1">
      <c r="A210" s="71" t="s">
        <v>272</v>
      </c>
      <c r="B210" s="71" t="s">
        <v>802</v>
      </c>
      <c r="C210" s="78" t="s">
        <v>803</v>
      </c>
    </row>
    <row r="211" ht="15.75" customHeight="1">
      <c r="A211" s="71" t="s">
        <v>170</v>
      </c>
      <c r="B211" s="71" t="s">
        <v>804</v>
      </c>
      <c r="C211" s="78" t="s">
        <v>805</v>
      </c>
    </row>
    <row r="212" ht="15.75" customHeight="1">
      <c r="A212" s="71" t="s">
        <v>154</v>
      </c>
      <c r="B212" s="71" t="s">
        <v>806</v>
      </c>
      <c r="C212" s="78" t="s">
        <v>807</v>
      </c>
    </row>
    <row r="213" ht="15.75" customHeight="1">
      <c r="A213" s="71" t="s">
        <v>161</v>
      </c>
      <c r="B213" s="71" t="s">
        <v>808</v>
      </c>
      <c r="C213" s="78" t="s">
        <v>809</v>
      </c>
    </row>
    <row r="214" ht="15.75" customHeight="1">
      <c r="A214" s="71" t="s">
        <v>160</v>
      </c>
      <c r="B214" s="71" t="s">
        <v>810</v>
      </c>
      <c r="C214" s="78" t="s">
        <v>811</v>
      </c>
    </row>
    <row r="215" ht="15.75" customHeight="1">
      <c r="A215" s="71" t="s">
        <v>168</v>
      </c>
      <c r="B215" s="71" t="s">
        <v>812</v>
      </c>
      <c r="C215" s="78" t="s">
        <v>813</v>
      </c>
    </row>
    <row r="216" ht="15.75" customHeight="1">
      <c r="A216" s="71" t="s">
        <v>814</v>
      </c>
      <c r="B216" s="71" t="s">
        <v>815</v>
      </c>
      <c r="C216" s="78" t="s">
        <v>816</v>
      </c>
    </row>
    <row r="217" ht="15.75" customHeight="1">
      <c r="A217" s="71" t="s">
        <v>159</v>
      </c>
      <c r="B217" s="71" t="s">
        <v>817</v>
      </c>
      <c r="C217" s="78" t="s">
        <v>818</v>
      </c>
    </row>
    <row r="218" ht="15.75" customHeight="1">
      <c r="A218" s="71" t="s">
        <v>273</v>
      </c>
      <c r="B218" s="71" t="s">
        <v>819</v>
      </c>
      <c r="C218" s="78" t="s">
        <v>820</v>
      </c>
    </row>
    <row r="219" ht="15.75" customHeight="1">
      <c r="A219" s="71" t="s">
        <v>164</v>
      </c>
      <c r="B219" s="71" t="s">
        <v>821</v>
      </c>
      <c r="C219" s="78" t="s">
        <v>822</v>
      </c>
    </row>
    <row r="220" ht="15.75" customHeight="1">
      <c r="A220" s="71" t="s">
        <v>162</v>
      </c>
      <c r="B220" s="71" t="s">
        <v>823</v>
      </c>
      <c r="C220" s="78" t="s">
        <v>824</v>
      </c>
    </row>
    <row r="221" ht="15.75" customHeight="1">
      <c r="A221" s="71" t="s">
        <v>165</v>
      </c>
      <c r="B221" s="71" t="s">
        <v>825</v>
      </c>
      <c r="C221" s="78" t="s">
        <v>826</v>
      </c>
    </row>
    <row r="222" ht="15.75" customHeight="1">
      <c r="A222" s="71" t="s">
        <v>353</v>
      </c>
      <c r="B222" s="71" t="s">
        <v>827</v>
      </c>
      <c r="C222" s="78" t="s">
        <v>828</v>
      </c>
    </row>
    <row r="223" ht="15.75" customHeight="1">
      <c r="A223" s="71" t="s">
        <v>166</v>
      </c>
      <c r="B223" s="71" t="s">
        <v>829</v>
      </c>
      <c r="C223" s="78" t="s">
        <v>830</v>
      </c>
    </row>
    <row r="224" ht="15.75" customHeight="1">
      <c r="A224" s="71" t="s">
        <v>157</v>
      </c>
      <c r="B224" s="71" t="s">
        <v>831</v>
      </c>
      <c r="C224" s="78" t="s">
        <v>832</v>
      </c>
    </row>
    <row r="225" ht="15.75" customHeight="1">
      <c r="A225" s="71" t="s">
        <v>833</v>
      </c>
      <c r="B225" s="71" t="s">
        <v>834</v>
      </c>
      <c r="C225" s="72" t="s">
        <v>834</v>
      </c>
    </row>
    <row r="226" ht="15.75" customHeight="1">
      <c r="A226" s="71" t="s">
        <v>276</v>
      </c>
      <c r="B226" s="71" t="s">
        <v>835</v>
      </c>
      <c r="C226" s="78" t="s">
        <v>836</v>
      </c>
    </row>
    <row r="227" ht="15.75" customHeight="1">
      <c r="A227" s="71" t="s">
        <v>339</v>
      </c>
      <c r="B227" s="71" t="s">
        <v>837</v>
      </c>
      <c r="C227" s="78" t="s">
        <v>838</v>
      </c>
    </row>
    <row r="228" ht="15.75" customHeight="1">
      <c r="A228" s="71" t="s">
        <v>169</v>
      </c>
      <c r="B228" s="71" t="s">
        <v>839</v>
      </c>
      <c r="C228" s="78" t="s">
        <v>840</v>
      </c>
    </row>
    <row r="229" ht="15.75" customHeight="1">
      <c r="A229" s="71" t="s">
        <v>340</v>
      </c>
      <c r="B229" s="71" t="s">
        <v>841</v>
      </c>
      <c r="C229" s="78" t="s">
        <v>842</v>
      </c>
    </row>
    <row r="230" ht="15.75" customHeight="1">
      <c r="A230" s="71" t="s">
        <v>338</v>
      </c>
      <c r="B230" s="71" t="s">
        <v>843</v>
      </c>
      <c r="C230" s="78" t="s">
        <v>844</v>
      </c>
    </row>
    <row r="231" ht="15.75" customHeight="1">
      <c r="A231" s="71" t="s">
        <v>179</v>
      </c>
      <c r="B231" s="71" t="s">
        <v>845</v>
      </c>
      <c r="C231" s="78" t="s">
        <v>846</v>
      </c>
    </row>
    <row r="232" ht="15.75" customHeight="1">
      <c r="A232" s="71" t="s">
        <v>178</v>
      </c>
      <c r="B232" s="71" t="s">
        <v>847</v>
      </c>
      <c r="C232" s="78" t="s">
        <v>848</v>
      </c>
    </row>
    <row r="233" ht="15.75" customHeight="1">
      <c r="A233" s="71" t="s">
        <v>278</v>
      </c>
      <c r="B233" s="71" t="s">
        <v>849</v>
      </c>
      <c r="C233" s="78" t="s">
        <v>850</v>
      </c>
    </row>
    <row r="234" ht="15.75" customHeight="1">
      <c r="A234" s="71" t="s">
        <v>171</v>
      </c>
      <c r="B234" s="71" t="s">
        <v>851</v>
      </c>
      <c r="C234" s="78" t="s">
        <v>852</v>
      </c>
    </row>
    <row r="235" ht="15.75" customHeight="1">
      <c r="A235" s="71" t="s">
        <v>180</v>
      </c>
      <c r="B235" s="71" t="s">
        <v>853</v>
      </c>
      <c r="C235" s="78" t="s">
        <v>854</v>
      </c>
    </row>
    <row r="236" ht="15.75" customHeight="1">
      <c r="A236" s="71" t="s">
        <v>177</v>
      </c>
      <c r="B236" s="71" t="s">
        <v>855</v>
      </c>
      <c r="C236" s="78" t="s">
        <v>856</v>
      </c>
    </row>
    <row r="237" ht="15.75" customHeight="1">
      <c r="A237" s="71" t="s">
        <v>857</v>
      </c>
      <c r="B237" s="71" t="s">
        <v>858</v>
      </c>
      <c r="C237" s="78" t="s">
        <v>859</v>
      </c>
    </row>
    <row r="238" ht="15.75" customHeight="1">
      <c r="A238" s="71" t="s">
        <v>174</v>
      </c>
      <c r="B238" s="71" t="s">
        <v>790</v>
      </c>
      <c r="C238" s="78" t="s">
        <v>860</v>
      </c>
    </row>
    <row r="239" ht="15.75" customHeight="1">
      <c r="A239" s="71" t="s">
        <v>861</v>
      </c>
      <c r="B239" s="71" t="s">
        <v>862</v>
      </c>
      <c r="C239" s="78" t="s">
        <v>863</v>
      </c>
    </row>
    <row r="240" ht="15.75" customHeight="1">
      <c r="A240" s="71" t="s">
        <v>175</v>
      </c>
      <c r="B240" s="71" t="s">
        <v>864</v>
      </c>
      <c r="C240" s="78" t="s">
        <v>865</v>
      </c>
    </row>
    <row r="241" ht="15.75" customHeight="1">
      <c r="A241" s="71" t="s">
        <v>866</v>
      </c>
      <c r="B241" s="71" t="s">
        <v>867</v>
      </c>
      <c r="C241" s="78" t="s">
        <v>868</v>
      </c>
    </row>
    <row r="242" ht="15.75" customHeight="1">
      <c r="A242" s="71" t="s">
        <v>277</v>
      </c>
      <c r="B242" s="71" t="s">
        <v>869</v>
      </c>
      <c r="C242" s="78" t="s">
        <v>870</v>
      </c>
    </row>
    <row r="243" ht="15.75" customHeight="1">
      <c r="A243" s="71" t="s">
        <v>871</v>
      </c>
      <c r="B243" s="71" t="s">
        <v>872</v>
      </c>
      <c r="C243" s="78" t="s">
        <v>873</v>
      </c>
    </row>
    <row r="244" ht="15.75" customHeight="1">
      <c r="A244" s="71" t="s">
        <v>343</v>
      </c>
      <c r="B244" s="71" t="s">
        <v>874</v>
      </c>
      <c r="C244" s="78" t="s">
        <v>875</v>
      </c>
    </row>
    <row r="245" ht="15.75" customHeight="1">
      <c r="A245" s="71" t="s">
        <v>186</v>
      </c>
      <c r="B245" s="71" t="s">
        <v>876</v>
      </c>
      <c r="C245" s="78" t="s">
        <v>877</v>
      </c>
    </row>
    <row r="246" ht="15.75" customHeight="1">
      <c r="A246" s="71" t="s">
        <v>181</v>
      </c>
      <c r="B246" s="71" t="s">
        <v>878</v>
      </c>
      <c r="C246" s="78" t="s">
        <v>879</v>
      </c>
    </row>
    <row r="247" ht="15.75" customHeight="1">
      <c r="A247" s="71" t="s">
        <v>183</v>
      </c>
      <c r="B247" s="71" t="s">
        <v>880</v>
      </c>
      <c r="C247" s="78" t="s">
        <v>881</v>
      </c>
    </row>
    <row r="248" ht="15.75" customHeight="1">
      <c r="A248" s="71" t="s">
        <v>184</v>
      </c>
      <c r="B248" s="71" t="s">
        <v>882</v>
      </c>
      <c r="C248" s="78" t="s">
        <v>883</v>
      </c>
    </row>
    <row r="249" ht="15.75" customHeight="1">
      <c r="A249" s="71" t="s">
        <v>187</v>
      </c>
      <c r="B249" s="71" t="s">
        <v>884</v>
      </c>
      <c r="C249" s="78" t="s">
        <v>885</v>
      </c>
    </row>
    <row r="250" ht="15.75" customHeight="1">
      <c r="A250" s="71" t="s">
        <v>280</v>
      </c>
      <c r="B250" s="71" t="s">
        <v>886</v>
      </c>
      <c r="C250" s="78" t="s">
        <v>887</v>
      </c>
    </row>
    <row r="251" ht="15.75" customHeight="1">
      <c r="A251" s="71" t="s">
        <v>189</v>
      </c>
      <c r="B251" s="71" t="s">
        <v>888</v>
      </c>
      <c r="C251" s="78" t="s">
        <v>889</v>
      </c>
    </row>
    <row r="252" ht="15.75" customHeight="1">
      <c r="A252" s="71" t="s">
        <v>190</v>
      </c>
      <c r="B252" s="71" t="s">
        <v>674</v>
      </c>
      <c r="C252" s="74">
        <v>1.2198192003E10</v>
      </c>
    </row>
    <row r="253" ht="15.75" customHeight="1">
      <c r="A253" s="71" t="s">
        <v>890</v>
      </c>
      <c r="B253" s="71" t="s">
        <v>674</v>
      </c>
      <c r="C253" s="74">
        <v>1.512962559E10</v>
      </c>
    </row>
    <row r="254" ht="15.75" customHeight="1">
      <c r="A254" s="71" t="s">
        <v>185</v>
      </c>
      <c r="B254" s="71" t="s">
        <v>891</v>
      </c>
      <c r="C254" s="78" t="s">
        <v>892</v>
      </c>
    </row>
    <row r="255" ht="15.75" customHeight="1">
      <c r="A255" s="71" t="s">
        <v>281</v>
      </c>
      <c r="B255" s="71" t="s">
        <v>893</v>
      </c>
      <c r="C255" s="78" t="s">
        <v>894</v>
      </c>
    </row>
    <row r="256" ht="15.75" customHeight="1">
      <c r="A256" s="71" t="s">
        <v>342</v>
      </c>
      <c r="B256" s="71" t="s">
        <v>674</v>
      </c>
      <c r="C256" s="72" t="s">
        <v>674</v>
      </c>
    </row>
    <row r="257" ht="15.75" customHeight="1">
      <c r="A257" s="71" t="s">
        <v>345</v>
      </c>
      <c r="B257" s="71" t="s">
        <v>895</v>
      </c>
      <c r="C257" s="78" t="s">
        <v>896</v>
      </c>
    </row>
    <row r="258" ht="15.75" customHeight="1">
      <c r="A258" s="71" t="s">
        <v>199</v>
      </c>
      <c r="B258" s="71" t="s">
        <v>897</v>
      </c>
      <c r="C258" s="78" t="s">
        <v>898</v>
      </c>
    </row>
    <row r="259" ht="15.75" customHeight="1">
      <c r="A259" s="71" t="s">
        <v>193</v>
      </c>
      <c r="B259" s="71" t="s">
        <v>899</v>
      </c>
      <c r="C259" s="78" t="s">
        <v>900</v>
      </c>
    </row>
    <row r="260" ht="15.75" customHeight="1">
      <c r="A260" s="71" t="s">
        <v>599</v>
      </c>
      <c r="B260" s="71" t="s">
        <v>901</v>
      </c>
      <c r="C260" s="78" t="s">
        <v>902</v>
      </c>
    </row>
    <row r="261" ht="15.75" customHeight="1">
      <c r="A261" s="71" t="s">
        <v>283</v>
      </c>
      <c r="B261" s="71" t="s">
        <v>903</v>
      </c>
      <c r="C261" s="78" t="s">
        <v>904</v>
      </c>
    </row>
    <row r="262" ht="15.75" customHeight="1">
      <c r="A262" s="71" t="s">
        <v>289</v>
      </c>
      <c r="B262" s="71" t="s">
        <v>905</v>
      </c>
      <c r="C262" s="78" t="s">
        <v>906</v>
      </c>
    </row>
    <row r="263" ht="15.75" customHeight="1">
      <c r="A263" s="71" t="s">
        <v>587</v>
      </c>
      <c r="B263" s="71" t="s">
        <v>907</v>
      </c>
      <c r="C263" s="78" t="s">
        <v>908</v>
      </c>
    </row>
    <row r="264" ht="15.75" customHeight="1">
      <c r="A264" s="71" t="s">
        <v>909</v>
      </c>
      <c r="B264" s="71" t="s">
        <v>910</v>
      </c>
      <c r="C264" s="78" t="s">
        <v>911</v>
      </c>
    </row>
    <row r="265" ht="15.75" customHeight="1">
      <c r="A265" s="71" t="s">
        <v>285</v>
      </c>
      <c r="B265" s="71" t="s">
        <v>912</v>
      </c>
      <c r="C265" s="78" t="s">
        <v>913</v>
      </c>
    </row>
    <row r="266" ht="15.75" customHeight="1">
      <c r="A266" s="71" t="s">
        <v>191</v>
      </c>
      <c r="B266" s="71" t="s">
        <v>914</v>
      </c>
      <c r="C266" s="78" t="s">
        <v>915</v>
      </c>
    </row>
    <row r="267" ht="15.75" customHeight="1">
      <c r="A267" s="71" t="s">
        <v>916</v>
      </c>
      <c r="B267" s="71" t="s">
        <v>917</v>
      </c>
      <c r="C267" s="78" t="s">
        <v>918</v>
      </c>
    </row>
    <row r="268" ht="15.75" customHeight="1">
      <c r="A268" s="71" t="s">
        <v>919</v>
      </c>
      <c r="B268" s="71" t="s">
        <v>920</v>
      </c>
      <c r="C268" s="78" t="s">
        <v>921</v>
      </c>
    </row>
    <row r="269" ht="15.75" customHeight="1">
      <c r="A269" s="71" t="s">
        <v>196</v>
      </c>
      <c r="B269" s="71" t="s">
        <v>922</v>
      </c>
      <c r="C269" s="78" t="s">
        <v>923</v>
      </c>
    </row>
    <row r="270" ht="15.75" customHeight="1">
      <c r="A270" s="71" t="s">
        <v>198</v>
      </c>
      <c r="B270" s="71" t="s">
        <v>924</v>
      </c>
      <c r="C270" s="78" t="s">
        <v>925</v>
      </c>
    </row>
    <row r="271" ht="15.75" customHeight="1">
      <c r="A271" s="71" t="s">
        <v>195</v>
      </c>
      <c r="B271" s="71" t="s">
        <v>926</v>
      </c>
      <c r="C271" s="78" t="s">
        <v>927</v>
      </c>
    </row>
    <row r="272" ht="15.75" customHeight="1">
      <c r="A272" s="71" t="s">
        <v>194</v>
      </c>
      <c r="B272" s="71" t="s">
        <v>928</v>
      </c>
      <c r="C272" s="78" t="s">
        <v>929</v>
      </c>
    </row>
    <row r="273" ht="15.75" customHeight="1">
      <c r="A273" s="71" t="s">
        <v>284</v>
      </c>
      <c r="B273" s="71" t="s">
        <v>930</v>
      </c>
      <c r="C273" s="78" t="s">
        <v>931</v>
      </c>
    </row>
    <row r="274" ht="15.75" customHeight="1">
      <c r="A274" s="71" t="s">
        <v>287</v>
      </c>
      <c r="B274" s="71" t="s">
        <v>932</v>
      </c>
      <c r="C274" s="78" t="s">
        <v>933</v>
      </c>
    </row>
    <row r="275" ht="15.75" customHeight="1">
      <c r="A275" s="71" t="s">
        <v>282</v>
      </c>
      <c r="B275" s="71" t="s">
        <v>934</v>
      </c>
      <c r="C275" s="78" t="s">
        <v>935</v>
      </c>
    </row>
    <row r="276" ht="15.75" customHeight="1">
      <c r="A276" s="71" t="s">
        <v>286</v>
      </c>
      <c r="B276" s="71" t="s">
        <v>936</v>
      </c>
      <c r="C276" s="78" t="s">
        <v>937</v>
      </c>
    </row>
    <row r="277" ht="15.75" customHeight="1">
      <c r="A277" s="71" t="s">
        <v>288</v>
      </c>
      <c r="B277" s="71" t="s">
        <v>938</v>
      </c>
      <c r="C277" s="78" t="s">
        <v>939</v>
      </c>
    </row>
    <row r="278" ht="15.75" customHeight="1">
      <c r="A278" s="71" t="s">
        <v>200</v>
      </c>
      <c r="B278" s="71" t="s">
        <v>940</v>
      </c>
      <c r="C278" s="78" t="s">
        <v>941</v>
      </c>
    </row>
    <row r="279" ht="15.75" customHeight="1">
      <c r="A279" s="71" t="s">
        <v>201</v>
      </c>
      <c r="B279" s="71" t="s">
        <v>942</v>
      </c>
      <c r="C279" s="78" t="s">
        <v>943</v>
      </c>
    </row>
    <row r="280" ht="15.75" customHeight="1">
      <c r="A280" s="71" t="s">
        <v>347</v>
      </c>
      <c r="B280" s="71" t="s">
        <v>944</v>
      </c>
      <c r="C280" s="78" t="s">
        <v>945</v>
      </c>
    </row>
    <row r="281" ht="15.75" customHeight="1">
      <c r="A281" s="71" t="s">
        <v>206</v>
      </c>
      <c r="B281" s="71" t="s">
        <v>946</v>
      </c>
      <c r="C281" s="78" t="s">
        <v>947</v>
      </c>
    </row>
    <row r="282" ht="15.75" customHeight="1">
      <c r="A282" s="71" t="s">
        <v>948</v>
      </c>
      <c r="B282" s="71" t="s">
        <v>949</v>
      </c>
      <c r="C282" s="78" t="s">
        <v>950</v>
      </c>
    </row>
    <row r="283" ht="15.75" customHeight="1">
      <c r="A283" s="71" t="s">
        <v>204</v>
      </c>
      <c r="B283" s="71" t="s">
        <v>951</v>
      </c>
      <c r="C283" s="78" t="s">
        <v>952</v>
      </c>
    </row>
    <row r="284" ht="15.75" customHeight="1">
      <c r="A284" s="71" t="s">
        <v>202</v>
      </c>
      <c r="B284" s="71" t="s">
        <v>953</v>
      </c>
      <c r="C284" s="78" t="s">
        <v>954</v>
      </c>
    </row>
    <row r="285" ht="15.75" customHeight="1">
      <c r="A285" s="71" t="s">
        <v>203</v>
      </c>
      <c r="B285" s="71" t="s">
        <v>955</v>
      </c>
      <c r="C285" s="78" t="s">
        <v>956</v>
      </c>
    </row>
    <row r="286" ht="15.75" customHeight="1">
      <c r="A286" s="71" t="s">
        <v>292</v>
      </c>
      <c r="B286" s="71" t="s">
        <v>957</v>
      </c>
      <c r="C286" s="78" t="s">
        <v>958</v>
      </c>
    </row>
    <row r="287" ht="15.75" customHeight="1">
      <c r="A287" s="71" t="s">
        <v>291</v>
      </c>
      <c r="B287" s="71" t="s">
        <v>959</v>
      </c>
      <c r="C287" s="78" t="s">
        <v>960</v>
      </c>
    </row>
    <row r="288" ht="15.75" customHeight="1">
      <c r="A288" s="71" t="s">
        <v>293</v>
      </c>
      <c r="B288" s="71" t="s">
        <v>961</v>
      </c>
      <c r="C288" s="78" t="s">
        <v>962</v>
      </c>
    </row>
    <row r="289" ht="15.75" customHeight="1">
      <c r="A289" s="71" t="s">
        <v>296</v>
      </c>
      <c r="B289" s="71" t="s">
        <v>963</v>
      </c>
      <c r="C289" s="78" t="s">
        <v>964</v>
      </c>
    </row>
    <row r="290" ht="15.75" customHeight="1">
      <c r="A290" s="71" t="s">
        <v>350</v>
      </c>
      <c r="B290" s="71" t="s">
        <v>965</v>
      </c>
      <c r="C290" s="78" t="s">
        <v>966</v>
      </c>
    </row>
    <row r="291" ht="15.75" customHeight="1">
      <c r="A291" s="71" t="s">
        <v>294</v>
      </c>
      <c r="B291" s="71" t="s">
        <v>967</v>
      </c>
      <c r="C291" s="78" t="s">
        <v>968</v>
      </c>
    </row>
    <row r="292" ht="15.75" customHeight="1">
      <c r="A292" s="71" t="s">
        <v>349</v>
      </c>
      <c r="B292" s="71" t="s">
        <v>969</v>
      </c>
      <c r="C292" s="78" t="s">
        <v>970</v>
      </c>
    </row>
    <row r="293" ht="15.75" customHeight="1">
      <c r="A293" s="71" t="s">
        <v>211</v>
      </c>
      <c r="B293" s="71" t="s">
        <v>971</v>
      </c>
      <c r="C293" s="78" t="s">
        <v>972</v>
      </c>
    </row>
    <row r="294" ht="15.75" customHeight="1">
      <c r="A294" s="71" t="s">
        <v>973</v>
      </c>
      <c r="B294" s="71" t="s">
        <v>974</v>
      </c>
      <c r="C294" s="78" t="s">
        <v>975</v>
      </c>
    </row>
    <row r="295" ht="15.75" customHeight="1">
      <c r="A295" s="71" t="s">
        <v>216</v>
      </c>
      <c r="B295" s="71" t="s">
        <v>976</v>
      </c>
      <c r="C295" s="78" t="s">
        <v>977</v>
      </c>
    </row>
    <row r="296" ht="15.75" customHeight="1">
      <c r="A296" s="71" t="s">
        <v>207</v>
      </c>
      <c r="B296" s="71" t="s">
        <v>978</v>
      </c>
      <c r="C296" s="78" t="s">
        <v>979</v>
      </c>
    </row>
    <row r="297" ht="15.75" customHeight="1">
      <c r="A297" s="71" t="s">
        <v>210</v>
      </c>
      <c r="B297" s="71" t="s">
        <v>980</v>
      </c>
      <c r="C297" s="78" t="s">
        <v>981</v>
      </c>
    </row>
    <row r="298" ht="15.75" customHeight="1">
      <c r="A298" s="71" t="s">
        <v>352</v>
      </c>
      <c r="B298" s="71" t="s">
        <v>982</v>
      </c>
      <c r="C298" s="78" t="s">
        <v>983</v>
      </c>
    </row>
    <row r="299" ht="15.75" customHeight="1">
      <c r="A299" s="71" t="s">
        <v>300</v>
      </c>
      <c r="B299" s="71" t="s">
        <v>984</v>
      </c>
      <c r="C299" s="78" t="s">
        <v>985</v>
      </c>
    </row>
    <row r="300" ht="15.75" customHeight="1">
      <c r="A300" s="71" t="s">
        <v>354</v>
      </c>
      <c r="B300" s="71" t="s">
        <v>986</v>
      </c>
      <c r="C300" s="78" t="s">
        <v>987</v>
      </c>
    </row>
    <row r="301" ht="15.75" customHeight="1">
      <c r="A301" s="71" t="s">
        <v>300</v>
      </c>
      <c r="B301" s="71" t="s">
        <v>984</v>
      </c>
      <c r="C301" s="74">
        <v>1.7602290924E10</v>
      </c>
    </row>
    <row r="302" ht="15.75" customHeight="1">
      <c r="A302" s="71" t="s">
        <v>301</v>
      </c>
      <c r="B302" s="71" t="s">
        <v>988</v>
      </c>
      <c r="C302" s="74">
        <v>1.7204423811E10</v>
      </c>
    </row>
    <row r="303" ht="15.75" customHeight="1">
      <c r="A303" s="71" t="s">
        <v>989</v>
      </c>
      <c r="B303" s="71" t="s">
        <v>990</v>
      </c>
      <c r="C303" s="74">
        <v>1.5129992837E10</v>
      </c>
    </row>
    <row r="304" ht="15.75" customHeight="1">
      <c r="A304" s="71" t="s">
        <v>351</v>
      </c>
      <c r="B304" s="71" t="s">
        <v>991</v>
      </c>
      <c r="C304" s="74">
        <v>1.9092607081E10</v>
      </c>
    </row>
    <row r="305" ht="15.75" customHeight="1">
      <c r="A305" s="71" t="s">
        <v>992</v>
      </c>
      <c r="B305" s="71" t="s">
        <v>674</v>
      </c>
      <c r="C305" s="72" t="s">
        <v>674</v>
      </c>
    </row>
    <row r="306" ht="15.75" customHeight="1">
      <c r="A306" s="71" t="s">
        <v>298</v>
      </c>
      <c r="B306" s="71" t="s">
        <v>993</v>
      </c>
      <c r="C306" s="74">
        <v>1.5129148207E10</v>
      </c>
    </row>
    <row r="307" ht="15.75" customHeight="1">
      <c r="A307" s="71" t="s">
        <v>302</v>
      </c>
      <c r="B307" s="71" t="s">
        <v>994</v>
      </c>
      <c r="C307" s="78" t="s">
        <v>995</v>
      </c>
    </row>
    <row r="308" ht="15.75" customHeight="1">
      <c r="A308" s="71" t="s">
        <v>229</v>
      </c>
      <c r="B308" s="71" t="s">
        <v>996</v>
      </c>
      <c r="C308" s="78" t="s">
        <v>997</v>
      </c>
    </row>
    <row r="309" ht="15.75" customHeight="1">
      <c r="A309" s="71" t="s">
        <v>304</v>
      </c>
      <c r="B309" s="71"/>
      <c r="C309" s="72"/>
    </row>
    <row r="310" ht="15.75" customHeight="1">
      <c r="A310" s="71" t="s">
        <v>355</v>
      </c>
      <c r="B310" s="71"/>
      <c r="C310" s="72"/>
    </row>
    <row r="311" ht="15.75" customHeight="1">
      <c r="A311" s="71" t="s">
        <v>357</v>
      </c>
      <c r="B311" s="71"/>
      <c r="C311" s="74">
        <v>1.8327038014E10</v>
      </c>
    </row>
    <row r="312" ht="15.75" customHeight="1">
      <c r="A312" s="71" t="s">
        <v>218</v>
      </c>
      <c r="B312" s="71"/>
      <c r="C312" s="72"/>
    </row>
    <row r="313" ht="15.75" customHeight="1">
      <c r="A313" s="71" t="s">
        <v>215</v>
      </c>
      <c r="B313" s="71"/>
      <c r="C313" s="72"/>
    </row>
    <row r="314" ht="15.75" customHeight="1">
      <c r="A314" s="71" t="s">
        <v>213</v>
      </c>
      <c r="B314" s="71"/>
      <c r="C314" s="72"/>
    </row>
    <row r="315" ht="15.75" customHeight="1">
      <c r="A315" s="71" t="s">
        <v>998</v>
      </c>
      <c r="B315" s="71"/>
      <c r="C315" s="72"/>
    </row>
    <row r="316" ht="15.75" customHeight="1">
      <c r="A316" s="71" t="s">
        <v>303</v>
      </c>
      <c r="B316" s="71"/>
      <c r="C316" s="72"/>
    </row>
    <row r="317" ht="15.75" customHeight="1">
      <c r="A317" s="71" t="s">
        <v>217</v>
      </c>
      <c r="B317" s="71"/>
      <c r="C317" s="72"/>
    </row>
    <row r="318" ht="15.75" customHeight="1">
      <c r="A318" s="71" t="s">
        <v>356</v>
      </c>
      <c r="B318" s="71"/>
      <c r="C318" s="72"/>
    </row>
    <row r="319" ht="15.75" customHeight="1">
      <c r="A319" s="71" t="s">
        <v>220</v>
      </c>
      <c r="B319" s="71"/>
      <c r="C319" s="72"/>
    </row>
    <row r="320" ht="15.75" customHeight="1">
      <c r="A320" s="71" t="s">
        <v>219</v>
      </c>
      <c r="B320" s="71"/>
      <c r="C320" s="72"/>
    </row>
    <row r="321" ht="15.75" customHeight="1">
      <c r="A321" s="79" t="s">
        <v>359</v>
      </c>
      <c r="B321" s="80"/>
      <c r="C321" s="81"/>
    </row>
    <row r="322" ht="15.75" customHeight="1">
      <c r="A322" s="79" t="s">
        <v>221</v>
      </c>
      <c r="B322" s="80"/>
      <c r="C322" s="82">
        <v>1.9562510708E10</v>
      </c>
    </row>
    <row r="323" ht="15.75" customHeight="1">
      <c r="A323" s="79" t="s">
        <v>222</v>
      </c>
      <c r="B323" s="80"/>
      <c r="C323" s="81"/>
    </row>
    <row r="324" ht="15.75" customHeight="1">
      <c r="A324" s="79" t="s">
        <v>223</v>
      </c>
      <c r="B324" s="80"/>
      <c r="C324" s="81"/>
    </row>
    <row r="325" ht="15.75" customHeight="1">
      <c r="A325" s="79" t="s">
        <v>999</v>
      </c>
      <c r="B325" s="80"/>
      <c r="C325" s="81"/>
    </row>
    <row r="326" ht="15.75" customHeight="1">
      <c r="A326" s="79" t="s">
        <v>305</v>
      </c>
      <c r="B326" s="80"/>
      <c r="C326" s="81"/>
    </row>
    <row r="327" ht="15.75" customHeight="1">
      <c r="A327" s="79" t="s">
        <v>226</v>
      </c>
      <c r="B327" s="80"/>
      <c r="C327" s="82">
        <v>1.8587358134E10</v>
      </c>
    </row>
    <row r="328" ht="15.75" customHeight="1">
      <c r="A328" s="79" t="s">
        <v>228</v>
      </c>
      <c r="B328" s="80"/>
      <c r="C328" s="81"/>
    </row>
    <row r="329" ht="15.75" customHeight="1">
      <c r="A329" s="79" t="s">
        <v>227</v>
      </c>
      <c r="B329" s="80"/>
      <c r="C329" s="81"/>
    </row>
    <row r="330" ht="15.75" customHeight="1">
      <c r="A330" s="79" t="s">
        <v>225</v>
      </c>
      <c r="B330" s="80"/>
      <c r="C330" s="81"/>
    </row>
    <row r="331" ht="15.75" customHeight="1">
      <c r="A331" s="79" t="s">
        <v>224</v>
      </c>
      <c r="B331" s="80"/>
      <c r="C331" s="81"/>
    </row>
    <row r="332" ht="15.75" customHeight="1">
      <c r="A332" s="79" t="s">
        <v>306</v>
      </c>
      <c r="B332" s="80"/>
      <c r="C332" s="81"/>
    </row>
    <row r="333" ht="15.75" customHeight="1">
      <c r="A333" s="79" t="s">
        <v>234</v>
      </c>
      <c r="B333" s="80"/>
      <c r="C333" s="82">
        <v>1.5755208317E10</v>
      </c>
    </row>
    <row r="334" ht="15.75" customHeight="1">
      <c r="A334" s="79" t="s">
        <v>361</v>
      </c>
      <c r="B334" s="80"/>
      <c r="C334" s="81"/>
    </row>
    <row r="335" ht="15.75" customHeight="1">
      <c r="A335" s="79" t="s">
        <v>360</v>
      </c>
      <c r="B335" s="80"/>
      <c r="C335" s="81"/>
    </row>
    <row r="336" ht="15.75" customHeight="1">
      <c r="A336" s="79" t="s">
        <v>233</v>
      </c>
      <c r="B336" s="80"/>
      <c r="C336" s="81"/>
    </row>
    <row r="337" ht="15.75" customHeight="1">
      <c r="A337" s="79" t="s">
        <v>232</v>
      </c>
      <c r="B337" s="80"/>
      <c r="C337" s="81"/>
    </row>
    <row r="338" ht="15.75" customHeight="1">
      <c r="A338" s="79" t="s">
        <v>230</v>
      </c>
      <c r="B338" s="80"/>
      <c r="C338" s="81"/>
    </row>
    <row r="339" ht="15.75" customHeight="1">
      <c r="A339" s="79" t="s">
        <v>231</v>
      </c>
      <c r="B339" s="80"/>
      <c r="C339" s="81"/>
    </row>
    <row r="340" ht="15.75" customHeight="1">
      <c r="A340" s="79" t="s">
        <v>307</v>
      </c>
      <c r="B340" s="80"/>
      <c r="C340" s="81"/>
    </row>
    <row r="341" ht="15.75" customHeight="1">
      <c r="A341" s="79" t="s">
        <v>308</v>
      </c>
      <c r="B341" s="80"/>
      <c r="C341" s="81"/>
    </row>
    <row r="342" ht="15.75" customHeight="1">
      <c r="A342" s="79" t="s">
        <v>309</v>
      </c>
      <c r="B342" s="80"/>
      <c r="C342" s="81"/>
    </row>
    <row r="343" ht="15.75" customHeight="1">
      <c r="A343" s="79" t="s">
        <v>364</v>
      </c>
      <c r="B343" s="80"/>
      <c r="C343" s="81"/>
    </row>
    <row r="344" ht="15.75" customHeight="1">
      <c r="A344" s="79" t="s">
        <v>490</v>
      </c>
      <c r="B344" s="80"/>
      <c r="C344" s="81"/>
    </row>
    <row r="345" ht="15.75" customHeight="1">
      <c r="A345" s="79" t="s">
        <v>491</v>
      </c>
      <c r="B345" s="80"/>
      <c r="C345" s="81"/>
    </row>
    <row r="346" ht="15.75" customHeight="1">
      <c r="A346" s="79" t="s">
        <v>461</v>
      </c>
      <c r="B346" s="80"/>
      <c r="C346" s="81"/>
    </row>
    <row r="347" ht="15.75" customHeight="1">
      <c r="A347" s="79" t="s">
        <v>363</v>
      </c>
      <c r="B347" s="80"/>
      <c r="C347" s="81"/>
    </row>
    <row r="348" ht="15.75" customHeight="1">
      <c r="A348" s="79" t="s">
        <v>365</v>
      </c>
      <c r="B348" s="80"/>
      <c r="C348" s="81"/>
    </row>
    <row r="349" ht="15.75" customHeight="1">
      <c r="A349" s="79" t="s">
        <v>366</v>
      </c>
      <c r="B349" s="80"/>
      <c r="C349" s="81"/>
    </row>
    <row r="350" ht="15.75" customHeight="1">
      <c r="A350" s="79" t="s">
        <v>367</v>
      </c>
      <c r="B350" s="80"/>
      <c r="C350" s="81"/>
    </row>
    <row r="351" ht="15.75" customHeight="1">
      <c r="A351" s="79" t="s">
        <v>368</v>
      </c>
      <c r="B351" s="79"/>
      <c r="C351" s="81"/>
    </row>
    <row r="352" ht="15.75" customHeight="1">
      <c r="A352" s="79" t="s">
        <v>492</v>
      </c>
      <c r="B352" s="79"/>
      <c r="C352" s="81"/>
    </row>
    <row r="353" ht="15.75" customHeight="1">
      <c r="A353" s="79" t="s">
        <v>369</v>
      </c>
      <c r="B353" s="79"/>
      <c r="C353" s="81"/>
    </row>
    <row r="354" ht="15.75" customHeight="1">
      <c r="A354" s="79" t="s">
        <v>371</v>
      </c>
      <c r="B354" s="79"/>
      <c r="C354" s="81"/>
    </row>
    <row r="355" ht="15.75" customHeight="1">
      <c r="A355" s="79" t="s">
        <v>372</v>
      </c>
      <c r="B355" s="79"/>
      <c r="C355" s="81"/>
    </row>
    <row r="356" ht="15.75" customHeight="1">
      <c r="A356" s="40" t="s">
        <v>493</v>
      </c>
      <c r="B356" s="79"/>
      <c r="C356" s="81"/>
    </row>
    <row r="357" ht="15.75" customHeight="1">
      <c r="A357" s="30" t="s">
        <v>462</v>
      </c>
      <c r="B357" s="83"/>
      <c r="C357" s="81"/>
    </row>
    <row r="358" ht="15.75" customHeight="1">
      <c r="A358" s="24" t="s">
        <v>373</v>
      </c>
      <c r="B358" s="83"/>
      <c r="C358" s="81"/>
    </row>
    <row r="359" ht="15.75" customHeight="1">
      <c r="A359" s="24" t="s">
        <v>374</v>
      </c>
      <c r="B359" s="83"/>
      <c r="C359" s="81"/>
    </row>
    <row r="360" ht="15.75" customHeight="1">
      <c r="A360" s="24" t="s">
        <v>375</v>
      </c>
      <c r="B360" s="83"/>
      <c r="C360" s="81"/>
    </row>
    <row r="361" ht="15.75" customHeight="1">
      <c r="A361" s="24" t="s">
        <v>376</v>
      </c>
      <c r="B361" s="83"/>
      <c r="C361" s="81"/>
    </row>
    <row r="362" ht="15.75" customHeight="1">
      <c r="A362" s="84" t="s">
        <v>389</v>
      </c>
      <c r="B362" s="83"/>
      <c r="C362" s="81"/>
    </row>
    <row r="363" ht="15.75" customHeight="1">
      <c r="A363" s="85" t="s">
        <v>1000</v>
      </c>
      <c r="B363" s="83"/>
      <c r="C363" s="81"/>
    </row>
    <row r="364" ht="15.75" customHeight="1">
      <c r="A364" s="85" t="s">
        <v>495</v>
      </c>
      <c r="B364" s="83"/>
      <c r="C364" s="81"/>
    </row>
    <row r="365" ht="15.75" customHeight="1">
      <c r="A365" s="85" t="s">
        <v>378</v>
      </c>
      <c r="B365" s="83"/>
      <c r="C365" s="81"/>
    </row>
    <row r="366" ht="15.75" customHeight="1">
      <c r="A366" s="85" t="s">
        <v>380</v>
      </c>
      <c r="B366" s="83"/>
      <c r="C366" s="81"/>
    </row>
    <row r="367" ht="15.75" customHeight="1">
      <c r="A367" s="85" t="s">
        <v>379</v>
      </c>
      <c r="B367" s="83"/>
      <c r="C367" s="81"/>
    </row>
    <row r="368" ht="15.75" customHeight="1">
      <c r="A368" s="39" t="s">
        <v>496</v>
      </c>
      <c r="B368" s="83"/>
      <c r="C368" s="81"/>
    </row>
    <row r="369" ht="15.75" customHeight="1">
      <c r="A369" s="39" t="s">
        <v>454</v>
      </c>
      <c r="B369" s="83"/>
      <c r="C369" s="81"/>
    </row>
    <row r="370" ht="15.75" customHeight="1">
      <c r="A370" s="23" t="s">
        <v>381</v>
      </c>
      <c r="B370" s="83"/>
      <c r="C370" s="81"/>
    </row>
    <row r="371" ht="15.75" customHeight="1">
      <c r="A371" s="23" t="s">
        <v>382</v>
      </c>
      <c r="B371" s="83"/>
      <c r="C371" s="81"/>
    </row>
    <row r="372" ht="15.75" customHeight="1">
      <c r="A372" s="23" t="s">
        <v>383</v>
      </c>
      <c r="B372" s="83"/>
      <c r="C372" s="81"/>
    </row>
    <row r="373" ht="15.75" customHeight="1">
      <c r="A373" s="23" t="s">
        <v>384</v>
      </c>
      <c r="B373" s="83"/>
      <c r="C373" s="81"/>
    </row>
    <row r="374" ht="15.75" customHeight="1">
      <c r="A374" s="23" t="s">
        <v>385</v>
      </c>
      <c r="B374" s="83"/>
      <c r="C374" s="81"/>
    </row>
    <row r="375" ht="15.75" customHeight="1">
      <c r="A375" s="39" t="s">
        <v>497</v>
      </c>
      <c r="B375" s="83"/>
      <c r="C375" s="81"/>
    </row>
    <row r="376" ht="15.75" customHeight="1">
      <c r="A376" s="39" t="s">
        <v>392</v>
      </c>
      <c r="B376" s="83"/>
      <c r="C376" s="81"/>
    </row>
    <row r="377" ht="15.75" customHeight="1">
      <c r="A377" s="39" t="s">
        <v>498</v>
      </c>
      <c r="B377" s="83"/>
      <c r="C377" s="81"/>
    </row>
    <row r="378" ht="15.75" customHeight="1">
      <c r="A378" s="23" t="s">
        <v>386</v>
      </c>
      <c r="B378" s="83"/>
      <c r="C378" s="81"/>
    </row>
    <row r="379" ht="15.75" customHeight="1">
      <c r="A379" s="23" t="s">
        <v>387</v>
      </c>
      <c r="B379" s="83"/>
      <c r="C379" s="81"/>
    </row>
    <row r="380" ht="15.75" customHeight="1">
      <c r="A380" s="23" t="s">
        <v>388</v>
      </c>
      <c r="B380" s="83"/>
      <c r="C380" s="81"/>
    </row>
    <row r="381" ht="15.75" customHeight="1">
      <c r="A381" s="12" t="s">
        <v>463</v>
      </c>
      <c r="B381" s="83"/>
      <c r="C381" s="81"/>
    </row>
    <row r="382" ht="15.75" customHeight="1">
      <c r="A382" s="12" t="s">
        <v>464</v>
      </c>
      <c r="B382" s="83"/>
      <c r="C382" s="81"/>
    </row>
    <row r="383" ht="15.75" customHeight="1">
      <c r="A383" s="12" t="s">
        <v>465</v>
      </c>
      <c r="B383" s="83"/>
      <c r="C383" s="81"/>
    </row>
    <row r="384" ht="15.75" customHeight="1">
      <c r="A384" s="12" t="s">
        <v>466</v>
      </c>
      <c r="B384" s="83"/>
      <c r="C384" s="81"/>
    </row>
    <row r="385" ht="15.75" customHeight="1">
      <c r="A385" s="23" t="s">
        <v>390</v>
      </c>
      <c r="B385" s="83"/>
      <c r="C385" s="81"/>
    </row>
    <row r="386" ht="15.75" customHeight="1">
      <c r="A386" s="23" t="s">
        <v>391</v>
      </c>
      <c r="B386" s="83"/>
      <c r="C386" s="81"/>
    </row>
    <row r="387" ht="15.75" customHeight="1">
      <c r="A387" s="23" t="s">
        <v>393</v>
      </c>
      <c r="B387" s="83"/>
      <c r="C387" s="81"/>
    </row>
    <row r="388" ht="15.75" customHeight="1">
      <c r="A388" s="23" t="s">
        <v>394</v>
      </c>
      <c r="B388" s="83"/>
      <c r="C388" s="81"/>
    </row>
    <row r="389" ht="15.75" customHeight="1">
      <c r="A389" s="23" t="s">
        <v>395</v>
      </c>
      <c r="B389" s="83"/>
      <c r="C389" s="81"/>
    </row>
    <row r="390" ht="15.75" customHeight="1">
      <c r="A390" s="23" t="s">
        <v>396</v>
      </c>
      <c r="B390" s="83"/>
      <c r="C390" s="81"/>
    </row>
    <row r="391" ht="15.75" customHeight="1">
      <c r="A391" s="23" t="s">
        <v>397</v>
      </c>
      <c r="B391" s="83"/>
      <c r="C391" s="81"/>
    </row>
    <row r="392" ht="15.75" customHeight="1">
      <c r="A392" s="12" t="s">
        <v>467</v>
      </c>
      <c r="B392" s="83"/>
      <c r="C392" s="81"/>
    </row>
    <row r="393" ht="15.75" customHeight="1">
      <c r="A393" s="12" t="s">
        <v>468</v>
      </c>
      <c r="B393" s="83"/>
      <c r="C393" s="81"/>
    </row>
    <row r="394" ht="15.75" customHeight="1">
      <c r="A394" s="12" t="s">
        <v>423</v>
      </c>
      <c r="B394" s="83"/>
      <c r="C394" s="81"/>
    </row>
    <row r="395" ht="15.75" customHeight="1">
      <c r="A395" s="12" t="s">
        <v>422</v>
      </c>
      <c r="B395" s="83"/>
      <c r="C395" s="81"/>
    </row>
    <row r="396" ht="15.75" customHeight="1">
      <c r="A396" s="23" t="s">
        <v>398</v>
      </c>
      <c r="B396" s="83"/>
      <c r="C396" s="81"/>
    </row>
    <row r="397" ht="15.75" customHeight="1">
      <c r="A397" s="23" t="s">
        <v>399</v>
      </c>
      <c r="B397" s="83"/>
      <c r="C397" s="81"/>
    </row>
    <row r="398" ht="15.75" customHeight="1">
      <c r="A398" s="23" t="s">
        <v>400</v>
      </c>
      <c r="B398" s="83"/>
      <c r="C398" s="81"/>
    </row>
    <row r="399" ht="15.75" customHeight="1">
      <c r="A399" s="23" t="s">
        <v>401</v>
      </c>
      <c r="B399" s="83"/>
      <c r="C399" s="81"/>
    </row>
    <row r="400" ht="15.75" customHeight="1">
      <c r="A400" s="23" t="s">
        <v>402</v>
      </c>
      <c r="B400" s="83"/>
      <c r="C400" s="81"/>
    </row>
    <row r="401" ht="15.75" customHeight="1">
      <c r="A401" s="23" t="s">
        <v>403</v>
      </c>
      <c r="B401" s="83"/>
      <c r="C401" s="81"/>
    </row>
    <row r="402" ht="15.75" customHeight="1">
      <c r="A402" s="23" t="s">
        <v>404</v>
      </c>
      <c r="B402" s="83"/>
      <c r="C402" s="81"/>
    </row>
    <row r="403" ht="15.75" customHeight="1">
      <c r="A403" s="23" t="s">
        <v>405</v>
      </c>
      <c r="B403" s="83"/>
      <c r="C403" s="81"/>
    </row>
    <row r="404" ht="15.75" customHeight="1">
      <c r="A404" s="23" t="s">
        <v>406</v>
      </c>
      <c r="B404" s="83"/>
      <c r="C404" s="81"/>
    </row>
    <row r="405" ht="15.75" customHeight="1">
      <c r="A405" s="23" t="s">
        <v>407</v>
      </c>
      <c r="B405" s="83"/>
      <c r="C405" s="81"/>
    </row>
    <row r="406" ht="15.75" customHeight="1">
      <c r="A406" s="23" t="s">
        <v>408</v>
      </c>
      <c r="B406" s="83"/>
      <c r="C406" s="81"/>
    </row>
    <row r="407" ht="15.75" customHeight="1">
      <c r="A407" s="23" t="s">
        <v>409</v>
      </c>
      <c r="B407" s="83"/>
      <c r="C407" s="81"/>
    </row>
    <row r="408" ht="15.75" customHeight="1">
      <c r="A408" s="23" t="s">
        <v>410</v>
      </c>
      <c r="B408" s="83"/>
      <c r="C408" s="81"/>
    </row>
    <row r="409" ht="15.75" customHeight="1">
      <c r="A409" s="23" t="s">
        <v>411</v>
      </c>
      <c r="B409" s="83"/>
      <c r="C409" s="81"/>
    </row>
    <row r="410" ht="15.75" customHeight="1">
      <c r="A410" s="23" t="s">
        <v>412</v>
      </c>
      <c r="B410" s="83"/>
      <c r="C410" s="81"/>
    </row>
    <row r="411" ht="15.75" customHeight="1">
      <c r="A411" s="23" t="s">
        <v>413</v>
      </c>
      <c r="B411" s="83"/>
      <c r="C411" s="81"/>
    </row>
    <row r="412" ht="15.75" customHeight="1">
      <c r="A412" s="23" t="s">
        <v>414</v>
      </c>
      <c r="B412" s="83"/>
      <c r="C412" s="81"/>
    </row>
    <row r="413" ht="15.75" customHeight="1">
      <c r="A413" s="23" t="s">
        <v>415</v>
      </c>
      <c r="B413" s="83"/>
      <c r="C413" s="81"/>
    </row>
    <row r="414" ht="15.75" customHeight="1">
      <c r="A414" s="23" t="s">
        <v>416</v>
      </c>
      <c r="B414" s="83"/>
      <c r="C414" s="81"/>
    </row>
    <row r="415" ht="15.75" customHeight="1">
      <c r="A415" s="39" t="s">
        <v>430</v>
      </c>
      <c r="B415" s="83"/>
      <c r="C415" s="81"/>
    </row>
    <row r="416" ht="15.75" customHeight="1">
      <c r="A416" s="39" t="s">
        <v>499</v>
      </c>
      <c r="B416" s="83"/>
      <c r="C416" s="81"/>
    </row>
    <row r="417" ht="15.75" customHeight="1">
      <c r="A417" s="39" t="s">
        <v>500</v>
      </c>
      <c r="B417" s="83"/>
      <c r="C417" s="81"/>
    </row>
    <row r="418" ht="15.75" customHeight="1">
      <c r="A418" s="39" t="s">
        <v>407</v>
      </c>
      <c r="B418" s="83"/>
      <c r="C418" s="81"/>
    </row>
    <row r="419" ht="15.75" customHeight="1">
      <c r="A419" s="39" t="s">
        <v>473</v>
      </c>
      <c r="B419" s="83"/>
      <c r="C419" s="81"/>
    </row>
    <row r="420" ht="15.75" customHeight="1">
      <c r="A420" s="12" t="s">
        <v>428</v>
      </c>
      <c r="B420" s="83"/>
      <c r="C420" s="81"/>
    </row>
    <row r="421" ht="15.75" customHeight="1">
      <c r="A421" s="12" t="s">
        <v>469</v>
      </c>
      <c r="B421" s="83"/>
      <c r="C421" s="81"/>
    </row>
    <row r="422" ht="15.75" customHeight="1">
      <c r="A422" s="24" t="s">
        <v>418</v>
      </c>
      <c r="B422" s="83"/>
      <c r="C422" s="81"/>
    </row>
    <row r="423" ht="15.75" customHeight="1">
      <c r="A423" s="24" t="s">
        <v>419</v>
      </c>
      <c r="B423" s="83"/>
      <c r="C423" s="81"/>
    </row>
    <row r="424" ht="15.75" customHeight="1">
      <c r="A424" s="24" t="s">
        <v>420</v>
      </c>
      <c r="B424" s="83"/>
      <c r="C424" s="81"/>
    </row>
    <row r="425" ht="15.75" customHeight="1">
      <c r="A425" s="24" t="s">
        <v>421</v>
      </c>
      <c r="B425" s="83"/>
      <c r="C425" s="81"/>
    </row>
    <row r="426" ht="15.75" customHeight="1">
      <c r="A426" s="24" t="s">
        <v>424</v>
      </c>
      <c r="B426" s="83"/>
      <c r="C426" s="81"/>
    </row>
    <row r="427" ht="15.75" customHeight="1">
      <c r="A427" s="24" t="s">
        <v>425</v>
      </c>
      <c r="B427" s="83"/>
      <c r="C427" s="81"/>
    </row>
    <row r="428" ht="15.75" customHeight="1">
      <c r="A428" s="24" t="s">
        <v>426</v>
      </c>
      <c r="B428" s="83"/>
      <c r="C428" s="81"/>
    </row>
    <row r="429" ht="15.75" customHeight="1">
      <c r="A429" s="24" t="s">
        <v>427</v>
      </c>
      <c r="B429" s="83"/>
      <c r="C429" s="81"/>
    </row>
    <row r="430" ht="15.75" customHeight="1">
      <c r="A430" s="24" t="s">
        <v>428</v>
      </c>
      <c r="B430" s="83"/>
      <c r="C430" s="81"/>
    </row>
    <row r="431" ht="15.75" customHeight="1">
      <c r="A431" s="24" t="s">
        <v>429</v>
      </c>
      <c r="B431" s="83"/>
      <c r="C431" s="81"/>
    </row>
    <row r="432" ht="15.75" customHeight="1">
      <c r="A432" s="39" t="s">
        <v>501</v>
      </c>
      <c r="B432" s="83"/>
      <c r="C432" s="81"/>
    </row>
    <row r="433" ht="15.75" customHeight="1">
      <c r="A433" s="39" t="s">
        <v>431</v>
      </c>
      <c r="B433" s="83"/>
      <c r="C433" s="81"/>
    </row>
    <row r="434" ht="15.75" customHeight="1">
      <c r="A434" s="39" t="s">
        <v>502</v>
      </c>
      <c r="B434" s="83"/>
      <c r="C434" s="81"/>
    </row>
    <row r="435" ht="15.75" customHeight="1">
      <c r="A435" s="12" t="s">
        <v>470</v>
      </c>
      <c r="B435" s="83"/>
      <c r="C435" s="81"/>
    </row>
    <row r="436" ht="15.75" customHeight="1">
      <c r="A436" s="12" t="s">
        <v>471</v>
      </c>
      <c r="B436" s="83"/>
      <c r="C436" s="81"/>
    </row>
    <row r="437" ht="15.75" customHeight="1">
      <c r="A437" s="12" t="s">
        <v>472</v>
      </c>
      <c r="B437" s="83"/>
      <c r="C437" s="81"/>
    </row>
    <row r="438" ht="15.75" customHeight="1">
      <c r="A438" s="23" t="s">
        <v>432</v>
      </c>
      <c r="B438" s="83"/>
      <c r="C438" s="81"/>
    </row>
    <row r="439" ht="15.75" customHeight="1">
      <c r="A439" s="23" t="s">
        <v>433</v>
      </c>
      <c r="B439" s="83"/>
      <c r="C439" s="81"/>
    </row>
    <row r="440" ht="15.75" customHeight="1">
      <c r="A440" s="23" t="s">
        <v>434</v>
      </c>
      <c r="B440" s="83"/>
      <c r="C440" s="81"/>
    </row>
    <row r="441" ht="15.75" customHeight="1">
      <c r="A441" s="23" t="s">
        <v>435</v>
      </c>
      <c r="B441" s="83"/>
      <c r="C441" s="81"/>
    </row>
    <row r="442" ht="15.75" customHeight="1">
      <c r="A442" s="12" t="s">
        <v>474</v>
      </c>
      <c r="B442" s="83"/>
      <c r="C442" s="81"/>
    </row>
    <row r="443" ht="15.75" customHeight="1">
      <c r="A443" s="39" t="s">
        <v>503</v>
      </c>
      <c r="B443" s="83"/>
      <c r="C443" s="81"/>
    </row>
    <row r="444" ht="15.75" customHeight="1">
      <c r="A444" s="39" t="s">
        <v>504</v>
      </c>
      <c r="B444" s="83"/>
      <c r="C444" s="81"/>
    </row>
    <row r="445" ht="15.75" customHeight="1">
      <c r="A445" s="39" t="s">
        <v>505</v>
      </c>
      <c r="B445" s="83"/>
      <c r="C445" s="81"/>
    </row>
    <row r="446" ht="15.75" customHeight="1">
      <c r="A446" s="39" t="s">
        <v>506</v>
      </c>
      <c r="B446" s="83"/>
      <c r="C446" s="81"/>
    </row>
    <row r="447" ht="15.75" customHeight="1">
      <c r="A447" s="23" t="s">
        <v>437</v>
      </c>
      <c r="B447" s="83"/>
      <c r="C447" s="81"/>
    </row>
    <row r="448" ht="15.75" customHeight="1">
      <c r="A448" s="23" t="s">
        <v>438</v>
      </c>
      <c r="B448" s="83"/>
      <c r="C448" s="81"/>
    </row>
    <row r="449" ht="15.75" customHeight="1">
      <c r="A449" s="23" t="s">
        <v>439</v>
      </c>
      <c r="B449" s="83"/>
      <c r="C449" s="81"/>
    </row>
    <row r="450" ht="15.75" customHeight="1">
      <c r="A450" s="39" t="s">
        <v>507</v>
      </c>
      <c r="B450" s="83"/>
      <c r="C450" s="81"/>
    </row>
    <row r="451" ht="15.75" customHeight="1">
      <c r="A451" s="39" t="s">
        <v>508</v>
      </c>
      <c r="B451" s="83"/>
      <c r="C451" s="81"/>
    </row>
    <row r="452" ht="15.75" customHeight="1">
      <c r="A452" s="39" t="s">
        <v>509</v>
      </c>
      <c r="B452" s="83"/>
      <c r="C452" s="81"/>
    </row>
    <row r="453" ht="15.75" customHeight="1">
      <c r="A453" s="39" t="s">
        <v>510</v>
      </c>
      <c r="B453" s="83"/>
      <c r="C453" s="81"/>
    </row>
    <row r="454" ht="15.75" customHeight="1">
      <c r="A454" s="39" t="s">
        <v>511</v>
      </c>
      <c r="B454" s="83"/>
      <c r="C454" s="81"/>
    </row>
    <row r="455" ht="15.75" customHeight="1">
      <c r="A455" s="23" t="s">
        <v>440</v>
      </c>
      <c r="B455" s="83"/>
      <c r="C455" s="81"/>
    </row>
    <row r="456" ht="15.75" customHeight="1">
      <c r="A456" s="23" t="s">
        <v>441</v>
      </c>
      <c r="B456" s="83"/>
      <c r="C456" s="81"/>
    </row>
    <row r="457" ht="15.75" customHeight="1">
      <c r="A457" s="39" t="s">
        <v>512</v>
      </c>
      <c r="B457" s="83"/>
      <c r="C457" s="81"/>
    </row>
    <row r="458" ht="15.75" customHeight="1">
      <c r="A458" s="23" t="s">
        <v>442</v>
      </c>
      <c r="B458" s="83"/>
      <c r="C458" s="81"/>
    </row>
    <row r="459" ht="15.75" customHeight="1">
      <c r="A459" s="23" t="s">
        <v>443</v>
      </c>
      <c r="B459" s="83"/>
      <c r="C459" s="81"/>
    </row>
    <row r="460" ht="15.75" customHeight="1">
      <c r="A460" s="23" t="s">
        <v>444</v>
      </c>
      <c r="B460" s="83"/>
      <c r="C460" s="81"/>
    </row>
    <row r="461" ht="15.75" customHeight="1">
      <c r="A461" s="23" t="s">
        <v>445</v>
      </c>
      <c r="B461" s="83"/>
      <c r="C461" s="81"/>
    </row>
    <row r="462" ht="15.75" customHeight="1">
      <c r="A462" s="12" t="s">
        <v>475</v>
      </c>
      <c r="B462" s="83"/>
      <c r="C462" s="81"/>
    </row>
    <row r="463" ht="15.75" customHeight="1">
      <c r="A463" s="12" t="s">
        <v>476</v>
      </c>
      <c r="B463" s="83"/>
      <c r="C463" s="81"/>
    </row>
    <row r="464" ht="15.75" customHeight="1">
      <c r="A464" s="12" t="s">
        <v>477</v>
      </c>
      <c r="B464" s="83"/>
      <c r="C464" s="81"/>
    </row>
    <row r="465" ht="15.75" customHeight="1">
      <c r="A465" s="12" t="s">
        <v>478</v>
      </c>
      <c r="B465" s="83"/>
      <c r="C465" s="81"/>
    </row>
    <row r="466" ht="15.75" customHeight="1">
      <c r="A466" s="12" t="s">
        <v>479</v>
      </c>
      <c r="B466" s="83"/>
      <c r="C466" s="81"/>
    </row>
    <row r="467" ht="15.75" customHeight="1">
      <c r="A467" s="12" t="s">
        <v>480</v>
      </c>
      <c r="B467" s="83"/>
      <c r="C467" s="81"/>
    </row>
    <row r="468" ht="15.75" customHeight="1">
      <c r="A468" s="84" t="s">
        <v>601</v>
      </c>
      <c r="B468" s="83"/>
      <c r="C468" s="81"/>
    </row>
    <row r="469" ht="15.75" customHeight="1">
      <c r="A469" s="23" t="s">
        <v>449</v>
      </c>
      <c r="B469" s="83"/>
      <c r="C469" s="81"/>
    </row>
    <row r="470" ht="15.75" customHeight="1">
      <c r="A470" s="23" t="s">
        <v>450</v>
      </c>
      <c r="B470" s="83"/>
      <c r="C470" s="81"/>
    </row>
    <row r="471" ht="15.75" customHeight="1">
      <c r="A471" s="23" t="s">
        <v>451</v>
      </c>
      <c r="B471" s="83"/>
      <c r="C471" s="81"/>
    </row>
    <row r="472" ht="15.75" customHeight="1">
      <c r="A472" s="23" t="s">
        <v>452</v>
      </c>
      <c r="B472" s="83"/>
      <c r="C472" s="81"/>
    </row>
    <row r="473" ht="15.75" customHeight="1">
      <c r="A473" s="23" t="s">
        <v>453</v>
      </c>
      <c r="B473" s="83"/>
      <c r="C473" s="81"/>
    </row>
    <row r="474" ht="15.75" customHeight="1">
      <c r="A474" s="23" t="s">
        <v>454</v>
      </c>
      <c r="B474" s="83"/>
      <c r="C474" s="81"/>
    </row>
    <row r="475" ht="15.75" customHeight="1">
      <c r="A475" s="23" t="s">
        <v>455</v>
      </c>
      <c r="B475" s="83"/>
      <c r="C475" s="81"/>
    </row>
    <row r="476" ht="15.75" customHeight="1">
      <c r="A476" s="39" t="s">
        <v>513</v>
      </c>
      <c r="B476" s="83"/>
      <c r="C476" s="81"/>
    </row>
    <row r="477" ht="15.75" customHeight="1">
      <c r="A477" s="39" t="s">
        <v>514</v>
      </c>
      <c r="B477" s="83"/>
      <c r="C477" s="81"/>
    </row>
    <row r="478" ht="15.75" customHeight="1">
      <c r="A478" s="12" t="s">
        <v>481</v>
      </c>
      <c r="B478" s="83"/>
      <c r="C478" s="81"/>
    </row>
    <row r="479" ht="15.75" customHeight="1">
      <c r="A479" s="39" t="s">
        <v>515</v>
      </c>
      <c r="B479" s="83"/>
      <c r="C479" s="81"/>
    </row>
    <row r="480" ht="15.75" customHeight="1">
      <c r="A480" s="39" t="s">
        <v>459</v>
      </c>
      <c r="B480" s="83"/>
      <c r="C480" s="81"/>
    </row>
    <row r="481" ht="15.75" customHeight="1">
      <c r="A481" s="23" t="s">
        <v>456</v>
      </c>
      <c r="B481" s="83"/>
      <c r="C481" s="81"/>
    </row>
    <row r="482" ht="15.75" customHeight="1">
      <c r="A482" s="23" t="s">
        <v>457</v>
      </c>
      <c r="B482" s="83"/>
      <c r="C482" s="81"/>
    </row>
    <row r="483" ht="15.75" customHeight="1">
      <c r="A483" s="23" t="s">
        <v>458</v>
      </c>
      <c r="B483" s="83"/>
      <c r="C483" s="81"/>
    </row>
    <row r="484" ht="15.75" customHeight="1">
      <c r="C484" s="86"/>
    </row>
    <row r="485" ht="15.75" customHeight="1">
      <c r="C485" s="86"/>
    </row>
    <row r="486" ht="15.75" customHeight="1">
      <c r="C486" s="86"/>
    </row>
    <row r="487" ht="15.75" customHeight="1">
      <c r="C487" s="86"/>
    </row>
    <row r="488" ht="15.75" customHeight="1">
      <c r="C488" s="86"/>
    </row>
    <row r="489" ht="15.75" customHeight="1">
      <c r="C489" s="86"/>
    </row>
    <row r="490" ht="15.75" customHeight="1">
      <c r="C490" s="86"/>
    </row>
    <row r="491" ht="15.75" customHeight="1">
      <c r="C491" s="86"/>
    </row>
    <row r="492" ht="15.75" customHeight="1">
      <c r="C492" s="86"/>
    </row>
    <row r="493" ht="15.75" customHeight="1">
      <c r="C493" s="86"/>
    </row>
    <row r="494" ht="15.75" customHeight="1">
      <c r="C494" s="86"/>
    </row>
    <row r="495" ht="15.75" customHeight="1">
      <c r="C495" s="86"/>
    </row>
    <row r="496" ht="15.75" customHeight="1">
      <c r="C496" s="86"/>
    </row>
    <row r="497" ht="15.75" customHeight="1">
      <c r="C497" s="86"/>
    </row>
    <row r="498" ht="15.75" customHeight="1">
      <c r="C498" s="86"/>
    </row>
    <row r="499" ht="15.75" customHeight="1">
      <c r="C499" s="86"/>
    </row>
    <row r="500" ht="15.75" customHeight="1">
      <c r="C500" s="86"/>
    </row>
    <row r="501" ht="15.75" customHeight="1">
      <c r="C501" s="86"/>
    </row>
    <row r="502" ht="15.75" customHeight="1">
      <c r="C502" s="86"/>
    </row>
    <row r="503" ht="15.75" customHeight="1">
      <c r="C503" s="86"/>
    </row>
    <row r="504" ht="15.75" customHeight="1">
      <c r="C504" s="86"/>
    </row>
    <row r="505" ht="15.75" customHeight="1">
      <c r="C505" s="86"/>
    </row>
    <row r="506" ht="15.75" customHeight="1">
      <c r="C506" s="86"/>
    </row>
    <row r="507" ht="15.75" customHeight="1">
      <c r="C507" s="86"/>
    </row>
    <row r="508" ht="15.75" customHeight="1">
      <c r="C508" s="86"/>
    </row>
    <row r="509" ht="15.75" customHeight="1">
      <c r="C509" s="86"/>
    </row>
    <row r="510" ht="15.75" customHeight="1">
      <c r="C510" s="86"/>
    </row>
    <row r="511" ht="15.75" customHeight="1">
      <c r="C511" s="86"/>
    </row>
    <row r="512" ht="15.75" customHeight="1">
      <c r="C512" s="86"/>
    </row>
    <row r="513" ht="15.75" customHeight="1">
      <c r="C513" s="86"/>
    </row>
    <row r="514" ht="15.75" customHeight="1">
      <c r="C514" s="86"/>
    </row>
    <row r="515" ht="15.75" customHeight="1">
      <c r="C515" s="86"/>
    </row>
    <row r="516" ht="15.75" customHeight="1">
      <c r="C516" s="86"/>
    </row>
    <row r="517" ht="15.75" customHeight="1">
      <c r="C517" s="86"/>
    </row>
    <row r="518" ht="15.75" customHeight="1">
      <c r="C518" s="86"/>
    </row>
    <row r="519" ht="15.75" customHeight="1">
      <c r="C519" s="86"/>
    </row>
    <row r="520" ht="15.75" customHeight="1">
      <c r="C520" s="86"/>
    </row>
    <row r="521" ht="15.75" customHeight="1">
      <c r="C521" s="86"/>
    </row>
    <row r="522" ht="15.75" customHeight="1">
      <c r="C522" s="86"/>
    </row>
    <row r="523" ht="15.75" customHeight="1">
      <c r="C523" s="86"/>
    </row>
    <row r="524" ht="15.75" customHeight="1">
      <c r="C524" s="86"/>
    </row>
    <row r="525" ht="15.75" customHeight="1">
      <c r="C525" s="86"/>
    </row>
    <row r="526" ht="15.75" customHeight="1">
      <c r="C526" s="86"/>
    </row>
    <row r="527" ht="15.75" customHeight="1">
      <c r="C527" s="86"/>
    </row>
    <row r="528" ht="15.75" customHeight="1">
      <c r="C528" s="86"/>
    </row>
    <row r="529" ht="15.75" customHeight="1">
      <c r="C529" s="86"/>
    </row>
    <row r="530" ht="15.75" customHeight="1">
      <c r="C530" s="86"/>
    </row>
    <row r="531" ht="15.75" customHeight="1">
      <c r="C531" s="86"/>
    </row>
    <row r="532" ht="15.75" customHeight="1">
      <c r="C532" s="86"/>
    </row>
    <row r="533" ht="15.75" customHeight="1">
      <c r="C533" s="86"/>
    </row>
    <row r="534" ht="15.75" customHeight="1">
      <c r="C534" s="86"/>
    </row>
    <row r="535" ht="15.75" customHeight="1">
      <c r="C535" s="86"/>
    </row>
    <row r="536" ht="15.75" customHeight="1">
      <c r="C536" s="86"/>
    </row>
    <row r="537" ht="15.75" customHeight="1">
      <c r="C537" s="86"/>
    </row>
    <row r="538" ht="15.75" customHeight="1">
      <c r="C538" s="86"/>
    </row>
    <row r="539" ht="15.75" customHeight="1">
      <c r="C539" s="86"/>
    </row>
    <row r="540" ht="15.75" customHeight="1">
      <c r="C540" s="86"/>
    </row>
    <row r="541" ht="15.75" customHeight="1">
      <c r="C541" s="86"/>
    </row>
    <row r="542" ht="15.75" customHeight="1">
      <c r="C542" s="86"/>
    </row>
    <row r="543" ht="15.75" customHeight="1">
      <c r="C543" s="86"/>
    </row>
    <row r="544" ht="15.75" customHeight="1">
      <c r="C544" s="86"/>
    </row>
    <row r="545" ht="15.75" customHeight="1">
      <c r="C545" s="86"/>
    </row>
    <row r="546" ht="15.75" customHeight="1">
      <c r="C546" s="86"/>
    </row>
    <row r="547" ht="15.75" customHeight="1">
      <c r="C547" s="86"/>
    </row>
    <row r="548" ht="15.75" customHeight="1">
      <c r="C548" s="86"/>
    </row>
    <row r="549" ht="15.75" customHeight="1">
      <c r="C549" s="86"/>
    </row>
    <row r="550" ht="15.75" customHeight="1">
      <c r="C550" s="86"/>
    </row>
    <row r="551" ht="15.75" customHeight="1">
      <c r="C551" s="86"/>
    </row>
    <row r="552" ht="15.75" customHeight="1">
      <c r="C552" s="86"/>
    </row>
    <row r="553" ht="15.75" customHeight="1">
      <c r="C553" s="86"/>
    </row>
    <row r="554" ht="15.75" customHeight="1">
      <c r="C554" s="86"/>
    </row>
    <row r="555" ht="15.75" customHeight="1">
      <c r="C555" s="86"/>
    </row>
    <row r="556" ht="15.75" customHeight="1">
      <c r="C556" s="86"/>
    </row>
    <row r="557" ht="15.75" customHeight="1">
      <c r="C557" s="86"/>
    </row>
    <row r="558" ht="15.75" customHeight="1">
      <c r="C558" s="86"/>
    </row>
    <row r="559" ht="15.75" customHeight="1">
      <c r="C559" s="86"/>
    </row>
    <row r="560" ht="15.75" customHeight="1">
      <c r="C560" s="86"/>
    </row>
    <row r="561" ht="15.75" customHeight="1">
      <c r="C561" s="86"/>
    </row>
    <row r="562" ht="15.75" customHeight="1">
      <c r="C562" s="86"/>
    </row>
    <row r="563" ht="15.75" customHeight="1">
      <c r="C563" s="86"/>
    </row>
    <row r="564" ht="15.75" customHeight="1">
      <c r="C564" s="86"/>
    </row>
    <row r="565" ht="15.75" customHeight="1">
      <c r="C565" s="86"/>
    </row>
    <row r="566" ht="15.75" customHeight="1">
      <c r="C566" s="86"/>
    </row>
    <row r="567" ht="15.75" customHeight="1">
      <c r="C567" s="86"/>
    </row>
    <row r="568" ht="15.75" customHeight="1">
      <c r="C568" s="86"/>
    </row>
    <row r="569" ht="15.75" customHeight="1">
      <c r="C569" s="86"/>
    </row>
    <row r="570" ht="15.75" customHeight="1">
      <c r="C570" s="86"/>
    </row>
    <row r="571" ht="15.75" customHeight="1">
      <c r="C571" s="86"/>
    </row>
    <row r="572" ht="15.75" customHeight="1">
      <c r="C572" s="86"/>
    </row>
    <row r="573" ht="15.75" customHeight="1">
      <c r="C573" s="86"/>
    </row>
    <row r="574" ht="15.75" customHeight="1">
      <c r="C574" s="86"/>
    </row>
    <row r="575" ht="15.75" customHeight="1">
      <c r="C575" s="86"/>
    </row>
    <row r="576" ht="15.75" customHeight="1">
      <c r="C576" s="86"/>
    </row>
    <row r="577" ht="15.75" customHeight="1">
      <c r="C577" s="86"/>
    </row>
    <row r="578" ht="15.75" customHeight="1">
      <c r="C578" s="86"/>
    </row>
    <row r="579" ht="15.75" customHeight="1">
      <c r="C579" s="86"/>
    </row>
    <row r="580" ht="15.75" customHeight="1">
      <c r="C580" s="86"/>
    </row>
    <row r="581" ht="15.75" customHeight="1">
      <c r="C581" s="86"/>
    </row>
    <row r="582" ht="15.75" customHeight="1">
      <c r="C582" s="86"/>
    </row>
    <row r="583" ht="15.75" customHeight="1">
      <c r="C583" s="86"/>
    </row>
    <row r="584" ht="15.75" customHeight="1">
      <c r="C584" s="86"/>
    </row>
    <row r="585" ht="15.75" customHeight="1">
      <c r="C585" s="86"/>
    </row>
    <row r="586" ht="15.75" customHeight="1">
      <c r="C586" s="86"/>
    </row>
    <row r="587" ht="15.75" customHeight="1">
      <c r="C587" s="86"/>
    </row>
    <row r="588" ht="15.75" customHeight="1">
      <c r="C588" s="86"/>
    </row>
    <row r="589" ht="15.75" customHeight="1">
      <c r="C589" s="86"/>
    </row>
    <row r="590" ht="15.75" customHeight="1">
      <c r="C590" s="86"/>
    </row>
    <row r="591" ht="15.75" customHeight="1">
      <c r="C591" s="86"/>
    </row>
    <row r="592" ht="15.75" customHeight="1">
      <c r="C592" s="86"/>
    </row>
    <row r="593" ht="15.75" customHeight="1">
      <c r="C593" s="86"/>
    </row>
    <row r="594" ht="15.75" customHeight="1">
      <c r="C594" s="86"/>
    </row>
    <row r="595" ht="15.75" customHeight="1">
      <c r="C595" s="86"/>
    </row>
    <row r="596" ht="15.75" customHeight="1">
      <c r="C596" s="86"/>
    </row>
    <row r="597" ht="15.75" customHeight="1">
      <c r="C597" s="86"/>
    </row>
    <row r="598" ht="15.75" customHeight="1">
      <c r="C598" s="86"/>
    </row>
    <row r="599" ht="15.75" customHeight="1">
      <c r="C599" s="86"/>
    </row>
    <row r="600" ht="15.75" customHeight="1">
      <c r="C600" s="86"/>
    </row>
    <row r="601" ht="15.75" customHeight="1">
      <c r="C601" s="86"/>
    </row>
    <row r="602" ht="15.75" customHeight="1">
      <c r="C602" s="86"/>
    </row>
    <row r="603" ht="15.75" customHeight="1">
      <c r="C603" s="86"/>
    </row>
    <row r="604" ht="15.75" customHeight="1">
      <c r="C604" s="86"/>
    </row>
    <row r="605" ht="15.75" customHeight="1">
      <c r="C605" s="86"/>
    </row>
    <row r="606" ht="15.75" customHeight="1">
      <c r="C606" s="86"/>
    </row>
    <row r="607" ht="15.75" customHeight="1">
      <c r="C607" s="86"/>
    </row>
    <row r="608" ht="15.75" customHeight="1">
      <c r="C608" s="86"/>
    </row>
    <row r="609" ht="15.75" customHeight="1">
      <c r="C609" s="86"/>
    </row>
    <row r="610" ht="15.75" customHeight="1">
      <c r="C610" s="86"/>
    </row>
    <row r="611" ht="15.75" customHeight="1">
      <c r="C611" s="86"/>
    </row>
    <row r="612" ht="15.75" customHeight="1">
      <c r="C612" s="86"/>
    </row>
    <row r="613" ht="15.75" customHeight="1">
      <c r="C613" s="86"/>
    </row>
    <row r="614" ht="15.75" customHeight="1">
      <c r="C614" s="86"/>
    </row>
    <row r="615" ht="15.75" customHeight="1">
      <c r="C615" s="86"/>
    </row>
    <row r="616" ht="15.75" customHeight="1">
      <c r="C616" s="86"/>
    </row>
    <row r="617" ht="15.75" customHeight="1">
      <c r="C617" s="86"/>
    </row>
    <row r="618" ht="15.75" customHeight="1">
      <c r="C618" s="86"/>
    </row>
    <row r="619" ht="15.75" customHeight="1">
      <c r="C619" s="86"/>
    </row>
    <row r="620" ht="15.75" customHeight="1">
      <c r="C620" s="86"/>
    </row>
    <row r="621" ht="15.75" customHeight="1">
      <c r="C621" s="86"/>
    </row>
    <row r="622" ht="15.75" customHeight="1">
      <c r="C622" s="86"/>
    </row>
    <row r="623" ht="15.75" customHeight="1">
      <c r="C623" s="86"/>
    </row>
    <row r="624" ht="15.75" customHeight="1">
      <c r="C624" s="86"/>
    </row>
    <row r="625" ht="15.75" customHeight="1">
      <c r="C625" s="86"/>
    </row>
    <row r="626" ht="15.75" customHeight="1">
      <c r="C626" s="86"/>
    </row>
    <row r="627" ht="15.75" customHeight="1">
      <c r="C627" s="86"/>
    </row>
    <row r="628" ht="15.75" customHeight="1">
      <c r="C628" s="86"/>
    </row>
    <row r="629" ht="15.75" customHeight="1">
      <c r="C629" s="86"/>
    </row>
    <row r="630" ht="15.75" customHeight="1">
      <c r="C630" s="86"/>
    </row>
    <row r="631" ht="15.75" customHeight="1">
      <c r="C631" s="86"/>
    </row>
    <row r="632" ht="15.75" customHeight="1">
      <c r="C632" s="86"/>
    </row>
    <row r="633" ht="15.75" customHeight="1">
      <c r="C633" s="86"/>
    </row>
    <row r="634" ht="15.75" customHeight="1">
      <c r="C634" s="86"/>
    </row>
    <row r="635" ht="15.75" customHeight="1">
      <c r="C635" s="86"/>
    </row>
    <row r="636" ht="15.75" customHeight="1">
      <c r="C636" s="86"/>
    </row>
    <row r="637" ht="15.75" customHeight="1">
      <c r="C637" s="86"/>
    </row>
    <row r="638" ht="15.75" customHeight="1">
      <c r="C638" s="86"/>
    </row>
    <row r="639" ht="15.75" customHeight="1">
      <c r="C639" s="86"/>
    </row>
    <row r="640" ht="15.75" customHeight="1">
      <c r="C640" s="86"/>
    </row>
    <row r="641" ht="15.75" customHeight="1">
      <c r="C641" s="86"/>
    </row>
    <row r="642" ht="15.75" customHeight="1">
      <c r="C642" s="86"/>
    </row>
    <row r="643" ht="15.75" customHeight="1">
      <c r="C643" s="86"/>
    </row>
    <row r="644" ht="15.75" customHeight="1">
      <c r="C644" s="86"/>
    </row>
    <row r="645" ht="15.75" customHeight="1">
      <c r="C645" s="86"/>
    </row>
    <row r="646" ht="15.75" customHeight="1">
      <c r="C646" s="86"/>
    </row>
    <row r="647" ht="15.75" customHeight="1">
      <c r="C647" s="86"/>
    </row>
    <row r="648" ht="15.75" customHeight="1">
      <c r="C648" s="86"/>
    </row>
    <row r="649" ht="15.75" customHeight="1">
      <c r="C649" s="86"/>
    </row>
    <row r="650" ht="15.75" customHeight="1">
      <c r="C650" s="86"/>
    </row>
    <row r="651" ht="15.75" customHeight="1">
      <c r="C651" s="86"/>
    </row>
    <row r="652" ht="15.75" customHeight="1">
      <c r="C652" s="86"/>
    </row>
    <row r="653" ht="15.75" customHeight="1">
      <c r="C653" s="86"/>
    </row>
    <row r="654" ht="15.75" customHeight="1">
      <c r="C654" s="86"/>
    </row>
    <row r="655" ht="15.75" customHeight="1">
      <c r="C655" s="86"/>
    </row>
    <row r="656" ht="15.75" customHeight="1">
      <c r="C656" s="86"/>
    </row>
    <row r="657" ht="15.75" customHeight="1">
      <c r="C657" s="86"/>
    </row>
    <row r="658" ht="15.75" customHeight="1">
      <c r="C658" s="86"/>
    </row>
    <row r="659" ht="15.75" customHeight="1">
      <c r="C659" s="86"/>
    </row>
    <row r="660" ht="15.75" customHeight="1">
      <c r="C660" s="86"/>
    </row>
    <row r="661" ht="15.75" customHeight="1">
      <c r="C661" s="86"/>
    </row>
    <row r="662" ht="15.75" customHeight="1">
      <c r="C662" s="86"/>
    </row>
    <row r="663" ht="15.75" customHeight="1">
      <c r="C663" s="86"/>
    </row>
    <row r="664" ht="15.75" customHeight="1">
      <c r="C664" s="86"/>
    </row>
    <row r="665" ht="15.75" customHeight="1">
      <c r="C665" s="86"/>
    </row>
    <row r="666" ht="15.75" customHeight="1">
      <c r="C666" s="86"/>
    </row>
    <row r="667" ht="15.75" customHeight="1">
      <c r="C667" s="86"/>
    </row>
    <row r="668" ht="15.75" customHeight="1">
      <c r="C668" s="86"/>
    </row>
    <row r="669" ht="15.75" customHeight="1">
      <c r="C669" s="86"/>
    </row>
    <row r="670" ht="15.75" customHeight="1">
      <c r="C670" s="86"/>
    </row>
    <row r="671" ht="15.75" customHeight="1">
      <c r="C671" s="86"/>
    </row>
    <row r="672" ht="15.75" customHeight="1">
      <c r="C672" s="86"/>
    </row>
    <row r="673" ht="15.75" customHeight="1">
      <c r="C673" s="86"/>
    </row>
    <row r="674" ht="15.75" customHeight="1">
      <c r="C674" s="86"/>
    </row>
    <row r="675" ht="15.75" customHeight="1">
      <c r="C675" s="86"/>
    </row>
    <row r="676" ht="15.75" customHeight="1">
      <c r="C676" s="86"/>
    </row>
    <row r="677" ht="15.75" customHeight="1">
      <c r="C677" s="86"/>
    </row>
    <row r="678" ht="15.75" customHeight="1">
      <c r="C678" s="86"/>
    </row>
    <row r="679" ht="15.75" customHeight="1">
      <c r="C679" s="86"/>
    </row>
    <row r="680" ht="15.75" customHeight="1">
      <c r="C680" s="86"/>
    </row>
    <row r="681" ht="15.75" customHeight="1">
      <c r="C681" s="86"/>
    </row>
    <row r="682" ht="15.75" customHeight="1">
      <c r="C682" s="86"/>
    </row>
    <row r="683" ht="15.75" customHeight="1">
      <c r="C683" s="86"/>
    </row>
    <row r="684" ht="15.75" customHeight="1">
      <c r="C684" s="86"/>
    </row>
    <row r="685" ht="15.75" customHeight="1">
      <c r="C685" s="86"/>
    </row>
    <row r="686" ht="15.75" customHeight="1">
      <c r="C686" s="86"/>
    </row>
    <row r="687" ht="15.75" customHeight="1">
      <c r="C687" s="86"/>
    </row>
    <row r="688" ht="15.75" customHeight="1">
      <c r="C688" s="86"/>
    </row>
    <row r="689" ht="15.75" customHeight="1">
      <c r="C689" s="86"/>
    </row>
    <row r="690" ht="15.75" customHeight="1">
      <c r="C690" s="86"/>
    </row>
    <row r="691" ht="15.75" customHeight="1">
      <c r="C691" s="86"/>
    </row>
    <row r="692" ht="15.75" customHeight="1">
      <c r="C692" s="86"/>
    </row>
    <row r="693" ht="15.75" customHeight="1">
      <c r="C693" s="86"/>
    </row>
    <row r="694" ht="15.75" customHeight="1">
      <c r="C694" s="86"/>
    </row>
    <row r="695" ht="15.75" customHeight="1">
      <c r="C695" s="86"/>
    </row>
    <row r="696" ht="15.75" customHeight="1">
      <c r="C696" s="86"/>
    </row>
    <row r="697" ht="15.75" customHeight="1">
      <c r="C697" s="86"/>
    </row>
    <row r="698" ht="15.75" customHeight="1">
      <c r="C698" s="86"/>
    </row>
    <row r="699" ht="15.75" customHeight="1">
      <c r="C699" s="86"/>
    </row>
    <row r="700" ht="15.75" customHeight="1">
      <c r="C700" s="86"/>
    </row>
    <row r="701" ht="15.75" customHeight="1">
      <c r="C701" s="86"/>
    </row>
    <row r="702" ht="15.75" customHeight="1">
      <c r="C702" s="86"/>
    </row>
    <row r="703" ht="15.75" customHeight="1">
      <c r="C703" s="86"/>
    </row>
    <row r="704" ht="15.75" customHeight="1">
      <c r="C704" s="86"/>
    </row>
    <row r="705" ht="15.75" customHeight="1">
      <c r="C705" s="86"/>
    </row>
    <row r="706" ht="15.75" customHeight="1">
      <c r="C706" s="86"/>
    </row>
    <row r="707" ht="15.75" customHeight="1">
      <c r="C707" s="86"/>
    </row>
    <row r="708" ht="15.75" customHeight="1">
      <c r="C708" s="86"/>
    </row>
    <row r="709" ht="15.75" customHeight="1">
      <c r="C709" s="86"/>
    </row>
    <row r="710" ht="15.75" customHeight="1">
      <c r="C710" s="86"/>
    </row>
    <row r="711" ht="15.75" customHeight="1">
      <c r="C711" s="86"/>
    </row>
    <row r="712" ht="15.75" customHeight="1">
      <c r="C712" s="86"/>
    </row>
    <row r="713" ht="15.75" customHeight="1">
      <c r="C713" s="86"/>
    </row>
    <row r="714" ht="15.75" customHeight="1">
      <c r="C714" s="86"/>
    </row>
    <row r="715" ht="15.75" customHeight="1">
      <c r="C715" s="86"/>
    </row>
    <row r="716" ht="15.75" customHeight="1">
      <c r="C716" s="86"/>
    </row>
    <row r="717" ht="15.75" customHeight="1">
      <c r="C717" s="86"/>
    </row>
    <row r="718" ht="15.75" customHeight="1">
      <c r="C718" s="86"/>
    </row>
    <row r="719" ht="15.75" customHeight="1">
      <c r="C719" s="86"/>
    </row>
    <row r="720" ht="15.75" customHeight="1">
      <c r="C720" s="86"/>
    </row>
    <row r="721" ht="15.75" customHeight="1">
      <c r="C721" s="86"/>
    </row>
    <row r="722" ht="15.75" customHeight="1">
      <c r="C722" s="86"/>
    </row>
    <row r="723" ht="15.75" customHeight="1">
      <c r="C723" s="86"/>
    </row>
    <row r="724" ht="15.75" customHeight="1">
      <c r="C724" s="86"/>
    </row>
    <row r="725" ht="15.75" customHeight="1">
      <c r="C725" s="86"/>
    </row>
    <row r="726" ht="15.75" customHeight="1">
      <c r="C726" s="86"/>
    </row>
    <row r="727" ht="15.75" customHeight="1">
      <c r="C727" s="86"/>
    </row>
    <row r="728" ht="15.75" customHeight="1">
      <c r="C728" s="86"/>
    </row>
    <row r="729" ht="15.75" customHeight="1">
      <c r="C729" s="86"/>
    </row>
    <row r="730" ht="15.75" customHeight="1">
      <c r="C730" s="86"/>
    </row>
    <row r="731" ht="15.75" customHeight="1">
      <c r="C731" s="86"/>
    </row>
    <row r="732" ht="15.75" customHeight="1">
      <c r="C732" s="86"/>
    </row>
    <row r="733" ht="15.75" customHeight="1">
      <c r="C733" s="86"/>
    </row>
    <row r="734" ht="15.75" customHeight="1">
      <c r="C734" s="86"/>
    </row>
    <row r="735" ht="15.75" customHeight="1">
      <c r="C735" s="86"/>
    </row>
    <row r="736" ht="15.75" customHeight="1">
      <c r="C736" s="86"/>
    </row>
    <row r="737" ht="15.75" customHeight="1">
      <c r="C737" s="86"/>
    </row>
    <row r="738" ht="15.75" customHeight="1">
      <c r="C738" s="86"/>
    </row>
    <row r="739" ht="15.75" customHeight="1">
      <c r="C739" s="86"/>
    </row>
    <row r="740" ht="15.75" customHeight="1">
      <c r="C740" s="86"/>
    </row>
    <row r="741" ht="15.75" customHeight="1">
      <c r="C741" s="86"/>
    </row>
    <row r="742" ht="15.75" customHeight="1">
      <c r="C742" s="86"/>
    </row>
    <row r="743" ht="15.75" customHeight="1">
      <c r="C743" s="86"/>
    </row>
    <row r="744" ht="15.75" customHeight="1">
      <c r="C744" s="86"/>
    </row>
    <row r="745" ht="15.75" customHeight="1">
      <c r="C745" s="86"/>
    </row>
    <row r="746" ht="15.75" customHeight="1">
      <c r="C746" s="86"/>
    </row>
    <row r="747" ht="15.75" customHeight="1">
      <c r="C747" s="86"/>
    </row>
    <row r="748" ht="15.75" customHeight="1">
      <c r="C748" s="86"/>
    </row>
    <row r="749" ht="15.75" customHeight="1">
      <c r="C749" s="86"/>
    </row>
    <row r="750" ht="15.75" customHeight="1">
      <c r="C750" s="86"/>
    </row>
    <row r="751" ht="15.75" customHeight="1">
      <c r="C751" s="86"/>
    </row>
    <row r="752" ht="15.75" customHeight="1">
      <c r="C752" s="86"/>
    </row>
    <row r="753" ht="15.75" customHeight="1">
      <c r="C753" s="86"/>
    </row>
    <row r="754" ht="15.75" customHeight="1">
      <c r="C754" s="86"/>
    </row>
    <row r="755" ht="15.75" customHeight="1">
      <c r="C755" s="86"/>
    </row>
    <row r="756" ht="15.75" customHeight="1">
      <c r="C756" s="86"/>
    </row>
    <row r="757" ht="15.75" customHeight="1">
      <c r="C757" s="86"/>
    </row>
    <row r="758" ht="15.75" customHeight="1">
      <c r="C758" s="86"/>
    </row>
    <row r="759" ht="15.75" customHeight="1">
      <c r="C759" s="86"/>
    </row>
    <row r="760" ht="15.75" customHeight="1">
      <c r="C760" s="86"/>
    </row>
    <row r="761" ht="15.75" customHeight="1">
      <c r="C761" s="86"/>
    </row>
    <row r="762" ht="15.75" customHeight="1">
      <c r="C762" s="86"/>
    </row>
    <row r="763" ht="15.75" customHeight="1">
      <c r="C763" s="86"/>
    </row>
    <row r="764" ht="15.75" customHeight="1">
      <c r="C764" s="86"/>
    </row>
    <row r="765" ht="15.75" customHeight="1">
      <c r="C765" s="86"/>
    </row>
    <row r="766" ht="15.75" customHeight="1">
      <c r="C766" s="86"/>
    </row>
    <row r="767" ht="15.75" customHeight="1">
      <c r="C767" s="86"/>
    </row>
    <row r="768" ht="15.75" customHeight="1">
      <c r="C768" s="86"/>
    </row>
    <row r="769" ht="15.75" customHeight="1">
      <c r="C769" s="86"/>
    </row>
    <row r="770" ht="15.75" customHeight="1">
      <c r="C770" s="86"/>
    </row>
    <row r="771" ht="15.75" customHeight="1">
      <c r="C771" s="86"/>
    </row>
    <row r="772" ht="15.75" customHeight="1">
      <c r="C772" s="86"/>
    </row>
    <row r="773" ht="15.75" customHeight="1">
      <c r="C773" s="86"/>
    </row>
    <row r="774" ht="15.75" customHeight="1">
      <c r="C774" s="86"/>
    </row>
    <row r="775" ht="15.75" customHeight="1">
      <c r="C775" s="86"/>
    </row>
    <row r="776" ht="15.75" customHeight="1">
      <c r="C776" s="86"/>
    </row>
    <row r="777" ht="15.75" customHeight="1">
      <c r="C777" s="86"/>
    </row>
    <row r="778" ht="15.75" customHeight="1">
      <c r="C778" s="86"/>
    </row>
    <row r="779" ht="15.75" customHeight="1">
      <c r="C779" s="86"/>
    </row>
    <row r="780" ht="15.75" customHeight="1">
      <c r="C780" s="86"/>
    </row>
    <row r="781" ht="15.75" customHeight="1">
      <c r="C781" s="86"/>
    </row>
    <row r="782" ht="15.75" customHeight="1">
      <c r="C782" s="86"/>
    </row>
    <row r="783" ht="15.75" customHeight="1">
      <c r="C783" s="86"/>
    </row>
    <row r="784" ht="15.75" customHeight="1">
      <c r="C784" s="86"/>
    </row>
    <row r="785" ht="15.75" customHeight="1">
      <c r="C785" s="86"/>
    </row>
    <row r="786" ht="15.75" customHeight="1">
      <c r="C786" s="86"/>
    </row>
    <row r="787" ht="15.75" customHeight="1">
      <c r="C787" s="86"/>
    </row>
    <row r="788" ht="15.75" customHeight="1">
      <c r="C788" s="86"/>
    </row>
    <row r="789" ht="15.75" customHeight="1">
      <c r="C789" s="86"/>
    </row>
    <row r="790" ht="15.75" customHeight="1">
      <c r="C790" s="86"/>
    </row>
    <row r="791" ht="15.75" customHeight="1">
      <c r="C791" s="86"/>
    </row>
    <row r="792" ht="15.75" customHeight="1">
      <c r="C792" s="86"/>
    </row>
    <row r="793" ht="15.75" customHeight="1">
      <c r="C793" s="86"/>
    </row>
    <row r="794" ht="15.75" customHeight="1">
      <c r="C794" s="86"/>
    </row>
    <row r="795" ht="15.75" customHeight="1">
      <c r="C795" s="86"/>
    </row>
    <row r="796" ht="15.75" customHeight="1">
      <c r="C796" s="86"/>
    </row>
    <row r="797" ht="15.75" customHeight="1">
      <c r="C797" s="86"/>
    </row>
    <row r="798" ht="15.75" customHeight="1">
      <c r="C798" s="86"/>
    </row>
    <row r="799" ht="15.75" customHeight="1">
      <c r="C799" s="86"/>
    </row>
    <row r="800" ht="15.75" customHeight="1">
      <c r="C800" s="86"/>
    </row>
    <row r="801" ht="15.75" customHeight="1">
      <c r="C801" s="86"/>
    </row>
    <row r="802" ht="15.75" customHeight="1">
      <c r="C802" s="86"/>
    </row>
    <row r="803" ht="15.75" customHeight="1">
      <c r="C803" s="86"/>
    </row>
    <row r="804" ht="15.75" customHeight="1">
      <c r="C804" s="86"/>
    </row>
    <row r="805" ht="15.75" customHeight="1">
      <c r="C805" s="86"/>
    </row>
    <row r="806" ht="15.75" customHeight="1">
      <c r="C806" s="86"/>
    </row>
    <row r="807" ht="15.75" customHeight="1">
      <c r="C807" s="86"/>
    </row>
    <row r="808" ht="15.75" customHeight="1">
      <c r="C808" s="86"/>
    </row>
    <row r="809" ht="15.75" customHeight="1">
      <c r="C809" s="86"/>
    </row>
    <row r="810" ht="15.75" customHeight="1">
      <c r="C810" s="86"/>
    </row>
    <row r="811" ht="15.75" customHeight="1">
      <c r="C811" s="86"/>
    </row>
    <row r="812" ht="15.75" customHeight="1">
      <c r="C812" s="86"/>
    </row>
    <row r="813" ht="15.75" customHeight="1">
      <c r="C813" s="86"/>
    </row>
    <row r="814" ht="15.75" customHeight="1">
      <c r="C814" s="86"/>
    </row>
    <row r="815" ht="15.75" customHeight="1">
      <c r="C815" s="86"/>
    </row>
    <row r="816" ht="15.75" customHeight="1">
      <c r="C816" s="86"/>
    </row>
    <row r="817" ht="15.75" customHeight="1">
      <c r="C817" s="86"/>
    </row>
    <row r="818" ht="15.75" customHeight="1">
      <c r="C818" s="86"/>
    </row>
    <row r="819" ht="15.75" customHeight="1">
      <c r="C819" s="86"/>
    </row>
    <row r="820" ht="15.75" customHeight="1">
      <c r="C820" s="86"/>
    </row>
    <row r="821" ht="15.75" customHeight="1">
      <c r="C821" s="86"/>
    </row>
    <row r="822" ht="15.75" customHeight="1">
      <c r="C822" s="86"/>
    </row>
    <row r="823" ht="15.75" customHeight="1">
      <c r="C823" s="86"/>
    </row>
    <row r="824" ht="15.75" customHeight="1">
      <c r="C824" s="86"/>
    </row>
    <row r="825" ht="15.75" customHeight="1">
      <c r="C825" s="86"/>
    </row>
    <row r="826" ht="15.75" customHeight="1">
      <c r="C826" s="86"/>
    </row>
    <row r="827" ht="15.75" customHeight="1">
      <c r="C827" s="86"/>
    </row>
    <row r="828" ht="15.75" customHeight="1">
      <c r="C828" s="86"/>
    </row>
    <row r="829" ht="15.75" customHeight="1">
      <c r="C829" s="86"/>
    </row>
    <row r="830" ht="15.75" customHeight="1">
      <c r="C830" s="86"/>
    </row>
    <row r="831" ht="15.75" customHeight="1">
      <c r="C831" s="86"/>
    </row>
    <row r="832" ht="15.75" customHeight="1">
      <c r="C832" s="86"/>
    </row>
    <row r="833" ht="15.75" customHeight="1">
      <c r="C833" s="86"/>
    </row>
    <row r="834" ht="15.75" customHeight="1">
      <c r="C834" s="86"/>
    </row>
    <row r="835" ht="15.75" customHeight="1">
      <c r="C835" s="86"/>
    </row>
    <row r="836" ht="15.75" customHeight="1">
      <c r="C836" s="86"/>
    </row>
    <row r="837" ht="15.75" customHeight="1">
      <c r="C837" s="86"/>
    </row>
    <row r="838" ht="15.75" customHeight="1">
      <c r="C838" s="86"/>
    </row>
    <row r="839" ht="15.75" customHeight="1">
      <c r="C839" s="86"/>
    </row>
    <row r="840" ht="15.75" customHeight="1">
      <c r="C840" s="86"/>
    </row>
    <row r="841" ht="15.75" customHeight="1">
      <c r="C841" s="86"/>
    </row>
    <row r="842" ht="15.75" customHeight="1">
      <c r="C842" s="86"/>
    </row>
    <row r="843" ht="15.75" customHeight="1">
      <c r="C843" s="86"/>
    </row>
    <row r="844" ht="15.75" customHeight="1">
      <c r="C844" s="86"/>
    </row>
    <row r="845" ht="15.75" customHeight="1">
      <c r="C845" s="86"/>
    </row>
    <row r="846" ht="15.75" customHeight="1">
      <c r="C846" s="86"/>
    </row>
    <row r="847" ht="15.75" customHeight="1">
      <c r="C847" s="86"/>
    </row>
    <row r="848" ht="15.75" customHeight="1">
      <c r="C848" s="86"/>
    </row>
    <row r="849" ht="15.75" customHeight="1">
      <c r="C849" s="86"/>
    </row>
    <row r="850" ht="15.75" customHeight="1">
      <c r="C850" s="86"/>
    </row>
    <row r="851" ht="15.75" customHeight="1">
      <c r="C851" s="86"/>
    </row>
    <row r="852" ht="15.75" customHeight="1">
      <c r="C852" s="86"/>
    </row>
    <row r="853" ht="15.75" customHeight="1">
      <c r="C853" s="86"/>
    </row>
    <row r="854" ht="15.75" customHeight="1">
      <c r="C854" s="86"/>
    </row>
    <row r="855" ht="15.75" customHeight="1">
      <c r="C855" s="86"/>
    </row>
    <row r="856" ht="15.75" customHeight="1">
      <c r="C856" s="86"/>
    </row>
    <row r="857" ht="15.75" customHeight="1">
      <c r="C857" s="86"/>
    </row>
    <row r="858" ht="15.75" customHeight="1">
      <c r="C858" s="86"/>
    </row>
    <row r="859" ht="15.75" customHeight="1">
      <c r="C859" s="86"/>
    </row>
    <row r="860" ht="15.75" customHeight="1">
      <c r="C860" s="86"/>
    </row>
    <row r="861" ht="15.75" customHeight="1">
      <c r="C861" s="86"/>
    </row>
    <row r="862" ht="15.75" customHeight="1">
      <c r="C862" s="86"/>
    </row>
    <row r="863" ht="15.75" customHeight="1">
      <c r="C863" s="86"/>
    </row>
    <row r="864" ht="15.75" customHeight="1">
      <c r="C864" s="86"/>
    </row>
    <row r="865" ht="15.75" customHeight="1">
      <c r="C865" s="86"/>
    </row>
    <row r="866" ht="15.75" customHeight="1">
      <c r="C866" s="86"/>
    </row>
    <row r="867" ht="15.75" customHeight="1">
      <c r="C867" s="86"/>
    </row>
    <row r="868" ht="15.75" customHeight="1">
      <c r="C868" s="86"/>
    </row>
    <row r="869" ht="15.75" customHeight="1">
      <c r="C869" s="86"/>
    </row>
    <row r="870" ht="15.75" customHeight="1">
      <c r="C870" s="86"/>
    </row>
    <row r="871" ht="15.75" customHeight="1">
      <c r="C871" s="86"/>
    </row>
    <row r="872" ht="15.75" customHeight="1">
      <c r="C872" s="86"/>
    </row>
    <row r="873" ht="15.75" customHeight="1">
      <c r="C873" s="86"/>
    </row>
    <row r="874" ht="15.75" customHeight="1">
      <c r="C874" s="86"/>
    </row>
    <row r="875" ht="15.75" customHeight="1">
      <c r="C875" s="86"/>
    </row>
    <row r="876" ht="15.75" customHeight="1">
      <c r="C876" s="86"/>
    </row>
    <row r="877" ht="15.75" customHeight="1">
      <c r="C877" s="86"/>
    </row>
    <row r="878" ht="15.75" customHeight="1">
      <c r="C878" s="86"/>
    </row>
    <row r="879" ht="15.75" customHeight="1">
      <c r="C879" s="86"/>
    </row>
    <row r="880" ht="15.75" customHeight="1">
      <c r="C880" s="86"/>
    </row>
    <row r="881" ht="15.75" customHeight="1">
      <c r="C881" s="86"/>
    </row>
    <row r="882" ht="15.75" customHeight="1">
      <c r="C882" s="86"/>
    </row>
    <row r="883" ht="15.75" customHeight="1">
      <c r="C883" s="86"/>
    </row>
    <row r="884" ht="15.75" customHeight="1">
      <c r="C884" s="86"/>
    </row>
    <row r="885" ht="15.75" customHeight="1">
      <c r="C885" s="86"/>
    </row>
    <row r="886" ht="15.75" customHeight="1">
      <c r="C886" s="86"/>
    </row>
    <row r="887" ht="15.75" customHeight="1">
      <c r="C887" s="86"/>
    </row>
    <row r="888" ht="15.75" customHeight="1">
      <c r="C888" s="86"/>
    </row>
    <row r="889" ht="15.75" customHeight="1">
      <c r="C889" s="86"/>
    </row>
    <row r="890" ht="15.75" customHeight="1">
      <c r="C890" s="86"/>
    </row>
    <row r="891" ht="15.75" customHeight="1">
      <c r="C891" s="86"/>
    </row>
    <row r="892" ht="15.75" customHeight="1">
      <c r="C892" s="86"/>
    </row>
    <row r="893" ht="15.75" customHeight="1">
      <c r="C893" s="86"/>
    </row>
    <row r="894" ht="15.75" customHeight="1">
      <c r="C894" s="86"/>
    </row>
    <row r="895" ht="15.75" customHeight="1">
      <c r="C895" s="86"/>
    </row>
    <row r="896" ht="15.75" customHeight="1">
      <c r="C896" s="86"/>
    </row>
    <row r="897" ht="15.75" customHeight="1">
      <c r="C897" s="86"/>
    </row>
    <row r="898" ht="15.75" customHeight="1">
      <c r="C898" s="86"/>
    </row>
    <row r="899" ht="15.75" customHeight="1">
      <c r="C899" s="86"/>
    </row>
    <row r="900" ht="15.75" customHeight="1">
      <c r="C900" s="86"/>
    </row>
    <row r="901" ht="15.75" customHeight="1">
      <c r="C901" s="86"/>
    </row>
    <row r="902" ht="15.75" customHeight="1">
      <c r="C902" s="86"/>
    </row>
    <row r="903" ht="15.75" customHeight="1">
      <c r="C903" s="86"/>
    </row>
    <row r="904" ht="15.75" customHeight="1">
      <c r="C904" s="86"/>
    </row>
    <row r="905" ht="15.75" customHeight="1">
      <c r="C905" s="86"/>
    </row>
    <row r="906" ht="15.75" customHeight="1">
      <c r="C906" s="86"/>
    </row>
    <row r="907" ht="15.75" customHeight="1">
      <c r="C907" s="86"/>
    </row>
    <row r="908" ht="15.75" customHeight="1">
      <c r="C908" s="86"/>
    </row>
    <row r="909" ht="15.75" customHeight="1">
      <c r="C909" s="86"/>
    </row>
    <row r="910" ht="15.75" customHeight="1">
      <c r="C910" s="86"/>
    </row>
    <row r="911" ht="15.75" customHeight="1">
      <c r="C911" s="86"/>
    </row>
    <row r="912" ht="15.75" customHeight="1">
      <c r="C912" s="86"/>
    </row>
    <row r="913" ht="15.75" customHeight="1">
      <c r="C913" s="86"/>
    </row>
    <row r="914" ht="15.75" customHeight="1">
      <c r="C914" s="86"/>
    </row>
    <row r="915" ht="15.75" customHeight="1">
      <c r="C915" s="86"/>
    </row>
    <row r="916" ht="15.75" customHeight="1">
      <c r="C916" s="86"/>
    </row>
    <row r="917" ht="15.75" customHeight="1">
      <c r="C917" s="86"/>
    </row>
    <row r="918" ht="15.75" customHeight="1">
      <c r="C918" s="86"/>
    </row>
    <row r="919" ht="15.75" customHeight="1">
      <c r="C919" s="86"/>
    </row>
    <row r="920" ht="15.75" customHeight="1">
      <c r="C920" s="86"/>
    </row>
    <row r="921" ht="15.75" customHeight="1">
      <c r="C921" s="86"/>
    </row>
    <row r="922" ht="15.75" customHeight="1">
      <c r="C922" s="86"/>
    </row>
    <row r="923" ht="15.75" customHeight="1">
      <c r="C923" s="86"/>
    </row>
    <row r="924" ht="15.75" customHeight="1">
      <c r="C924" s="86"/>
    </row>
    <row r="925" ht="15.75" customHeight="1">
      <c r="C925" s="86"/>
    </row>
    <row r="926" ht="15.75" customHeight="1">
      <c r="C926" s="86"/>
    </row>
    <row r="927" ht="15.75" customHeight="1">
      <c r="C927" s="86"/>
    </row>
    <row r="928" ht="15.75" customHeight="1">
      <c r="C928" s="86"/>
    </row>
    <row r="929" ht="15.75" customHeight="1">
      <c r="C929" s="86"/>
    </row>
    <row r="930" ht="15.75" customHeight="1">
      <c r="C930" s="86"/>
    </row>
    <row r="931" ht="15.75" customHeight="1">
      <c r="C931" s="86"/>
    </row>
    <row r="932" ht="15.75" customHeight="1">
      <c r="C932" s="86"/>
    </row>
    <row r="933" ht="15.75" customHeight="1">
      <c r="C933" s="86"/>
    </row>
    <row r="934" ht="15.75" customHeight="1">
      <c r="C934" s="86"/>
    </row>
    <row r="935" ht="15.75" customHeight="1">
      <c r="C935" s="86"/>
    </row>
    <row r="936" ht="15.75" customHeight="1">
      <c r="C936" s="86"/>
    </row>
    <row r="937" ht="15.75" customHeight="1">
      <c r="C937" s="86"/>
    </row>
    <row r="938" ht="15.75" customHeight="1">
      <c r="C938" s="86"/>
    </row>
    <row r="939" ht="15.75" customHeight="1">
      <c r="C939" s="86"/>
    </row>
    <row r="940" ht="15.75" customHeight="1">
      <c r="C940" s="86"/>
    </row>
    <row r="941" ht="15.75" customHeight="1">
      <c r="C941" s="86"/>
    </row>
    <row r="942" ht="15.75" customHeight="1">
      <c r="C942" s="86"/>
    </row>
    <row r="943" ht="15.75" customHeight="1">
      <c r="C943" s="86"/>
    </row>
    <row r="944" ht="15.75" customHeight="1">
      <c r="C944" s="86"/>
    </row>
    <row r="945" ht="15.75" customHeight="1">
      <c r="C945" s="86"/>
    </row>
    <row r="946" ht="15.75" customHeight="1">
      <c r="C946" s="86"/>
    </row>
    <row r="947" ht="15.75" customHeight="1">
      <c r="C947" s="86"/>
    </row>
    <row r="948" ht="15.75" customHeight="1">
      <c r="C948" s="86"/>
    </row>
    <row r="949" ht="15.75" customHeight="1">
      <c r="C949" s="86"/>
    </row>
    <row r="950" ht="15.75" customHeight="1">
      <c r="C950" s="86"/>
    </row>
    <row r="951" ht="15.75" customHeight="1">
      <c r="C951" s="86"/>
    </row>
    <row r="952" ht="15.75" customHeight="1">
      <c r="C952" s="86"/>
    </row>
    <row r="953" ht="15.75" customHeight="1">
      <c r="C953" s="86"/>
    </row>
    <row r="954" ht="15.75" customHeight="1">
      <c r="C954" s="86"/>
    </row>
    <row r="955" ht="15.75" customHeight="1">
      <c r="C955" s="86"/>
    </row>
    <row r="956" ht="15.75" customHeight="1">
      <c r="C956" s="86"/>
    </row>
    <row r="957" ht="15.75" customHeight="1">
      <c r="C957" s="86"/>
    </row>
    <row r="958" ht="15.75" customHeight="1">
      <c r="C958" s="86"/>
    </row>
    <row r="959" ht="15.75" customHeight="1">
      <c r="C959" s="86"/>
    </row>
    <row r="960" ht="15.75" customHeight="1">
      <c r="C960" s="86"/>
    </row>
    <row r="961" ht="15.75" customHeight="1">
      <c r="C961" s="86"/>
    </row>
    <row r="962" ht="15.75" customHeight="1">
      <c r="C962" s="86"/>
    </row>
    <row r="963" ht="15.75" customHeight="1">
      <c r="C963" s="86"/>
    </row>
    <row r="964" ht="15.75" customHeight="1">
      <c r="C964" s="86"/>
    </row>
    <row r="965" ht="15.75" customHeight="1">
      <c r="C965" s="86"/>
    </row>
    <row r="966" ht="15.75" customHeight="1">
      <c r="C966" s="86"/>
    </row>
    <row r="967" ht="15.75" customHeight="1">
      <c r="C967" s="86"/>
    </row>
    <row r="968" ht="15.75" customHeight="1">
      <c r="C968" s="86"/>
    </row>
    <row r="969" ht="15.75" customHeight="1">
      <c r="C969" s="86"/>
    </row>
    <row r="970" ht="15.75" customHeight="1">
      <c r="C970" s="86"/>
    </row>
    <row r="971" ht="15.75" customHeight="1">
      <c r="C971" s="86"/>
    </row>
    <row r="972" ht="15.75" customHeight="1">
      <c r="C972" s="86"/>
    </row>
    <row r="973" ht="15.75" customHeight="1">
      <c r="C973" s="86"/>
    </row>
    <row r="974" ht="15.75" customHeight="1">
      <c r="C974" s="86"/>
    </row>
    <row r="975" ht="15.75" customHeight="1">
      <c r="C975" s="86"/>
    </row>
    <row r="976" ht="15.75" customHeight="1">
      <c r="C976" s="86"/>
    </row>
    <row r="977" ht="15.75" customHeight="1">
      <c r="C977" s="86"/>
    </row>
    <row r="978" ht="15.75" customHeight="1">
      <c r="C978" s="86"/>
    </row>
    <row r="979" ht="15.75" customHeight="1">
      <c r="C979" s="86"/>
    </row>
    <row r="980" ht="15.75" customHeight="1">
      <c r="C980" s="86"/>
    </row>
    <row r="981" ht="15.75" customHeight="1">
      <c r="C981" s="86"/>
    </row>
    <row r="982" ht="15.75" customHeight="1">
      <c r="C982" s="86"/>
    </row>
    <row r="983" ht="15.75" customHeight="1">
      <c r="C983" s="86"/>
    </row>
    <row r="984" ht="15.75" customHeight="1">
      <c r="C984" s="86"/>
    </row>
    <row r="985" ht="15.75" customHeight="1">
      <c r="C985" s="86"/>
    </row>
    <row r="986" ht="15.75" customHeight="1">
      <c r="C986" s="86"/>
    </row>
    <row r="987" ht="15.75" customHeight="1">
      <c r="C987" s="86"/>
    </row>
    <row r="988" ht="15.75" customHeight="1">
      <c r="C988" s="86"/>
    </row>
    <row r="989" ht="15.75" customHeight="1">
      <c r="C989" s="86"/>
    </row>
    <row r="990" ht="15.75" customHeight="1">
      <c r="C990" s="86"/>
    </row>
    <row r="991" ht="15.75" customHeight="1">
      <c r="C991" s="86"/>
    </row>
    <row r="992" ht="15.75" customHeight="1">
      <c r="C992" s="86"/>
    </row>
    <row r="993" ht="15.75" customHeight="1">
      <c r="C993" s="86"/>
    </row>
    <row r="994" ht="15.75" customHeight="1">
      <c r="C994" s="86"/>
    </row>
    <row r="995" ht="15.75" customHeight="1">
      <c r="C995" s="86"/>
    </row>
    <row r="996" ht="15.75" customHeight="1">
      <c r="C996" s="86"/>
    </row>
  </sheetData>
  <hyperlinks>
    <hyperlink r:id="rId1" ref="B93"/>
    <hyperlink r:id="rId2" ref="B94"/>
    <hyperlink r:id="rId3" ref="B97"/>
    <hyperlink r:id="rId4" ref="B148"/>
    <hyperlink r:id="rId5" ref="B149"/>
    <hyperlink r:id="rId6" ref="B150"/>
    <hyperlink r:id="rId7" ref="B151"/>
    <hyperlink r:id="rId8" ref="B152"/>
    <hyperlink r:id="rId9" ref="B153"/>
    <hyperlink r:id="rId10" ref="B154"/>
    <hyperlink r:id="rId11" ref="B162"/>
    <hyperlink r:id="rId12" ref="B171"/>
  </hyperlinks>
  <printOptions/>
  <pageMargins bottom="0.75" footer="0.0" header="0.0" left="0.7" right="0.7" top="0.75"/>
  <pageSetup orientation="landscape"/>
  <drawing r:id="rId13"/>
  <tableParts count="3">
    <tablePart r:id="rId17"/>
    <tablePart r:id="rId18"/>
    <tablePart r:id="rId19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2024-08-18T02:57:37Z</dcterms:created>
  <dc:creator>Tony Latvenas</dc:creator>
</cp:coreProperties>
</file>