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Handouts" sheetId="1" r:id="rId4"/>
    <sheet state="visible" name="2024 Meal Prep" sheetId="2" r:id="rId5"/>
    <sheet state="visible" name="2025 Saturday Handout" sheetId="3" r:id="rId6"/>
    <sheet state="visible" name=" 2025 RIVERSIDE ONLY" sheetId="4" r:id="rId7"/>
    <sheet state="visible" name="2025 Sunday Handouts" sheetId="5" r:id="rId8"/>
    <sheet state="visible" name="2025 Meal Prep" sheetId="6" r:id="rId9"/>
    <sheet state="visible" name="2026 Saturday Handout" sheetId="7" r:id="rId10"/>
    <sheet state="visible" name="2026 RIVERSIDE ONLY" sheetId="8" r:id="rId11"/>
    <sheet state="visible" name="2026 Sunday Handouts" sheetId="9" r:id="rId12"/>
    <sheet state="visible" name="2026 Meal Prep" sheetId="10" r:id="rId13"/>
    <sheet state="visible" name="Meals Made" sheetId="11" r:id="rId14"/>
    <sheet state="visible" name="Bible Count" sheetId="12" r:id="rId15"/>
    <sheet state="visible" name="2025 Other Volunteer Task" sheetId="13" r:id="rId16"/>
    <sheet state="visible" name="Volunteer Info" sheetId="14" r:id="rId17"/>
  </sheets>
  <definedNames/>
  <calcPr/>
  <extLst>
    <ext uri="GoogleSheetsCustomDataVersion2">
      <go:sheetsCustomData xmlns:go="http://customooxmlschemas.google.com/" r:id="rId18" roundtripDataChecksum="HjOAqIaQGnpsFD6aTMByIOBHZQ2GZTf0JDBmLPiYvjA="/>
    </ext>
  </extLst>
</workbook>
</file>

<file path=xl/sharedStrings.xml><?xml version="1.0" encoding="utf-8"?>
<sst xmlns="http://schemas.openxmlformats.org/spreadsheetml/2006/main" count="2838" uniqueCount="983">
  <si>
    <t>Volunteers:</t>
  </si>
  <si>
    <t>Total Hours:</t>
  </si>
  <si>
    <t>1/28/24-4/14/24</t>
  </si>
  <si>
    <t>Tony Latvenas (ME)</t>
  </si>
  <si>
    <t>hernia</t>
  </si>
  <si>
    <t>Chris Latvenas</t>
  </si>
  <si>
    <t>Rusty Rinehart</t>
  </si>
  <si>
    <t>Kaeden Cameron</t>
  </si>
  <si>
    <t>Anevae Barrera</t>
  </si>
  <si>
    <t>Danna Robles</t>
  </si>
  <si>
    <t>Katia Tapia</t>
  </si>
  <si>
    <t>Samantha Bryant</t>
  </si>
  <si>
    <t>Grace McGlynn</t>
  </si>
  <si>
    <t>Leah Gues</t>
  </si>
  <si>
    <t>Sophie Smith</t>
  </si>
  <si>
    <t>AJ Pearce</t>
  </si>
  <si>
    <t>Cameron Walker</t>
  </si>
  <si>
    <t>Viv Norman</t>
  </si>
  <si>
    <t>Jonathan Yates</t>
  </si>
  <si>
    <t>Tyler Vayon</t>
  </si>
  <si>
    <t>Alex Fernandez</t>
  </si>
  <si>
    <t>Jeff Barnhart</t>
  </si>
  <si>
    <t>Matthew Wong</t>
  </si>
  <si>
    <t>Matt Claflin</t>
  </si>
  <si>
    <t>Cordell Mazzetti</t>
  </si>
  <si>
    <t>Seth Fletscher</t>
  </si>
  <si>
    <t>Taylor Moore</t>
  </si>
  <si>
    <t>Morgan Duke's GF</t>
  </si>
  <si>
    <t>Duke Davison</t>
  </si>
  <si>
    <t>Abhijay Saini</t>
  </si>
  <si>
    <t>Ayub Yousaf</t>
  </si>
  <si>
    <t>Tim Vordenbaumen</t>
  </si>
  <si>
    <t>Rich Okon</t>
  </si>
  <si>
    <t>JD Merrit</t>
  </si>
  <si>
    <t>Nash Dolan</t>
  </si>
  <si>
    <t>Zarious</t>
  </si>
  <si>
    <t>Que (Rusty's SD)</t>
  </si>
  <si>
    <t>Chris Caliendo</t>
  </si>
  <si>
    <t>Jon Siddiq</t>
  </si>
  <si>
    <t>McKennon Rice</t>
  </si>
  <si>
    <t>Kristi Truong</t>
  </si>
  <si>
    <t>Eric Burnett</t>
  </si>
  <si>
    <t>Noah Temple</t>
  </si>
  <si>
    <t>Ethan Gindy</t>
  </si>
  <si>
    <t>Karani Namunyu</t>
  </si>
  <si>
    <t xml:space="preserve">Ebube </t>
  </si>
  <si>
    <t>Mahali Domingo</t>
  </si>
  <si>
    <t>Naya Domingo</t>
  </si>
  <si>
    <t>Joel Solomon</t>
  </si>
  <si>
    <t>Kirk Cameron</t>
  </si>
  <si>
    <t>Jeanette Cameron</t>
  </si>
  <si>
    <t>Brock Lintelmann</t>
  </si>
  <si>
    <t>James Snead</t>
  </si>
  <si>
    <t>Dave Wood</t>
  </si>
  <si>
    <t>Harper Anderlitch</t>
  </si>
  <si>
    <t>Alexis Anderlitch</t>
  </si>
  <si>
    <t>Aleksei Enriquez</t>
  </si>
  <si>
    <t>Stephie Marie</t>
  </si>
  <si>
    <t>Natasha Schmid</t>
  </si>
  <si>
    <t>Alex Yoder</t>
  </si>
  <si>
    <t>Mckennon Rice</t>
  </si>
  <si>
    <t>Marlaina Galvan</t>
  </si>
  <si>
    <t>X(2)</t>
  </si>
  <si>
    <t>X(2.5)</t>
  </si>
  <si>
    <t>Eden Garrard</t>
  </si>
  <si>
    <t>Skylar Summers</t>
  </si>
  <si>
    <t>Tyan Anderlitch</t>
  </si>
  <si>
    <t>Kevin Champagne</t>
  </si>
  <si>
    <t>Taylor Alvarez</t>
  </si>
  <si>
    <t>Steve Ntare</t>
  </si>
  <si>
    <t>Tucker Trejo</t>
  </si>
  <si>
    <t>Scott Rinehart</t>
  </si>
  <si>
    <t>Abby Antonov</t>
  </si>
  <si>
    <t>Natalia Dominguez</t>
  </si>
  <si>
    <t>Krystal Springs</t>
  </si>
  <si>
    <t>Stephanie Irizarry</t>
  </si>
  <si>
    <t>Will Biagini</t>
  </si>
  <si>
    <t>Braeden Litchfield</t>
  </si>
  <si>
    <t>Kayla Williams</t>
  </si>
  <si>
    <t>Hannah Abraham</t>
  </si>
  <si>
    <t>Madison Dagenais</t>
  </si>
  <si>
    <t>Tripp Graham</t>
  </si>
  <si>
    <t>Jacqueline McCoy</t>
  </si>
  <si>
    <t>Nathan Galindo</t>
  </si>
  <si>
    <t>Jacob Madden</t>
  </si>
  <si>
    <t>Paige Byrd</t>
  </si>
  <si>
    <t>Lena DelBianco</t>
  </si>
  <si>
    <t>Ashleigh Harvey</t>
  </si>
  <si>
    <t>Malinda Rinehart</t>
  </si>
  <si>
    <t>Steve Rinehart</t>
  </si>
  <si>
    <t>Casey Woodard</t>
  </si>
  <si>
    <t>Kaden deBerardinis</t>
  </si>
  <si>
    <t>Ana Henriquez</t>
  </si>
  <si>
    <t>Eva Cline</t>
  </si>
  <si>
    <t>Shuo Yang</t>
  </si>
  <si>
    <t>Cody Bressler</t>
  </si>
  <si>
    <t>Ethan Bressler</t>
  </si>
  <si>
    <t>Donovan Daniels</t>
  </si>
  <si>
    <t>Paul Zhdan</t>
  </si>
  <si>
    <t>Tyler Cox</t>
  </si>
  <si>
    <t>Annie Perez</t>
  </si>
  <si>
    <t>Kushal Chigati</t>
  </si>
  <si>
    <t>Natalie Hall</t>
  </si>
  <si>
    <t>Hadley Carr</t>
  </si>
  <si>
    <t>Josh Pope</t>
  </si>
  <si>
    <t>Reed Showecker</t>
  </si>
  <si>
    <t>Mauricio Leverone</t>
  </si>
  <si>
    <t>Wallace Chen</t>
  </si>
  <si>
    <t>Kathy Cui</t>
  </si>
  <si>
    <t>Rachel Pruski</t>
  </si>
  <si>
    <t>HannahGrace Hurlbert</t>
  </si>
  <si>
    <t>Kynzi Soukup</t>
  </si>
  <si>
    <t>Evie McNeil</t>
  </si>
  <si>
    <t>Alison Gibson</t>
  </si>
  <si>
    <t>Kelsey Melvin</t>
  </si>
  <si>
    <t>Jessica Stomberg</t>
  </si>
  <si>
    <t>Ellie Duda</t>
  </si>
  <si>
    <t>Alli Powell</t>
  </si>
  <si>
    <t>Nikko Chazarreta</t>
  </si>
  <si>
    <t>Ayden Wilson</t>
  </si>
  <si>
    <t>Jon Lee</t>
  </si>
  <si>
    <t>Jonah Sam</t>
  </si>
  <si>
    <t>Morgan Combs</t>
  </si>
  <si>
    <t>Shania Hardin</t>
  </si>
  <si>
    <t>Samantha Sanchez</t>
  </si>
  <si>
    <t>Ellie Richardson</t>
  </si>
  <si>
    <t>Judith Guerra</t>
  </si>
  <si>
    <t>Logan Allman</t>
  </si>
  <si>
    <t>Luc Lechner</t>
  </si>
  <si>
    <t>William Tu</t>
  </si>
  <si>
    <t>Amy Nguyen</t>
  </si>
  <si>
    <t>Tien Hoang</t>
  </si>
  <si>
    <t>Izzy Bortolotti</t>
  </si>
  <si>
    <t>Newton Tran</t>
  </si>
  <si>
    <t>Tyler Rose</t>
  </si>
  <si>
    <t>Hagen Morford</t>
  </si>
  <si>
    <t>Elaina Giolando</t>
  </si>
  <si>
    <t>Wylie Hawkins</t>
  </si>
  <si>
    <t>Jasmine Stoltzfus</t>
  </si>
  <si>
    <t>Alley Mcintosh</t>
  </si>
  <si>
    <t>Darik Lohrstorfer</t>
  </si>
  <si>
    <t>Kayla Mosebrook</t>
  </si>
  <si>
    <t>Johnny Shin</t>
  </si>
  <si>
    <t>Wilkie Miller</t>
  </si>
  <si>
    <t>Isaiah Butts</t>
  </si>
  <si>
    <t>Luke Martin</t>
  </si>
  <si>
    <t>Tucker Oelsen</t>
  </si>
  <si>
    <t>Robert Carmona</t>
  </si>
  <si>
    <t>Jean-Luc Parker</t>
  </si>
  <si>
    <t>Keilani Francisco</t>
  </si>
  <si>
    <t>Yareli Villagran</t>
  </si>
  <si>
    <t>Jimena Martinez</t>
  </si>
  <si>
    <t>Hannah Erbeck</t>
  </si>
  <si>
    <t>Olivia DeLeon</t>
  </si>
  <si>
    <t>India Williams</t>
  </si>
  <si>
    <t>Leilani Hernandez</t>
  </si>
  <si>
    <t>Jared Oliveria</t>
  </si>
  <si>
    <t>Skylar Sage</t>
  </si>
  <si>
    <t>Katie McCourt</t>
  </si>
  <si>
    <t>Danielle Briones</t>
  </si>
  <si>
    <t>Jalesa Lewis</t>
  </si>
  <si>
    <t>Dana Drahos</t>
  </si>
  <si>
    <t>Adam Mena</t>
  </si>
  <si>
    <t>Wesley Foreman</t>
  </si>
  <si>
    <t>Natalie Budden</t>
  </si>
  <si>
    <t>Ana Maria Melo</t>
  </si>
  <si>
    <t>Spencer Robbins</t>
  </si>
  <si>
    <t>Davin Morgan</t>
  </si>
  <si>
    <t>Jordan Carlson</t>
  </si>
  <si>
    <t>Debbie Aviles</t>
  </si>
  <si>
    <t>Britt Cohorst</t>
  </si>
  <si>
    <t>Jasmine Salazar</t>
  </si>
  <si>
    <t>Valenta Murra</t>
  </si>
  <si>
    <t>Brad Lackey</t>
  </si>
  <si>
    <t>Josiah Pais</t>
  </si>
  <si>
    <t>Eric Chung</t>
  </si>
  <si>
    <t>Tristman Workman</t>
  </si>
  <si>
    <t>Mariah Salazar</t>
  </si>
  <si>
    <t>Drew Gieschen</t>
  </si>
  <si>
    <t>Grace Ogden</t>
  </si>
  <si>
    <t>Faith Loving</t>
  </si>
  <si>
    <t>Ricky Casco</t>
  </si>
  <si>
    <t>Joeseph Johnson</t>
  </si>
  <si>
    <t>Paige More</t>
  </si>
  <si>
    <t>Arianna Alford</t>
  </si>
  <si>
    <t>Gracyn Webb</t>
  </si>
  <si>
    <t>Kayla Jayo</t>
  </si>
  <si>
    <t>Marilyn Romero</t>
  </si>
  <si>
    <t>Dallas Hartley</t>
  </si>
  <si>
    <t>Jada Fuhr</t>
  </si>
  <si>
    <t>Jake Gutwein</t>
  </si>
  <si>
    <t>Trent Lankford</t>
  </si>
  <si>
    <t>Danny DiDonna</t>
  </si>
  <si>
    <t>Ethan Rife</t>
  </si>
  <si>
    <t>Angelica Castro</t>
  </si>
  <si>
    <t>Amanda Omehe</t>
  </si>
  <si>
    <t>Kiara Haywood</t>
  </si>
  <si>
    <t>Lesley Diaz</t>
  </si>
  <si>
    <t>Kayla Gustafson</t>
  </si>
  <si>
    <t>Victoria Ramos</t>
  </si>
  <si>
    <t>Kate Hansen</t>
  </si>
  <si>
    <t>Austin Tredinnick</t>
  </si>
  <si>
    <t>Everett Gawlikowski</t>
  </si>
  <si>
    <t>Gareth Samberson</t>
  </si>
  <si>
    <t>Cambry Cordsen</t>
  </si>
  <si>
    <t>Jozina Gomez</t>
  </si>
  <si>
    <t>Miracle Johnson</t>
  </si>
  <si>
    <t>Galilea Armenta</t>
  </si>
  <si>
    <t>Robert Zborowski</t>
  </si>
  <si>
    <t>Sarah Minton</t>
  </si>
  <si>
    <t>Brandon Sage</t>
  </si>
  <si>
    <t>Rachel DeWitt</t>
  </si>
  <si>
    <t>Evan DeWitt</t>
  </si>
  <si>
    <t>Betzabel Gonzalez</t>
  </si>
  <si>
    <t xml:space="preserve">Tannya Olivia </t>
  </si>
  <si>
    <t>Angel Young</t>
  </si>
  <si>
    <t>Bianca Pozzi</t>
  </si>
  <si>
    <t>Olivia Egede</t>
  </si>
  <si>
    <t>Emma Listak</t>
  </si>
  <si>
    <t>Eddy Gonzalez</t>
  </si>
  <si>
    <t>Gracelynn Vaughn</t>
  </si>
  <si>
    <t>Carlos Castro</t>
  </si>
  <si>
    <t>Dago Zakra</t>
  </si>
  <si>
    <t>Morghan Armenta</t>
  </si>
  <si>
    <t>Justin Cegielski</t>
  </si>
  <si>
    <t>Sean Chamberlain</t>
  </si>
  <si>
    <t>Reace Rinehart</t>
  </si>
  <si>
    <t>Chalice Coward</t>
  </si>
  <si>
    <t>Todd Howard</t>
  </si>
  <si>
    <t>Baxter Blackwood</t>
  </si>
  <si>
    <t>Jade Vasquez</t>
  </si>
  <si>
    <t>Seth Cardwell</t>
  </si>
  <si>
    <t>Margarita Pruski</t>
  </si>
  <si>
    <t>Kevin Pruski</t>
  </si>
  <si>
    <t>Stephanie Peel</t>
  </si>
  <si>
    <t>Drew Greschen</t>
  </si>
  <si>
    <t>X(1)</t>
  </si>
  <si>
    <t>Liberty Davidson</t>
  </si>
  <si>
    <t>Destiny Hernandez</t>
  </si>
  <si>
    <t>Harrison Coley</t>
  </si>
  <si>
    <t>Rohit Mahank</t>
  </si>
  <si>
    <t>Grace Eaton</t>
  </si>
  <si>
    <t>Jordan Forsythe</t>
  </si>
  <si>
    <t>Anastasia Belcer</t>
  </si>
  <si>
    <t>Rhondre Giscombe</t>
  </si>
  <si>
    <t>Anthony Lamar</t>
  </si>
  <si>
    <t>Jok Mawut</t>
  </si>
  <si>
    <t>Matt Molloy</t>
  </si>
  <si>
    <t>Emily Herzog</t>
  </si>
  <si>
    <t>Naven Dabria</t>
  </si>
  <si>
    <t>Justin Szumski</t>
  </si>
  <si>
    <t>Leon Johnson</t>
  </si>
  <si>
    <t>Brandon Delfin</t>
  </si>
  <si>
    <t>Isaiah Studivent</t>
  </si>
  <si>
    <t>Fray Castro</t>
  </si>
  <si>
    <t>Julia Gilbert</t>
  </si>
  <si>
    <t>Evie  McNeil</t>
  </si>
  <si>
    <t>Grace Mendoza</t>
  </si>
  <si>
    <t>Nicholas Garcia</t>
  </si>
  <si>
    <t>Chris Leboda</t>
  </si>
  <si>
    <t>Thomas Longoria</t>
  </si>
  <si>
    <t>Destiny Guerra</t>
  </si>
  <si>
    <t>Elexus Miera</t>
  </si>
  <si>
    <t>Jacob Robinetts</t>
  </si>
  <si>
    <t>Estera Flas</t>
  </si>
  <si>
    <t>Rachel Rushing</t>
  </si>
  <si>
    <t>Alley McIntosh</t>
  </si>
  <si>
    <t>Josiah Pias</t>
  </si>
  <si>
    <t>Andrew Dorantes</t>
  </si>
  <si>
    <t>Isa Hilario</t>
  </si>
  <si>
    <t>Rachel Voigt</t>
  </si>
  <si>
    <t>Rico Tuski</t>
  </si>
  <si>
    <t>David Prestwood</t>
  </si>
  <si>
    <t>Taryn Stauffer</t>
  </si>
  <si>
    <t xml:space="preserve">Anya Whitman </t>
  </si>
  <si>
    <t>Angelina Bsiceno</t>
  </si>
  <si>
    <t>Kaleigh Doiron</t>
  </si>
  <si>
    <t>Katelyn Doiron</t>
  </si>
  <si>
    <t>Elijah Jones</t>
  </si>
  <si>
    <t>Jake Dapew</t>
  </si>
  <si>
    <t>Reagan Popoff</t>
  </si>
  <si>
    <t>Cameron Davidson</t>
  </si>
  <si>
    <t>Alanna VanNoller</t>
  </si>
  <si>
    <t>Dominique Gamboa</t>
  </si>
  <si>
    <t>Elijah Guzman</t>
  </si>
  <si>
    <t>Brandon Howard</t>
  </si>
  <si>
    <t>Kennedy Johnson</t>
  </si>
  <si>
    <t>Jarvis Miles</t>
  </si>
  <si>
    <t>Khoi Phan</t>
  </si>
  <si>
    <t>Eric Pferdehirt</t>
  </si>
  <si>
    <t>Justin Pferdhirt</t>
  </si>
  <si>
    <t>Alicia Medrano</t>
  </si>
  <si>
    <t>Daniel Medrano</t>
  </si>
  <si>
    <t>Emily Miller</t>
  </si>
  <si>
    <t>Mark Miller</t>
  </si>
  <si>
    <t>Taylor Anderson</t>
  </si>
  <si>
    <t>Haley Johnson</t>
  </si>
  <si>
    <t>Florin DelAlba</t>
  </si>
  <si>
    <t>Luis Guzman</t>
  </si>
  <si>
    <t>Vallerie Ciolac</t>
  </si>
  <si>
    <t>Cyndll Williams</t>
  </si>
  <si>
    <t>Devin Pozzi</t>
  </si>
  <si>
    <t>Zach Seidl</t>
  </si>
  <si>
    <t>AJ Mares</t>
  </si>
  <si>
    <t>Danny Malm</t>
  </si>
  <si>
    <t>Michelle Gomez</t>
  </si>
  <si>
    <t>Trinity Hatcher</t>
  </si>
  <si>
    <t>Ian Kawai Simmons-Francisco</t>
  </si>
  <si>
    <t>Cheryl Simmons</t>
  </si>
  <si>
    <t>Marissa Cardenas</t>
  </si>
  <si>
    <t>X(4)</t>
  </si>
  <si>
    <t>X(1.5)</t>
  </si>
  <si>
    <t>X(2.25)</t>
  </si>
  <si>
    <t>Sofia Harms</t>
  </si>
  <si>
    <t xml:space="preserve">Ryan Mikula </t>
  </si>
  <si>
    <t>Stephie Irizzary</t>
  </si>
  <si>
    <t>Paige Pritchard</t>
  </si>
  <si>
    <t>Noah Pfiester</t>
  </si>
  <si>
    <t>Wiktoria Olszak</t>
  </si>
  <si>
    <t>James Caswell</t>
  </si>
  <si>
    <t>Rachel Alajian</t>
  </si>
  <si>
    <t>Tammim Satar</t>
  </si>
  <si>
    <t>Morgan Johnson</t>
  </si>
  <si>
    <t>Taylor Champagne</t>
  </si>
  <si>
    <t>Charity Mohler</t>
  </si>
  <si>
    <t>Sophie Dalen</t>
  </si>
  <si>
    <t>Ansley Drenner</t>
  </si>
  <si>
    <t>Taylor Brudos</t>
  </si>
  <si>
    <t>Kevin Pangottil</t>
  </si>
  <si>
    <t>Julia Stone</t>
  </si>
  <si>
    <t>Eli Puchalski</t>
  </si>
  <si>
    <t>Shelby Austin</t>
  </si>
  <si>
    <t>Ilya Besancon</t>
  </si>
  <si>
    <t>Zachary Khale</t>
  </si>
  <si>
    <t>Matthew Driskill</t>
  </si>
  <si>
    <t>Baylee Olsen</t>
  </si>
  <si>
    <t>Isabel Powell</t>
  </si>
  <si>
    <t>Kate Spradling</t>
  </si>
  <si>
    <t>Laura Grace Jones</t>
  </si>
  <si>
    <t>Hailee Martinez</t>
  </si>
  <si>
    <t>Campbell Whann</t>
  </si>
  <si>
    <t>Katie Mccourt</t>
  </si>
  <si>
    <t>Jacob Phillips</t>
  </si>
  <si>
    <t>Damaris Renteria</t>
  </si>
  <si>
    <t>Claire Nevill</t>
  </si>
  <si>
    <t>Erin Kingsley</t>
  </si>
  <si>
    <t>Ashley Guernero</t>
  </si>
  <si>
    <t>Liz Dodson</t>
  </si>
  <si>
    <t>Natalie Walker</t>
  </si>
  <si>
    <t>Demi Awosika-Olumo</t>
  </si>
  <si>
    <t>Elyse Theriac</t>
  </si>
  <si>
    <t>Berenice Cheng</t>
  </si>
  <si>
    <t>Anthony Pancamo</t>
  </si>
  <si>
    <t>Angelina Briceno</t>
  </si>
  <si>
    <t>Amy Enwere</t>
  </si>
  <si>
    <t>Hannah Placencia</t>
  </si>
  <si>
    <t>Crystal Lachapelle</t>
  </si>
  <si>
    <t>Ryan Rodriguez</t>
  </si>
  <si>
    <t>Ella Simpkins</t>
  </si>
  <si>
    <t>Isabelle Swihart</t>
  </si>
  <si>
    <t>Jacy Moore</t>
  </si>
  <si>
    <t>Macy Downe</t>
  </si>
  <si>
    <t>Paige Madden</t>
  </si>
  <si>
    <t>Mayli Zapet</t>
  </si>
  <si>
    <t>Ryker Davis</t>
  </si>
  <si>
    <t>Isreal Keshinro</t>
  </si>
  <si>
    <t>Luke Walters</t>
  </si>
  <si>
    <t>Sharlise Sears</t>
  </si>
  <si>
    <t>Lauren Lamas</t>
  </si>
  <si>
    <t>Frank Gamboa</t>
  </si>
  <si>
    <t>Doninique Gamboa</t>
  </si>
  <si>
    <t>Hailey Bangert</t>
  </si>
  <si>
    <t>Blake Walton</t>
  </si>
  <si>
    <t>Sabrina Moreno</t>
  </si>
  <si>
    <t>Adam Early</t>
  </si>
  <si>
    <t>Luke Oliver</t>
  </si>
  <si>
    <t>Arturo Mori</t>
  </si>
  <si>
    <t>Mikaylee Supak</t>
  </si>
  <si>
    <t>Eric Osgood</t>
  </si>
  <si>
    <t>Gabriel Ochoa</t>
  </si>
  <si>
    <t>Alana Rada</t>
  </si>
  <si>
    <t>Diana Gonzalez</t>
  </si>
  <si>
    <t>Genesis Soto</t>
  </si>
  <si>
    <t>Arisceiola Soto</t>
  </si>
  <si>
    <t>Ellie Patterson</t>
  </si>
  <si>
    <t>Ryan Walsh</t>
  </si>
  <si>
    <t>Jay Schroeder</t>
  </si>
  <si>
    <t>Kierra Schroeder</t>
  </si>
  <si>
    <t>Scott McGlynn</t>
  </si>
  <si>
    <t>Victoria Villatoro</t>
  </si>
  <si>
    <t>Wilmar Ordonez</t>
  </si>
  <si>
    <t>Fredy Lozano</t>
  </si>
  <si>
    <t>Charlie Bailey</t>
  </si>
  <si>
    <t>Toluwani Ijaseun</t>
  </si>
  <si>
    <t>Verenice Levario</t>
  </si>
  <si>
    <t>Peter Larson</t>
  </si>
  <si>
    <t>David Dishaw</t>
  </si>
  <si>
    <t>Dean Manley</t>
  </si>
  <si>
    <t>Ethan Fox</t>
  </si>
  <si>
    <t>Brody Anderson</t>
  </si>
  <si>
    <t>Jake Freeman</t>
  </si>
  <si>
    <t>Colton Amundson</t>
  </si>
  <si>
    <t>Andres Calvillo</t>
  </si>
  <si>
    <t>Harsh Patel</t>
  </si>
  <si>
    <t>Jakob Savage</t>
  </si>
  <si>
    <t>Jackson Rapaport</t>
  </si>
  <si>
    <t>Logan Orvedahl</t>
  </si>
  <si>
    <t>Jason Pozzi</t>
  </si>
  <si>
    <t>Joey Gagliardino</t>
  </si>
  <si>
    <t>Graham Hatley</t>
  </si>
  <si>
    <t>Preston Beck</t>
  </si>
  <si>
    <t>Luke Rapaport</t>
  </si>
  <si>
    <t>Camren Legere</t>
  </si>
  <si>
    <t>Elijah Chacon</t>
  </si>
  <si>
    <t>Preston Whitlock</t>
  </si>
  <si>
    <t>Amaris Torres</t>
  </si>
  <si>
    <t>Madalyn Solis</t>
  </si>
  <si>
    <t>Zach Frazier</t>
  </si>
  <si>
    <t>Evan Platt</t>
  </si>
  <si>
    <t>Harper Griffin</t>
  </si>
  <si>
    <t>Jean Beebe</t>
  </si>
  <si>
    <t>Justice Lloyd</t>
  </si>
  <si>
    <t>Gavin Box</t>
  </si>
  <si>
    <t>Abigail Gil</t>
  </si>
  <si>
    <t>Gwyneth Simank</t>
  </si>
  <si>
    <t>Gray Simank</t>
  </si>
  <si>
    <t>Quincy Jackson</t>
  </si>
  <si>
    <t>Francisco Parodi</t>
  </si>
  <si>
    <t>Nicole Rissell</t>
  </si>
  <si>
    <t>Tose Milone</t>
  </si>
  <si>
    <t>Ellie Chei</t>
  </si>
  <si>
    <t>Grace Sarah Denman</t>
  </si>
  <si>
    <t>Chris Andrews</t>
  </si>
  <si>
    <t>Jose Hernandez</t>
  </si>
  <si>
    <t>Christopher Vasquez</t>
  </si>
  <si>
    <t>Atiana Gamble</t>
  </si>
  <si>
    <t>Erin Kinglsey</t>
  </si>
  <si>
    <t>Lineli Rodas</t>
  </si>
  <si>
    <t>Scott Cain</t>
  </si>
  <si>
    <t>Cooper Scanlon</t>
  </si>
  <si>
    <t>Margaret Anderson</t>
  </si>
  <si>
    <t>Rachel Banbury</t>
  </si>
  <si>
    <t>Don Dumbacher</t>
  </si>
  <si>
    <t>Dave Rofkahr</t>
  </si>
  <si>
    <t>Manny Martinez</t>
  </si>
  <si>
    <t>Jared Deperna</t>
  </si>
  <si>
    <t>Lacey Uhre</t>
  </si>
  <si>
    <t>Dominque Gamboa</t>
  </si>
  <si>
    <t>Emma Lawrence</t>
  </si>
  <si>
    <t>Jacob Robinett</t>
  </si>
  <si>
    <t>Gywn Simank</t>
  </si>
  <si>
    <t>Russell Bass</t>
  </si>
  <si>
    <t>Parker Wagner</t>
  </si>
  <si>
    <t>Addison Wagner</t>
  </si>
  <si>
    <t>Shannon McArthur</t>
  </si>
  <si>
    <t>Cali Gomez</t>
  </si>
  <si>
    <t>Erika Hall</t>
  </si>
  <si>
    <t>Servando Benitez</t>
  </si>
  <si>
    <t>Ely Matthews</t>
  </si>
  <si>
    <t>Lydia Boughton</t>
  </si>
  <si>
    <t>Elizabeth Reger</t>
  </si>
  <si>
    <t>Paul Bechler</t>
  </si>
  <si>
    <t>Justin Wei</t>
  </si>
  <si>
    <t>Zachary Foster</t>
  </si>
  <si>
    <t>Lina Yeh</t>
  </si>
  <si>
    <t>Rose McCartney</t>
  </si>
  <si>
    <t>Tanner McCartney</t>
  </si>
  <si>
    <t>Cedric Carter II</t>
  </si>
  <si>
    <t>Amy Taylor</t>
  </si>
  <si>
    <t>Gail Henderson</t>
  </si>
  <si>
    <t>X(4.5)</t>
  </si>
  <si>
    <t>X(4.25)</t>
  </si>
  <si>
    <t>X(2.75)</t>
  </si>
  <si>
    <t>X(5)</t>
  </si>
  <si>
    <t>X(3.5)</t>
  </si>
  <si>
    <t>X(3)</t>
  </si>
  <si>
    <t>Kaitlyn Czajkowski</t>
  </si>
  <si>
    <t>David Bauducco</t>
  </si>
  <si>
    <t>Mayeli Saldana</t>
  </si>
  <si>
    <t>Hunter Hall</t>
  </si>
  <si>
    <t>Valerie Maldonado</t>
  </si>
  <si>
    <t>Andrea Markezich</t>
  </si>
  <si>
    <t>Tiffany Turner</t>
  </si>
  <si>
    <t>Eboney Mitchell</t>
  </si>
  <si>
    <t>Hayley Dryer</t>
  </si>
  <si>
    <t>Lydie Nsoga</t>
  </si>
  <si>
    <t>Jake O'Loughlin</t>
  </si>
  <si>
    <t>Jacob Leblanc</t>
  </si>
  <si>
    <t>Nirvana Jackson</t>
  </si>
  <si>
    <t>Lauren Vega</t>
  </si>
  <si>
    <t>Yuchao Wang</t>
  </si>
  <si>
    <t>Zabdi Barrera</t>
  </si>
  <si>
    <t>Auburn Staples</t>
  </si>
  <si>
    <t>Mikaylie Neptune</t>
  </si>
  <si>
    <t>Maely Thomasson</t>
  </si>
  <si>
    <t>Saypri Nuñez</t>
  </si>
  <si>
    <t>Sophia Denu</t>
  </si>
  <si>
    <t>Jordan Homan</t>
  </si>
  <si>
    <t>Brendan Smick</t>
  </si>
  <si>
    <t>Crissy Hernandez</t>
  </si>
  <si>
    <t>WEEK</t>
  </si>
  <si>
    <t>Meals</t>
  </si>
  <si>
    <t>2024 Total</t>
  </si>
  <si>
    <t>Saturday</t>
  </si>
  <si>
    <t>Sunday</t>
  </si>
  <si>
    <t>2025 Total</t>
  </si>
  <si>
    <t>2026 Total</t>
  </si>
  <si>
    <t>GRAND TOTAL</t>
  </si>
  <si>
    <t>2024 Meal Prep Hours</t>
  </si>
  <si>
    <t>2024 Handout Hours</t>
  </si>
  <si>
    <t>2025 Meal Prep Hours</t>
  </si>
  <si>
    <t>2025 Saturday Handouts</t>
  </si>
  <si>
    <t>2025 Sunday Handouts</t>
  </si>
  <si>
    <t>2025 Other Task Hours</t>
  </si>
  <si>
    <t>2026 Meal Prep Hours</t>
  </si>
  <si>
    <t>2026 Saturday Handouts</t>
  </si>
  <si>
    <t>2026 Sunday Handouts</t>
  </si>
  <si>
    <t>2026 Other Task Hours</t>
  </si>
  <si>
    <t>Total:</t>
  </si>
  <si>
    <t>Date</t>
  </si>
  <si>
    <t>From</t>
  </si>
  <si>
    <t>Amount</t>
  </si>
  <si>
    <t>Cost</t>
  </si>
  <si>
    <t>Total Cost</t>
  </si>
  <si>
    <t>1/24-5/25</t>
  </si>
  <si>
    <t>Donated from various donors</t>
  </si>
  <si>
    <t>Lifeway.com 760 CSB &amp; 40 Spanish NIV Bibles</t>
  </si>
  <si>
    <t>Lifeway.com 300 CSB Large Print Bibles &amp; 1 Spanish NIV</t>
  </si>
  <si>
    <t>Spanish Bibles off Biblesinbulk.com</t>
  </si>
  <si>
    <t>Lifeway.com 400 CSB Large Print Bible &amp; 300 Small CSB NT</t>
  </si>
  <si>
    <t>Biblesinbulk.com NIV Santa Biblia Large Print</t>
  </si>
  <si>
    <t>Christianbook.com 100 Santa Biblia Letra Grande</t>
  </si>
  <si>
    <t>Lifeway.com 400 CSB Large Print Bibles</t>
  </si>
  <si>
    <t>Volunteer</t>
  </si>
  <si>
    <t>Hours</t>
  </si>
  <si>
    <t>Reason/Task</t>
  </si>
  <si>
    <t>Total Hours</t>
  </si>
  <si>
    <t xml:space="preserve">Tony Latvenas </t>
  </si>
  <si>
    <t>Updating Website and spreadsheets</t>
  </si>
  <si>
    <t>Clening donated fridge for use</t>
  </si>
  <si>
    <t xml:space="preserve">Worked on getting website to send emails to me for volunteer and donation submissions </t>
  </si>
  <si>
    <t>Scouting new areas for more people and second route</t>
  </si>
  <si>
    <t>Updating sheets and accounting</t>
  </si>
  <si>
    <t>Updating Volunteer Hours</t>
  </si>
  <si>
    <t>Updating Accounting Sheet and Volunteer List</t>
  </si>
  <si>
    <t>Getting Supplies at Walmart &amp; Updating Sheets and site</t>
  </si>
  <si>
    <t>Updating sheets, accounting &amp; website</t>
  </si>
  <si>
    <t>Working on Calender Volunteer Form for Website</t>
  </si>
  <si>
    <t>Working on Website Volunteer Page</t>
  </si>
  <si>
    <t>Working on webiste clean up and Mission Page</t>
  </si>
  <si>
    <t>Working on Brochure Development and Design</t>
  </si>
  <si>
    <t>Abraham Pena</t>
  </si>
  <si>
    <t>Printing Labels and pre night prep</t>
  </si>
  <si>
    <t>Working on building new wesbite, talking to dev team, ordering sample shirts, &amp; designing truck decals</t>
  </si>
  <si>
    <t>Working on website, designed and ordered QR Stickers</t>
  </si>
  <si>
    <t>Food shopping, prep set up &amp; labels</t>
  </si>
  <si>
    <t>Updating Website, spreadsheets &amp; Accounting</t>
  </si>
  <si>
    <t>Working on business outreach systems, ordered merch samples</t>
  </si>
  <si>
    <t>Rearanging the supplies/bibles in garage, food shopping, prep set up, labels, &amp; walkie talkie set up</t>
  </si>
  <si>
    <t xml:space="preserve">Bible, cart and cooler unboxing, &amp; Flyer creation for Jesus Jam Fest </t>
  </si>
  <si>
    <t>Jesus Jam Fest Outreach</t>
  </si>
  <si>
    <t>Social Media meeting, content creation, post scheduling</t>
  </si>
  <si>
    <t>Promo video script writing and planning</t>
  </si>
  <si>
    <t>Joseph Johnson</t>
  </si>
  <si>
    <t xml:space="preserve">Ministry Team Meeting </t>
  </si>
  <si>
    <t>Table Outreach at ACYA</t>
  </si>
  <si>
    <t>Table set up on trail "free water and prayer"</t>
  </si>
  <si>
    <t>Jason Diggs</t>
  </si>
  <si>
    <t>Volunteered for Made To Serve Worship Night</t>
  </si>
  <si>
    <t>Lexi Gibbs</t>
  </si>
  <si>
    <t>Justin Pferdehirt</t>
  </si>
  <si>
    <t>Dre Giscombe</t>
  </si>
  <si>
    <t>Sydney Frank</t>
  </si>
  <si>
    <t>Nico Zinsmeyer</t>
  </si>
  <si>
    <t>Nate Gelabert</t>
  </si>
  <si>
    <t>Isaac Young</t>
  </si>
  <si>
    <t>Sunitha Konatham</t>
  </si>
  <si>
    <t>Blake Fuller</t>
  </si>
  <si>
    <t>Nick Castro</t>
  </si>
  <si>
    <t>Jarred Longoria</t>
  </si>
  <si>
    <t>Caleb Vigil</t>
  </si>
  <si>
    <t xml:space="preserve">Social Media Team Meeting </t>
  </si>
  <si>
    <t>Name</t>
  </si>
  <si>
    <t>Email</t>
  </si>
  <si>
    <t>Phone</t>
  </si>
  <si>
    <t># Of Volunteers</t>
  </si>
  <si>
    <t>Tony Latvenas</t>
  </si>
  <si>
    <t>tonylatvenas@gmail.com</t>
  </si>
  <si>
    <t>rrinehart858@gmail.com</t>
  </si>
  <si>
    <t>Viviana Norman</t>
  </si>
  <si>
    <t>vivinorman010@gmail.com</t>
  </si>
  <si>
    <t>ajpearce03@gmail.com</t>
  </si>
  <si>
    <t>kaedencameron@icloud.com</t>
  </si>
  <si>
    <t>anevae.barrera3@gmail.com</t>
  </si>
  <si>
    <t>Christopher Latvenas</t>
  </si>
  <si>
    <t>cnblat@gmail.com</t>
  </si>
  <si>
    <t>John Merritt</t>
  </si>
  <si>
    <t>johndavidmerritt22@gmail.com</t>
  </si>
  <si>
    <t>Matthew Claflin</t>
  </si>
  <si>
    <t>mjwct12@yahoo.com</t>
  </si>
  <si>
    <t>alexf23707@gmail.com</t>
  </si>
  <si>
    <t>camaro1457@gmail.com</t>
  </si>
  <si>
    <t>always4everadancer@msn.com</t>
  </si>
  <si>
    <t>tvayon@live.com</t>
  </si>
  <si>
    <t>jeffrobarnhart@gmail.com</t>
  </si>
  <si>
    <t>Jon Yates</t>
  </si>
  <si>
    <t>jyatespe@gmail.com</t>
  </si>
  <si>
    <t>katiatapia679@gmail.com</t>
  </si>
  <si>
    <t>cordellmazz@gmail.com</t>
  </si>
  <si>
    <t>Leah Guesman</t>
  </si>
  <si>
    <t>leahgues77@gmail.com</t>
  </si>
  <si>
    <t>naya.domingo@colostate.edu</t>
  </si>
  <si>
    <t>joelsteveng@gmail.com</t>
  </si>
  <si>
    <t>jamesosneadeo@gmail.com</t>
  </si>
  <si>
    <t>rubyjc70@gmail.com</t>
  </si>
  <si>
    <t>psarahtonen@gmail.com</t>
  </si>
  <si>
    <t>mckennonrice@gmail.com</t>
  </si>
  <si>
    <t>efg3336@yahoo.com</t>
  </si>
  <si>
    <t>Skyler Sumers</t>
  </si>
  <si>
    <t>skylersumers1@gmail.com</t>
  </si>
  <si>
    <t>tyanlove2fly@gmail.com</t>
  </si>
  <si>
    <t>Alexis Norman</t>
  </si>
  <si>
    <t>alnorman117@gmail.com</t>
  </si>
  <si>
    <t>abrahampena95@hotmail.com</t>
  </si>
  <si>
    <t>tayloralvarez01@gmail.com</t>
  </si>
  <si>
    <t>kevin.champagne8@gmail.com</t>
  </si>
  <si>
    <t>gcm958@utexas.edu</t>
  </si>
  <si>
    <t>Abhijay</t>
  </si>
  <si>
    <t>Que Troung</t>
  </si>
  <si>
    <t>eric@burnettinbox.com</t>
  </si>
  <si>
    <t>tuckertrejo15@gmail.com</t>
  </si>
  <si>
    <t>ntaresteve@gmail.com</t>
  </si>
  <si>
    <t>abbyantonov8@gmail.com</t>
  </si>
  <si>
    <t>srrinehart@gmail.com</t>
  </si>
  <si>
    <t>Ryan Mikula</t>
  </si>
  <si>
    <t>sofia.harms@g.austincc.edu</t>
  </si>
  <si>
    <t>nataliadominguezal@gmail.com</t>
  </si>
  <si>
    <t>braeden.litchfield@icloud.com</t>
  </si>
  <si>
    <t>hsabraham28@gmail.com</t>
  </si>
  <si>
    <t>kaylawilliams099@gmail.com</t>
  </si>
  <si>
    <t>biaginiws@gmail.com</t>
  </si>
  <si>
    <t>madison.dagenais03@gmail.com</t>
  </si>
  <si>
    <t>trippg0206@gmail.com</t>
  </si>
  <si>
    <t>jacqueline9792@gmail.com</t>
  </si>
  <si>
    <t>liberty.davidson@gmail.com</t>
  </si>
  <si>
    <t>allisonpowellbusiness@gmail.com</t>
  </si>
  <si>
    <t>paigebyrd14@yahoo.com</t>
  </si>
  <si>
    <t>nathan.zebedee@gmai.com</t>
  </si>
  <si>
    <t>maddenjacob22@gmail.com</t>
  </si>
  <si>
    <t>herndest2005@gmail.com</t>
  </si>
  <si>
    <t>elbressler@gmail.com</t>
  </si>
  <si>
    <t>jgrace.mendoza@gmail.com</t>
  </si>
  <si>
    <t>aagggibson@gmail.com</t>
  </si>
  <si>
    <t>paulzhdan@gmail.com</t>
  </si>
  <si>
    <t>NA</t>
  </si>
  <si>
    <t>reedshowecker@gmail.com</t>
  </si>
  <si>
    <t>rohitmrfhem@gmail.com</t>
  </si>
  <si>
    <t>ashleighharvey22@gmail.com</t>
  </si>
  <si>
    <t>ppritch21@gmail.com</t>
  </si>
  <si>
    <t>Lena Delbianco</t>
  </si>
  <si>
    <t>lenamariadelb@gmail.com</t>
  </si>
  <si>
    <t>Melinda Rinehart</t>
  </si>
  <si>
    <t>npfiester@icloud.com</t>
  </si>
  <si>
    <t>rpruski@valoreducation.org</t>
  </si>
  <si>
    <t>aydenwilson13@gmail.com</t>
  </si>
  <si>
    <t>caseywoodard56@gmail.com</t>
  </si>
  <si>
    <t>gracieaton@gmail.com</t>
  </si>
  <si>
    <t>evakate98@yahoo.com</t>
  </si>
  <si>
    <t>kaden.deberardinis@yahoo.com</t>
  </si>
  <si>
    <t>Ana Margarita Henriquez</t>
  </si>
  <si>
    <t>anamargaritahenriquez@gmail.com</t>
  </si>
  <si>
    <t>hagenmorford@gmail.com</t>
  </si>
  <si>
    <t>wiktoria-olszak10@wp.pl</t>
  </si>
  <si>
    <t>esteraflasx@gmail.com</t>
  </si>
  <si>
    <t>donovan.daniels50@gmail.com</t>
  </si>
  <si>
    <t>james.pre.caswell@gmail.com</t>
  </si>
  <si>
    <t>bresslc5@gmail.com</t>
  </si>
  <si>
    <t>Gloria Nieto</t>
  </si>
  <si>
    <t>nietogloria12@gmail.com</t>
  </si>
  <si>
    <t>gardengirl00@me.com</t>
  </si>
  <si>
    <t>tammim.satar@yahoo.com</t>
  </si>
  <si>
    <t>tyler78734@gmail.com</t>
  </si>
  <si>
    <t>annieperez2003@icloud.com</t>
  </si>
  <si>
    <t>jordan.forsythe@austinridge.org</t>
  </si>
  <si>
    <t>chkus2024@gmail.com</t>
  </si>
  <si>
    <t>annabelcer5@gmail.com</t>
  </si>
  <si>
    <t>Joshua Pope</t>
  </si>
  <si>
    <t>joshua.pope.864@gmail.com</t>
  </si>
  <si>
    <t>hadleyccarr@gmail.com</t>
  </si>
  <si>
    <t>natbh12@icloud.com</t>
  </si>
  <si>
    <t>byhisgrace.hg@hotmail.com</t>
  </si>
  <si>
    <t>anthonylamar2314@yahoo.com</t>
  </si>
  <si>
    <t>mauricioleverone@gmail.com</t>
  </si>
  <si>
    <t>rhondregiscombe@gmail.com</t>
  </si>
  <si>
    <t>Jok Mawut Mayen Jok</t>
  </si>
  <si>
    <t>jokmawut8@gmail.com</t>
  </si>
  <si>
    <t>wallace.v.chen@vanderbilt.edu</t>
  </si>
  <si>
    <t>kcui2014@gmail.com</t>
  </si>
  <si>
    <t>shin.johnnyv@gmail.com</t>
  </si>
  <si>
    <t>molloy_matt@att.net</t>
  </si>
  <si>
    <t>navendabria1@gmail.com</t>
  </si>
  <si>
    <t>eaeggnog18@gmail.com</t>
  </si>
  <si>
    <t>kynznicole@gmail.com</t>
  </si>
  <si>
    <t>leonjohnson689@gmail.com</t>
  </si>
  <si>
    <t>mbward001@gmail.com</t>
  </si>
  <si>
    <t>justin szumski</t>
  </si>
  <si>
    <t>justinszumski@gmail.com</t>
  </si>
  <si>
    <t>eviemcneil3@gmail.com</t>
  </si>
  <si>
    <t>sophiedalen@gmail.com</t>
  </si>
  <si>
    <t>sarahminton97@gmail.com</t>
  </si>
  <si>
    <t>jessicastomberg5@gmail.com</t>
  </si>
  <si>
    <t>ellie duda</t>
  </si>
  <si>
    <t>ellieduda@gmail.com</t>
  </si>
  <si>
    <t>charitymohler@gmail.com</t>
  </si>
  <si>
    <t>nikkochaz@gmail.com</t>
  </si>
  <si>
    <t>Wesley Foreman II</t>
  </si>
  <si>
    <t>wesdarman@me.com</t>
  </si>
  <si>
    <t>ansleyrd@gmail.com</t>
  </si>
  <si>
    <t>isaiahstudivent119@gmail.com</t>
  </si>
  <si>
    <t>yareli.villagran@yahoo.com</t>
  </si>
  <si>
    <t>brandondelfin17@icloud.com</t>
  </si>
  <si>
    <t>fraybonilla12@gmail.com</t>
  </si>
  <si>
    <t>lee.jonathan.888@gmail.com</t>
  </si>
  <si>
    <t>taylor.brudos@gmail.com</t>
  </si>
  <si>
    <t>jonahsam101@gmail.com</t>
  </si>
  <si>
    <t>shaniasmusic@gmail.com</t>
  </si>
  <si>
    <t>kevsipa@gmail.com</t>
  </si>
  <si>
    <t>sanchez.samantha97@gmail.com</t>
  </si>
  <si>
    <t>morcombs25@gmail.com</t>
  </si>
  <si>
    <t>luclechner@icloud.com</t>
  </si>
  <si>
    <t>newtontran7@gmail.com</t>
  </si>
  <si>
    <t>kib446@utexas.edu</t>
  </si>
  <si>
    <t>judithkalynnguerra@gmail.com</t>
  </si>
  <si>
    <t>Elijah Puchalski</t>
  </si>
  <si>
    <t>puchalskieli@gmail.com</t>
  </si>
  <si>
    <t>tylerd.rose21@gmail.com</t>
  </si>
  <si>
    <t>amyxnguyen@utexas.edu</t>
  </si>
  <si>
    <t>williamtu2009@gmail.com</t>
  </si>
  <si>
    <t>tienh7657@gmail.com</t>
  </si>
  <si>
    <t>elliegrichardson@gmail.com</t>
  </si>
  <si>
    <t>logana0403@gmail.com</t>
  </si>
  <si>
    <t>wyliehawkinsffl@gmail.com</t>
  </si>
  <si>
    <t>elainagiolando@gmail.com</t>
  </si>
  <si>
    <t>jasminestoltzfus02@gmail.com</t>
  </si>
  <si>
    <t>Tomas Longoria</t>
  </si>
  <si>
    <t>ricardo.t.longoria@gmail.com</t>
  </si>
  <si>
    <t>512darik@gmail.com</t>
  </si>
  <si>
    <t>kmsheerin15@gmail.com</t>
  </si>
  <si>
    <t>johnkerv@gmail.com</t>
  </si>
  <si>
    <t>alley3033@gmail.com</t>
  </si>
  <si>
    <t>shelbyaustinn@gmail.com</t>
  </si>
  <si>
    <t>matthew.driskill01@gmail.com</t>
  </si>
  <si>
    <t>wilkie.miller@vianations.org</t>
  </si>
  <si>
    <t>lukemartin1699@gmail.com</t>
  </si>
  <si>
    <t>isaiah.butts44@gmail.com</t>
  </si>
  <si>
    <t>bayleeolsen58@gmail.com</t>
  </si>
  <si>
    <t>Zachary Kahle</t>
  </si>
  <si>
    <t>zak.kahle@gmail.com</t>
  </si>
  <si>
    <t>rachelrushing@utexas.edu</t>
  </si>
  <si>
    <t>dhartley93@gmail.com</t>
  </si>
  <si>
    <t>jacobrobinettr@gmail.com</t>
  </si>
  <si>
    <t>elexusmieraaa@icloud.com</t>
  </si>
  <si>
    <t>keilanifran@gmail.com</t>
  </si>
  <si>
    <t>robertcarmona1030@icloud.com</t>
  </si>
  <si>
    <t>jlparker@cgtholdingsllc.com</t>
  </si>
  <si>
    <t>tuckeroelsen@gmail.com</t>
  </si>
  <si>
    <t>ilhilario13@gmail.com</t>
  </si>
  <si>
    <t>andrewquaza71@gmail.com</t>
  </si>
  <si>
    <t>Jared Oliveira</t>
  </si>
  <si>
    <t>jaredsamuel98@gmail.com</t>
  </si>
  <si>
    <t>josiahnpais@gmail.com</t>
  </si>
  <si>
    <t>rachelmichelle58@gmail.com</t>
  </si>
  <si>
    <t>hannahe1498@gmail.com</t>
  </si>
  <si>
    <t>Olivia deLeon</t>
  </si>
  <si>
    <t>oliviah.del@gmail.com</t>
  </si>
  <si>
    <t>tuskirico11@icloud.com</t>
  </si>
  <si>
    <t>leilanihernandez455@gmail.com</t>
  </si>
  <si>
    <t>+17373894296</t>
  </si>
  <si>
    <t>knspradling@gmail.com</t>
  </si>
  <si>
    <t>+15129222504</t>
  </si>
  <si>
    <t>izzie_powell@yahoo.com</t>
  </si>
  <si>
    <t>+15129254571</t>
  </si>
  <si>
    <t>grandathlete42@gmail.com</t>
  </si>
  <si>
    <t>+15126614754</t>
  </si>
  <si>
    <t>bcohorst@gmail.com</t>
  </si>
  <si>
    <t>+15125909145</t>
  </si>
  <si>
    <t>india.williams00126@gmail.com</t>
  </si>
  <si>
    <t>+19792863141</t>
  </si>
  <si>
    <t>danadrahos@gmail.com</t>
  </si>
  <si>
    <t>+14458955227</t>
  </si>
  <si>
    <t>jalesalewis01@gmail.com</t>
  </si>
  <si>
    <t>+13302685261</t>
  </si>
  <si>
    <t>josunflower86468@gmail.com</t>
  </si>
  <si>
    <t>+15413269635</t>
  </si>
  <si>
    <t>Kaitlyn McCourt</t>
  </si>
  <si>
    <t>katiemccourt18@gmail.com</t>
  </si>
  <si>
    <t>+18087995213</t>
  </si>
  <si>
    <t>lopez2011.db@gmail.com</t>
  </si>
  <si>
    <t>+15128972840</t>
  </si>
  <si>
    <t>tarynstauffer@gmail.com</t>
  </si>
  <si>
    <t>+17176441857</t>
  </si>
  <si>
    <t>nkbudden@yahoo.com</t>
  </si>
  <si>
    <t>+12818929677</t>
  </si>
  <si>
    <t>adme82@icloud.com</t>
  </si>
  <si>
    <t>+15125898513</t>
  </si>
  <si>
    <t>anmams28@gmail.com</t>
  </si>
  <si>
    <t>+15127913171</t>
  </si>
  <si>
    <t>angelinabriceno4602.44@gmail.com</t>
  </si>
  <si>
    <t>+17372315130</t>
  </si>
  <si>
    <t>spencer.robbins02@gmail.com</t>
  </si>
  <si>
    <t>+16154879507</t>
  </si>
  <si>
    <t>skylarsage10@gmail.com</t>
  </si>
  <si>
    <t>+18589975932</t>
  </si>
  <si>
    <t>Anya Whitman</t>
  </si>
  <si>
    <t>N/A</t>
  </si>
  <si>
    <t>kd0300751@gmail.com</t>
  </si>
  <si>
    <t>+13379404173</t>
  </si>
  <si>
    <t>martinezhailee11@gmail.com</t>
  </si>
  <si>
    <t>+15753181447</t>
  </si>
  <si>
    <t>debbie.22.aviles@gmail.com</t>
  </si>
  <si>
    <t>+19154493925</t>
  </si>
  <si>
    <t>cwhann@me.com</t>
  </si>
  <si>
    <t>+14699947626</t>
  </si>
  <si>
    <t>lgj1116@gmail.com</t>
  </si>
  <si>
    <t>+12294607101</t>
  </si>
  <si>
    <t>gracekogden@gmail.com</t>
  </si>
  <si>
    <t>+15124203589</t>
  </si>
  <si>
    <t>drew.gieschen@icloud.com</t>
  </si>
  <si>
    <t>+14024991061</t>
  </si>
  <si>
    <t>elijahchance26@gmail.com</t>
  </si>
  <si>
    <t>+12147851556</t>
  </si>
  <si>
    <t>jasminesalazar24@gmail.com</t>
  </si>
  <si>
    <t>+12545482492</t>
  </si>
  <si>
    <t>faith.loving3@gmail.com</t>
  </si>
  <si>
    <t>+18305156881</t>
  </si>
  <si>
    <t>79mariah.s@gmail.com</t>
  </si>
  <si>
    <t>+13255139772</t>
  </si>
  <si>
    <t>Valentina Murra</t>
  </si>
  <si>
    <t>vaale.murra@gmail.com</t>
  </si>
  <si>
    <t>+19542327990</t>
  </si>
  <si>
    <t>+14127704457</t>
  </si>
  <si>
    <t>Bradley Lackey</t>
  </si>
  <si>
    <t>lackeybrad5@gmail.com</t>
  </si>
  <si>
    <t>+13609534509</t>
  </si>
  <si>
    <t>eric908458@gmail.com</t>
  </si>
  <si>
    <t>+19084582906</t>
  </si>
  <si>
    <t>Tristan Workman</t>
  </si>
  <si>
    <t>tristanworkmanofficial@gmail.com</t>
  </si>
  <si>
    <t>+18284497100</t>
  </si>
  <si>
    <t>gkatelyn2019@gmail.com</t>
  </si>
  <si>
    <t>+15125735614</t>
  </si>
  <si>
    <t>Jake Depwe</t>
  </si>
  <si>
    <t>jake.depwe@g.austincc.edu</t>
  </si>
  <si>
    <t>+15126328402</t>
  </si>
  <si>
    <t>renteriadamariz@gmail.com</t>
  </si>
  <si>
    <t>+19157909958</t>
  </si>
  <si>
    <t>kayla.jayo@yahoo.com</t>
  </si>
  <si>
    <t>+12109543401</t>
  </si>
  <si>
    <t>rickycasco@gmail.com</t>
  </si>
  <si>
    <t>+18082500835</t>
  </si>
  <si>
    <t>paige.previvor@gmail.com</t>
  </si>
  <si>
    <t>+19495006431</t>
  </si>
  <si>
    <t>ariannatalford55@gmail.com</t>
  </si>
  <si>
    <t>+17372290729</t>
  </si>
  <si>
    <t>malynromero93@gmail.com</t>
  </si>
  <si>
    <t>+17034896892</t>
  </si>
  <si>
    <t>reaganpopoff@yahoo.com</t>
  </si>
  <si>
    <t>+14695603930</t>
  </si>
  <si>
    <t>jnfuhr07@gmail.com</t>
  </si>
  <si>
    <t>+15128760906</t>
  </si>
  <si>
    <t xml:space="preserve">Joseph Johnson </t>
  </si>
  <si>
    <t>gracynwebb@gmail.com</t>
  </si>
  <si>
    <t>+16613108548</t>
  </si>
  <si>
    <t>camerondavidson1234@yahoo.com</t>
  </si>
  <si>
    <t>+17134197469</t>
  </si>
  <si>
    <t>kingsley.erin@gmail.com</t>
  </si>
  <si>
    <t>+15106809511</t>
  </si>
  <si>
    <t>ramos12victoria@gmail.com</t>
  </si>
  <si>
    <t>+19565086037</t>
  </si>
  <si>
    <t>ethanrifebusiness@gmail.com</t>
  </si>
  <si>
    <t>+15414109280</t>
  </si>
  <si>
    <t>Ashley Guerrero</t>
  </si>
  <si>
    <t>ashleymichelle530@gmail.com</t>
  </si>
  <si>
    <t>+15127571099</t>
  </si>
  <si>
    <t>dominiquegamboa98@gmail.com</t>
  </si>
  <si>
    <t>+15129945887</t>
  </si>
  <si>
    <t>jpferdy2@gmail.com</t>
  </si>
  <si>
    <t>+14122775271</t>
  </si>
  <si>
    <t>jpferdy@gmail.com</t>
  </si>
  <si>
    <t>+14125159900</t>
  </si>
  <si>
    <t>Leone Cruz</t>
  </si>
  <si>
    <t>cruzjuanleo@gmail.com</t>
  </si>
  <si>
    <t>+15124580676</t>
  </si>
  <si>
    <t>brandon.howard20@yahoo.com</t>
  </si>
  <si>
    <t>+16826663838</t>
  </si>
  <si>
    <t>trent.lank.006@gmail.com</t>
  </si>
  <si>
    <t>+19722149058</t>
  </si>
  <si>
    <t>Daniel DiDonna</t>
  </si>
  <si>
    <t>ddidonna205@gmail.com</t>
  </si>
  <si>
    <t>+19152083854</t>
  </si>
  <si>
    <t>lesley diaz</t>
  </si>
  <si>
    <t>lesley.diaz@ymail.com</t>
  </si>
  <si>
    <t>+15127052728</t>
  </si>
  <si>
    <t>kiarashaywood@gmail.com</t>
  </si>
  <si>
    <t>+17372228736</t>
  </si>
  <si>
    <t>kaylagustafson9@gmail.com</t>
  </si>
  <si>
    <t>+16507539722</t>
  </si>
  <si>
    <t>mandyomehe@gmail.com</t>
  </si>
  <si>
    <t>+14696014209</t>
  </si>
  <si>
    <t>angelicacastro19@yahoo.com</t>
  </si>
  <si>
    <t>+16156819667</t>
  </si>
  <si>
    <t>elidelphia7@gmail.com</t>
  </si>
  <si>
    <t>+15127673470</t>
  </si>
  <si>
    <t>jarvismilesjr@icloud.com</t>
  </si>
  <si>
    <t>+13463230794</t>
  </si>
  <si>
    <t>alannarvannoller@gmail.com</t>
  </si>
  <si>
    <t>+15129135775</t>
  </si>
  <si>
    <t>kennedyjohnson01@icloud.com</t>
  </si>
  <si>
    <t>+13463912232</t>
  </si>
  <si>
    <t>alzero123@gmail.com</t>
  </si>
  <si>
    <t>+17373365251</t>
  </si>
  <si>
    <t>katehansen04@gmail.com</t>
  </si>
  <si>
    <t>+18055512206</t>
  </si>
  <si>
    <t>a.tredinnick@protonmail.com</t>
  </si>
  <si>
    <t>+14436550778</t>
  </si>
  <si>
    <t>lizdodson98@gmail.com</t>
  </si>
  <si>
    <t>+13195309221</t>
  </si>
  <si>
    <t>miracle.johnson7@yahoo.com</t>
  </si>
  <si>
    <t>+12144074140</t>
  </si>
  <si>
    <t>Jozina Pacheco Gomez</t>
  </si>
  <si>
    <t>jozina.pachecog@gmail.com</t>
  </si>
  <si>
    <t>+50762730714</t>
  </si>
  <si>
    <t>cordsencambry@icloud.com</t>
  </si>
  <si>
    <t>+14693099299</t>
  </si>
  <si>
    <t>everett1421@gmail.com</t>
  </si>
  <si>
    <t>+12819063449</t>
  </si>
  <si>
    <t>garethsamb@att.net</t>
  </si>
  <si>
    <t>+14694069671</t>
  </si>
  <si>
    <t>worshipmusicdjs@gmail.com</t>
  </si>
  <si>
    <t>+17372020146</t>
  </si>
  <si>
    <t>atibarg08@gmail.com</t>
  </si>
  <si>
    <t>+15126690019</t>
  </si>
  <si>
    <t>emilyamiller210@gmail.com</t>
  </si>
  <si>
    <t>+16057500008</t>
  </si>
  <si>
    <t>207hjohnson@gmail.com</t>
  </si>
  <si>
    <t>+19368994248</t>
  </si>
  <si>
    <t>elysemariephoto@gmail.com</t>
  </si>
  <si>
    <t>+14099232083</t>
  </si>
  <si>
    <t>millerfamily@goldenwest.net</t>
  </si>
  <si>
    <t>+16057500068</t>
  </si>
  <si>
    <t>awosikademi@gmail.com</t>
  </si>
  <si>
    <t>+18323966278</t>
  </si>
  <si>
    <t>savetheturtlesksk@gmail.com</t>
  </si>
  <si>
    <t>+15125491501</t>
  </si>
  <si>
    <t>Florin Del Alba</t>
  </si>
  <si>
    <t>florindelalba@gmail.com</t>
  </si>
  <si>
    <t>+15419137565</t>
  </si>
  <si>
    <t>bianca.pozzi@outlook.com</t>
  </si>
  <si>
    <t>+17204483729</t>
  </si>
  <si>
    <t>galileaa2020@gmail.com</t>
  </si>
  <si>
    <t>+15128312921</t>
  </si>
  <si>
    <t>brandonsage15@gmail.com</t>
  </si>
  <si>
    <t>+16199851626</t>
  </si>
  <si>
    <t>anthony.pancamo@g.austincc.edu</t>
  </si>
  <si>
    <t>+15129959191</t>
  </si>
  <si>
    <t>cyndllwilliams7@gmail.com</t>
  </si>
  <si>
    <t>+17602290924</t>
  </si>
  <si>
    <t>nenwere@yahoo.com</t>
  </si>
  <si>
    <t>+18324156508</t>
  </si>
  <si>
    <t>pozzi.devin@gmail.com</t>
  </si>
  <si>
    <t>Evan dewitt</t>
  </si>
  <si>
    <t>evanpdewitt@gmail.com</t>
  </si>
  <si>
    <t>berenice.cheng@gmail.com</t>
  </si>
  <si>
    <t>Valerie Ciolac</t>
  </si>
  <si>
    <t>Tekluis@gmail.com</t>
  </si>
  <si>
    <t>seidlzl123@gmail.com</t>
  </si>
  <si>
    <t>+19202438630</t>
  </si>
  <si>
    <t>baxblackwood4@gmail.com</t>
  </si>
  <si>
    <t>+13038684845</t>
  </si>
  <si>
    <t>Tannya Oliva</t>
  </si>
  <si>
    <t>Gabriella Simpkins</t>
  </si>
  <si>
    <t>Victoria Villator</t>
  </si>
  <si>
    <t xml:space="preserve">Valerie Maldonado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</si>
</sst>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m/d/yy"/>
    <numFmt numFmtId="167" formatCode="mm/dd/yyyy"/>
  </numFmts>
  <fonts count="17">
    <font>
      <sz val="11.0"/>
      <color theme="1"/>
      <name val="Aptos Narrow"/>
      <scheme val="minor"/>
    </font>
    <font>
      <b/>
      <sz val="16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b/>
      <sz val="16.0"/>
      <color theme="1"/>
      <name val="Arial"/>
    </font>
    <font>
      <color theme="1"/>
      <name val="Aptos Narrow"/>
      <scheme val="minor"/>
    </font>
    <font>
      <sz val="20.0"/>
      <color theme="1"/>
      <name val="Aptos Narrow"/>
    </font>
    <font>
      <sz val="20.0"/>
      <color theme="1"/>
      <name val="Arial"/>
    </font>
    <font>
      <sz val="22.0"/>
      <color theme="1"/>
      <name val="Aptos Narrow"/>
    </font>
    <font>
      <sz val="14.0"/>
      <color theme="1"/>
      <name val="Aptos Narrow"/>
    </font>
    <font>
      <color theme="1"/>
      <name val="Arial"/>
    </font>
    <font>
      <sz val="22.0"/>
      <color theme="1"/>
      <name val="Arial"/>
    </font>
    <font>
      <b/>
      <sz val="20.0"/>
      <color theme="1"/>
      <name val="Aptos Narrow"/>
    </font>
    <font>
      <b/>
      <sz val="24.0"/>
      <color theme="1"/>
      <name val="Aptos Narrow"/>
    </font>
    <font>
      <b/>
      <sz val="28.0"/>
      <color theme="1"/>
      <name val="Arial"/>
    </font>
    <font>
      <sz val="14.0"/>
      <color theme="1"/>
      <name val="Arial"/>
    </font>
    <font>
      <u/>
      <sz val="14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60CBF3"/>
        <bgColor rgb="FF60CBF3"/>
      </patternFill>
    </fill>
  </fills>
  <borders count="20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Border="1" applyFont="1"/>
    <xf borderId="2" fillId="0" fontId="2" numFmtId="0" xfId="0" applyAlignment="1" applyBorder="1" applyFont="1">
      <alignment readingOrder="0"/>
    </xf>
    <xf borderId="2" fillId="0" fontId="3" numFmtId="14" xfId="0" applyBorder="1" applyFont="1" applyNumberFormat="1"/>
    <xf borderId="2" fillId="0" fontId="2" numFmtId="14" xfId="0" applyAlignment="1" applyBorder="1" applyFont="1" applyNumberFormat="1">
      <alignment readingOrder="0"/>
    </xf>
    <xf borderId="3" fillId="0" fontId="3" numFmtId="14" xfId="0" applyBorder="1" applyFont="1" applyNumberFormat="1"/>
    <xf borderId="4" fillId="3" fontId="1" numFmtId="0" xfId="0" applyBorder="1" applyFill="1" applyFont="1"/>
    <xf borderId="4" fillId="0" fontId="3" numFmtId="0" xfId="0" applyBorder="1" applyFont="1"/>
    <xf borderId="4" fillId="0" fontId="3" numFmtId="14" xfId="0" applyBorder="1" applyFont="1" applyNumberFormat="1"/>
    <xf borderId="5" fillId="0" fontId="3" numFmtId="0" xfId="0" applyBorder="1" applyFont="1"/>
    <xf borderId="1" fillId="2" fontId="3" numFmtId="0" xfId="0" applyBorder="1" applyFont="1"/>
    <xf borderId="1" fillId="2" fontId="2" numFmtId="0" xfId="0" applyAlignment="1" applyBorder="1" applyFont="1">
      <alignment readingOrder="0"/>
    </xf>
    <xf borderId="6" fillId="2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2" fontId="4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2" fontId="3" numFmtId="0" xfId="0" applyBorder="1" applyFont="1"/>
    <xf borderId="4" fillId="2" fontId="2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2" fillId="4" fontId="3" numFmtId="14" xfId="0" applyBorder="1" applyFill="1" applyFont="1" applyNumberFormat="1"/>
    <xf borderId="4" fillId="4" fontId="3" numFmtId="0" xfId="0" applyBorder="1" applyFont="1"/>
    <xf borderId="4" fillId="4" fontId="2" numFmtId="0" xfId="0" applyAlignment="1" applyBorder="1" applyFont="1">
      <alignment readingOrder="0"/>
    </xf>
    <xf borderId="4" fillId="4" fontId="3" numFmtId="0" xfId="0" applyAlignment="1" applyBorder="1" applyFont="1">
      <alignment readingOrder="0"/>
    </xf>
    <xf borderId="0" fillId="4" fontId="5" numFmtId="0" xfId="0" applyFont="1"/>
    <xf borderId="1" fillId="2" fontId="3" numFmtId="0" xfId="0" applyAlignment="1" applyBorder="1" applyFont="1">
      <alignment readingOrder="0"/>
    </xf>
    <xf borderId="12" fillId="2" fontId="1" numFmtId="0" xfId="0" applyBorder="1" applyFont="1"/>
    <xf borderId="13" fillId="0" fontId="1" numFmtId="0" xfId="0" applyBorder="1" applyFont="1"/>
    <xf borderId="14" fillId="2" fontId="1" numFmtId="0" xfId="0" applyBorder="1" applyFont="1"/>
    <xf borderId="15" fillId="3" fontId="1" numFmtId="0" xfId="0" applyBorder="1" applyFont="1"/>
    <xf borderId="14" fillId="2" fontId="3" numFmtId="0" xfId="0" applyBorder="1" applyFont="1"/>
    <xf borderId="16" fillId="0" fontId="3" numFmtId="0" xfId="0" applyBorder="1" applyFont="1"/>
    <xf borderId="5" fillId="0" fontId="2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14" fillId="2" fontId="2" numFmtId="0" xfId="0" applyAlignment="1" applyBorder="1" applyFont="1">
      <alignment readingOrder="0"/>
    </xf>
    <xf borderId="14" fillId="2" fontId="3" numFmtId="0" xfId="0" applyAlignment="1" applyBorder="1" applyFont="1">
      <alignment readingOrder="0"/>
    </xf>
    <xf borderId="17" fillId="2" fontId="3" numFmtId="0" xfId="0" applyBorder="1" applyFont="1"/>
    <xf borderId="18" fillId="2" fontId="6" numFmtId="0" xfId="0" applyBorder="1" applyFont="1"/>
    <xf borderId="18" fillId="2" fontId="6" numFmtId="3" xfId="0" applyBorder="1" applyFont="1" applyNumberFormat="1"/>
    <xf borderId="18" fillId="2" fontId="7" numFmtId="0" xfId="0" applyAlignment="1" applyBorder="1" applyFont="1">
      <alignment readingOrder="0"/>
    </xf>
    <xf borderId="18" fillId="2" fontId="7" numFmtId="3" xfId="0" applyAlignment="1" applyBorder="1" applyFont="1" applyNumberFormat="1">
      <alignment readingOrder="0"/>
    </xf>
    <xf borderId="18" fillId="3" fontId="8" numFmtId="3" xfId="0" applyBorder="1" applyFont="1" applyNumberFormat="1"/>
    <xf borderId="0" fillId="0" fontId="3" numFmtId="14" xfId="0" applyFont="1" applyNumberFormat="1"/>
    <xf borderId="0" fillId="0" fontId="5" numFmtId="0" xfId="0" applyFont="1"/>
    <xf borderId="18" fillId="3" fontId="9" numFmtId="3" xfId="0" applyBorder="1" applyFont="1" applyNumberFormat="1"/>
    <xf borderId="0" fillId="0" fontId="2" numFmtId="1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5" numFmtId="3" xfId="0" applyFont="1" applyNumberFormat="1"/>
    <xf borderId="18" fillId="3" fontId="11" numFmtId="3" xfId="0" applyAlignment="1" applyBorder="1" applyFont="1" applyNumberFormat="1">
      <alignment readingOrder="0"/>
    </xf>
    <xf borderId="18" fillId="3" fontId="8" numFmtId="0" xfId="0" applyBorder="1" applyFont="1"/>
    <xf borderId="18" fillId="2" fontId="6" numFmtId="164" xfId="0" applyBorder="1" applyFont="1" applyNumberFormat="1"/>
    <xf borderId="18" fillId="3" fontId="6" numFmtId="164" xfId="0" applyBorder="1" applyFont="1" applyNumberFormat="1"/>
    <xf borderId="0" fillId="0" fontId="3" numFmtId="164" xfId="0" applyFont="1" applyNumberFormat="1"/>
    <xf borderId="18" fillId="3" fontId="3" numFmtId="164" xfId="0" applyBorder="1" applyFont="1" applyNumberFormat="1"/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2" fontId="12" numFmtId="0" xfId="0" applyBorder="1" applyFont="1"/>
    <xf borderId="18" fillId="3" fontId="6" numFmtId="0" xfId="0" applyBorder="1" applyFont="1"/>
    <xf borderId="0" fillId="0" fontId="10" numFmtId="167" xfId="0" applyAlignment="1" applyFont="1" applyNumberFormat="1">
      <alignment readingOrder="0"/>
    </xf>
    <xf borderId="19" fillId="5" fontId="13" numFmtId="0" xfId="0" applyAlignment="1" applyBorder="1" applyFill="1" applyFont="1">
      <alignment shrinkToFit="0" wrapText="1"/>
    </xf>
    <xf borderId="19" fillId="5" fontId="13" numFmtId="0" xfId="0" applyAlignment="1" applyBorder="1" applyFont="1">
      <alignment horizontal="left" shrinkToFit="0" wrapText="1"/>
    </xf>
    <xf borderId="19" fillId="0" fontId="9" numFmtId="0" xfId="0" applyAlignment="1" applyBorder="1" applyFont="1">
      <alignment shrinkToFit="0" wrapText="1"/>
    </xf>
    <xf borderId="19" fillId="0" fontId="9" numFmtId="0" xfId="0" applyAlignment="1" applyBorder="1" applyFont="1">
      <alignment horizontal="left" shrinkToFit="0" wrapText="1"/>
    </xf>
    <xf borderId="18" fillId="3" fontId="14" numFmtId="0" xfId="0" applyAlignment="1" applyBorder="1" applyFont="1">
      <alignment readingOrder="0"/>
    </xf>
    <xf borderId="19" fillId="0" fontId="15" numFmtId="0" xfId="0" applyAlignment="1" applyBorder="1" applyFont="1">
      <alignment horizontal="left" readingOrder="0" shrinkToFit="0" wrapText="1"/>
    </xf>
    <xf borderId="19" fillId="0" fontId="15" numFmtId="0" xfId="0" applyAlignment="1" applyBorder="1" applyFont="1">
      <alignment readingOrder="0" shrinkToFit="0" wrapText="1"/>
    </xf>
    <xf borderId="19" fillId="0" fontId="16" numFmtId="0" xfId="0" applyAlignment="1" applyBorder="1" applyFont="1">
      <alignment shrinkToFit="0" wrapText="1"/>
    </xf>
    <xf quotePrefix="1" borderId="19" fillId="0" fontId="9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left" shrinkToFit="0" wrapText="1"/>
    </xf>
    <xf borderId="0" fillId="0" fontId="15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Volunteer Info-style">
      <tableStyleElement dxfId="1" type="firstRowStripe"/>
      <tableStyleElement dxfId="2" type="secondRowStripe"/>
    </tableStyle>
    <tableStyle count="2" pivot="0" name="Volunteer Info-style 2">
      <tableStyleElement dxfId="2" type="firstRowStripe"/>
      <tableStyleElement dxfId="1" type="secondRowStripe"/>
    </tableStyle>
    <tableStyle count="2" pivot="0" name="Volunteer Info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01:C201" displayName="Table_1" name="Table_1" id="1">
  <tableColumns count="3">
    <tableColumn name="Column1" id="1"/>
    <tableColumn name="Column2" id="2"/>
    <tableColumn name="Column3" id="3"/>
  </tableColumns>
  <tableStyleInfo name="Volunteer 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202:C202" displayName="Table_2" name="Table_2" id="2">
  <tableColumns count="3">
    <tableColumn name="Column1" id="1"/>
    <tableColumn name="Column2" id="2"/>
    <tableColumn name="Column3" id="3"/>
  </tableColumns>
  <tableStyleInfo name="Volunteer Inf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07:C467" displayName="Table_3" name="Table_3" id="3">
  <tableColumns count="3">
    <tableColumn name="Column1" id="1"/>
    <tableColumn name="Column2" id="2"/>
    <tableColumn name="Column3" id="3"/>
  </tableColumns>
  <tableStyleInfo name="Volunteer Inf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mailto:morcombs25@gmail.com" TargetMode="External"/><Relationship Id="rId10" Type="http://schemas.openxmlformats.org/officeDocument/2006/relationships/hyperlink" Target="mailto:fraybonilla12@gmail.com" TargetMode="External"/><Relationship Id="rId13" Type="http://schemas.openxmlformats.org/officeDocument/2006/relationships/drawing" Target="../drawings/drawing14.xml"/><Relationship Id="rId12" Type="http://schemas.openxmlformats.org/officeDocument/2006/relationships/hyperlink" Target="mailto:tienh7657@gmail.com" TargetMode="External"/><Relationship Id="rId1" Type="http://schemas.openxmlformats.org/officeDocument/2006/relationships/hyperlink" Target="mailto:camaro1457@gmail.com" TargetMode="External"/><Relationship Id="rId2" Type="http://schemas.openxmlformats.org/officeDocument/2006/relationships/hyperlink" Target="mailto:rohitmrfhem@gmail.com" TargetMode="External"/><Relationship Id="rId3" Type="http://schemas.openxmlformats.org/officeDocument/2006/relationships/hyperlink" Target="mailto:lenamariadelb@gmail.com" TargetMode="External"/><Relationship Id="rId4" Type="http://schemas.openxmlformats.org/officeDocument/2006/relationships/hyperlink" Target="mailto:nikkochaz@gmail.com" TargetMode="External"/><Relationship Id="rId9" Type="http://schemas.openxmlformats.org/officeDocument/2006/relationships/hyperlink" Target="mailto:brandondelfin17@icloud.com" TargetMode="External"/><Relationship Id="rId17" Type="http://schemas.openxmlformats.org/officeDocument/2006/relationships/table" Target="../tables/table1.xml"/><Relationship Id="rId5" Type="http://schemas.openxmlformats.org/officeDocument/2006/relationships/hyperlink" Target="mailto:wesdarman@me.com" TargetMode="External"/><Relationship Id="rId19" Type="http://schemas.openxmlformats.org/officeDocument/2006/relationships/table" Target="../tables/table3.xml"/><Relationship Id="rId6" Type="http://schemas.openxmlformats.org/officeDocument/2006/relationships/hyperlink" Target="mailto:ansleyrd@gmail.com" TargetMode="External"/><Relationship Id="rId18" Type="http://schemas.openxmlformats.org/officeDocument/2006/relationships/table" Target="../tables/table2.xml"/><Relationship Id="rId7" Type="http://schemas.openxmlformats.org/officeDocument/2006/relationships/hyperlink" Target="mailto:isaiahstudivent119@gmail.com" TargetMode="External"/><Relationship Id="rId8" Type="http://schemas.openxmlformats.org/officeDocument/2006/relationships/hyperlink" Target="mailto:yareli.villagr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8.63"/>
    <col customWidth="1" min="3" max="3" width="14.75"/>
    <col customWidth="1" min="4" max="4" width="8.63"/>
    <col customWidth="1" min="5" max="6" width="9.38"/>
    <col customWidth="1" min="7" max="26" width="8.63"/>
    <col customWidth="1" min="27" max="29" width="10.25"/>
    <col customWidth="1" min="30" max="30" width="8.63"/>
    <col customWidth="1" min="31" max="33" width="10.25"/>
    <col customWidth="1" min="34" max="35" width="8.63"/>
    <col customWidth="1" min="36" max="36" width="10.25"/>
    <col customWidth="1" min="37" max="37" width="10.13"/>
    <col customWidth="1" min="38" max="38" width="10.25"/>
    <col customWidth="1" min="39" max="45" width="8.63"/>
  </cols>
  <sheetData>
    <row r="1">
      <c r="A1" s="1" t="s">
        <v>0</v>
      </c>
      <c r="B1" s="2" t="s">
        <v>1</v>
      </c>
      <c r="C1" s="3" t="s">
        <v>2</v>
      </c>
      <c r="D1" s="4">
        <v>45417.0</v>
      </c>
      <c r="E1" s="4">
        <v>45424.0</v>
      </c>
      <c r="F1" s="4">
        <v>45431.0</v>
      </c>
      <c r="G1" s="4">
        <v>45438.0</v>
      </c>
      <c r="H1" s="4">
        <v>45445.0</v>
      </c>
      <c r="I1" s="4">
        <v>45452.0</v>
      </c>
      <c r="J1" s="4">
        <v>45459.0</v>
      </c>
      <c r="K1" s="4">
        <v>45466.0</v>
      </c>
      <c r="L1" s="4">
        <v>45473.0</v>
      </c>
      <c r="M1" s="4">
        <v>45480.0</v>
      </c>
      <c r="N1" s="4">
        <v>45487.0</v>
      </c>
      <c r="O1" s="4">
        <v>45494.0</v>
      </c>
      <c r="P1" s="4">
        <v>45501.0</v>
      </c>
      <c r="Q1" s="4">
        <v>45508.0</v>
      </c>
      <c r="R1" s="4">
        <v>45515.0</v>
      </c>
      <c r="S1" s="4">
        <v>45522.0</v>
      </c>
      <c r="T1" s="4">
        <v>45529.0</v>
      </c>
      <c r="U1" s="4">
        <v>45536.0</v>
      </c>
      <c r="V1" s="4">
        <v>45543.0</v>
      </c>
      <c r="W1" s="4">
        <v>45550.0</v>
      </c>
      <c r="X1" s="4">
        <v>45557.0</v>
      </c>
      <c r="Y1" s="4">
        <v>45564.0</v>
      </c>
      <c r="Z1" s="4">
        <v>45571.0</v>
      </c>
      <c r="AA1" s="4">
        <v>45578.0</v>
      </c>
      <c r="AB1" s="4">
        <v>45585.0</v>
      </c>
      <c r="AC1" s="4">
        <v>45592.0</v>
      </c>
      <c r="AD1" s="4">
        <v>45599.0</v>
      </c>
      <c r="AE1" s="4">
        <v>45606.0</v>
      </c>
      <c r="AF1" s="4">
        <v>45613.0</v>
      </c>
      <c r="AG1" s="4">
        <v>45620.0</v>
      </c>
      <c r="AH1" s="4">
        <v>45627.0</v>
      </c>
      <c r="AI1" s="4">
        <v>45634.0</v>
      </c>
      <c r="AJ1" s="4">
        <v>45641.0</v>
      </c>
      <c r="AK1" s="5">
        <v>45648.0</v>
      </c>
      <c r="AL1" s="4">
        <v>45655.0</v>
      </c>
      <c r="AM1" s="4">
        <v>45662.0</v>
      </c>
      <c r="AN1" s="4">
        <v>45669.0</v>
      </c>
      <c r="AO1" s="4">
        <v>45676.0</v>
      </c>
      <c r="AP1" s="4">
        <v>45683.0</v>
      </c>
      <c r="AQ1" s="4">
        <v>45690.0</v>
      </c>
      <c r="AR1" s="4">
        <v>45697.0</v>
      </c>
      <c r="AS1" s="6">
        <v>45704.0</v>
      </c>
    </row>
    <row r="2">
      <c r="A2" s="1">
        <v>50.0</v>
      </c>
      <c r="B2" s="7">
        <f>SUM(B3:B340)</f>
        <v>612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10"/>
    </row>
    <row r="3">
      <c r="A3" s="11" t="s">
        <v>3</v>
      </c>
      <c r="B3" s="8">
        <f t="shared" ref="B3:B52" si="1">SUM(C3:CA3)</f>
        <v>249</v>
      </c>
      <c r="C3" s="8">
        <v>66.0</v>
      </c>
      <c r="D3" s="8">
        <v>6.0</v>
      </c>
      <c r="E3" s="8">
        <v>6.0</v>
      </c>
      <c r="F3" s="8">
        <v>6.0</v>
      </c>
      <c r="G3" s="8">
        <v>6.0</v>
      </c>
      <c r="H3" s="8">
        <v>6.0</v>
      </c>
      <c r="I3" s="8">
        <v>6.0</v>
      </c>
      <c r="J3" s="8" t="s">
        <v>4</v>
      </c>
      <c r="K3" s="8">
        <v>6.0</v>
      </c>
      <c r="L3" s="8">
        <v>6.0</v>
      </c>
      <c r="M3" s="8">
        <v>6.0</v>
      </c>
      <c r="N3" s="8">
        <v>6.0</v>
      </c>
      <c r="O3" s="8">
        <v>6.0</v>
      </c>
      <c r="P3" s="8">
        <v>8.0</v>
      </c>
      <c r="Q3" s="8">
        <v>6.0</v>
      </c>
      <c r="R3" s="8">
        <v>6.0</v>
      </c>
      <c r="S3" s="8">
        <v>6.0</v>
      </c>
      <c r="T3" s="8">
        <v>4.0</v>
      </c>
      <c r="U3" s="8">
        <v>4.0</v>
      </c>
      <c r="V3" s="8">
        <v>4.0</v>
      </c>
      <c r="W3" s="8">
        <v>4.0</v>
      </c>
      <c r="X3" s="8">
        <v>4.0</v>
      </c>
      <c r="Y3" s="8">
        <v>7.0</v>
      </c>
      <c r="Z3" s="8">
        <v>7.0</v>
      </c>
      <c r="AA3" s="8">
        <v>7.0</v>
      </c>
      <c r="AB3" s="8">
        <v>7.0</v>
      </c>
      <c r="AC3" s="8">
        <v>7.0</v>
      </c>
      <c r="AD3" s="8">
        <v>3.0</v>
      </c>
      <c r="AE3" s="8">
        <v>7.0</v>
      </c>
      <c r="AF3" s="8">
        <v>6.0</v>
      </c>
      <c r="AG3" s="8">
        <v>10.0</v>
      </c>
      <c r="AH3" s="8">
        <v>5.0</v>
      </c>
      <c r="AI3" s="8">
        <v>5.0</v>
      </c>
      <c r="AJ3" s="8"/>
      <c r="AK3" s="8"/>
      <c r="AL3" s="8"/>
      <c r="AM3" s="8"/>
      <c r="AN3" s="8"/>
      <c r="AO3" s="8"/>
      <c r="AP3" s="8"/>
      <c r="AQ3" s="8"/>
      <c r="AR3" s="8"/>
      <c r="AS3" s="10"/>
    </row>
    <row r="4">
      <c r="A4" s="11" t="s">
        <v>5</v>
      </c>
      <c r="B4" s="8">
        <f t="shared" si="1"/>
        <v>92</v>
      </c>
      <c r="C4" s="8"/>
      <c r="D4" s="8">
        <v>6.0</v>
      </c>
      <c r="E4" s="8">
        <v>6.0</v>
      </c>
      <c r="F4" s="8">
        <v>6.0</v>
      </c>
      <c r="G4" s="8">
        <v>6.0</v>
      </c>
      <c r="H4" s="8">
        <v>6.0</v>
      </c>
      <c r="I4" s="8">
        <v>6.0</v>
      </c>
      <c r="J4" s="8"/>
      <c r="K4" s="8"/>
      <c r="L4" s="8"/>
      <c r="M4" s="8">
        <v>6.0</v>
      </c>
      <c r="N4" s="8">
        <v>6.0</v>
      </c>
      <c r="O4" s="8"/>
      <c r="P4" s="8"/>
      <c r="Q4" s="8"/>
      <c r="R4" s="8">
        <v>6.0</v>
      </c>
      <c r="S4" s="8"/>
      <c r="T4" s="8">
        <v>3.0</v>
      </c>
      <c r="U4" s="8">
        <v>3.0</v>
      </c>
      <c r="V4" s="8">
        <v>3.0</v>
      </c>
      <c r="W4" s="8"/>
      <c r="X4" s="8">
        <v>2.0</v>
      </c>
      <c r="Y4" s="8">
        <v>2.0</v>
      </c>
      <c r="Z4" s="8">
        <v>2.0</v>
      </c>
      <c r="AA4" s="8">
        <v>2.0</v>
      </c>
      <c r="AB4" s="8"/>
      <c r="AC4" s="8">
        <v>2.0</v>
      </c>
      <c r="AD4" s="8">
        <v>3.0</v>
      </c>
      <c r="AE4" s="8">
        <v>3.0</v>
      </c>
      <c r="AF4" s="8"/>
      <c r="AG4" s="8">
        <v>3.0</v>
      </c>
      <c r="AH4" s="8">
        <v>3.0</v>
      </c>
      <c r="AI4" s="8">
        <v>3.0</v>
      </c>
      <c r="AJ4" s="8"/>
      <c r="AK4" s="8">
        <v>4.0</v>
      </c>
      <c r="AL4" s="8"/>
      <c r="AM4" s="8"/>
      <c r="AN4" s="8"/>
      <c r="AO4" s="8"/>
      <c r="AP4" s="8"/>
      <c r="AQ4" s="8"/>
      <c r="AR4" s="8"/>
      <c r="AS4" s="10"/>
    </row>
    <row r="5">
      <c r="A5" s="11" t="s">
        <v>6</v>
      </c>
      <c r="B5" s="8">
        <f t="shared" si="1"/>
        <v>53.5</v>
      </c>
      <c r="C5" s="8"/>
      <c r="D5" s="8"/>
      <c r="E5" s="8"/>
      <c r="F5" s="8"/>
      <c r="G5" s="8"/>
      <c r="H5" s="8"/>
      <c r="I5" s="8"/>
      <c r="J5" s="8"/>
      <c r="K5" s="8">
        <v>2.5</v>
      </c>
      <c r="L5" s="8"/>
      <c r="M5" s="8"/>
      <c r="N5" s="8">
        <v>2.5</v>
      </c>
      <c r="O5" s="8"/>
      <c r="P5" s="8">
        <v>4.0</v>
      </c>
      <c r="Q5" s="8"/>
      <c r="R5" s="8">
        <v>2.5</v>
      </c>
      <c r="S5" s="8">
        <v>4.0</v>
      </c>
      <c r="T5" s="8">
        <v>4.0</v>
      </c>
      <c r="U5" s="8"/>
      <c r="V5" s="8"/>
      <c r="W5" s="8">
        <v>2.0</v>
      </c>
      <c r="X5" s="8">
        <v>2.0</v>
      </c>
      <c r="Y5" s="8">
        <v>2.0</v>
      </c>
      <c r="Z5" s="8">
        <v>2.0</v>
      </c>
      <c r="AA5" s="8">
        <v>2.0</v>
      </c>
      <c r="AB5" s="8">
        <v>2.0</v>
      </c>
      <c r="AC5" s="8">
        <v>2.0</v>
      </c>
      <c r="AD5" s="8">
        <v>2.0</v>
      </c>
      <c r="AE5" s="8">
        <v>3.0</v>
      </c>
      <c r="AF5" s="8">
        <v>6.0</v>
      </c>
      <c r="AG5" s="8"/>
      <c r="AH5" s="8"/>
      <c r="AI5" s="8"/>
      <c r="AJ5" s="8">
        <v>5.0</v>
      </c>
      <c r="AK5" s="8">
        <v>4.0</v>
      </c>
      <c r="AL5" s="8"/>
      <c r="AM5" s="8"/>
      <c r="AN5" s="8"/>
      <c r="AO5" s="8"/>
      <c r="AP5" s="8"/>
      <c r="AQ5" s="8"/>
      <c r="AR5" s="8"/>
      <c r="AS5" s="10"/>
    </row>
    <row r="6">
      <c r="A6" s="11" t="s">
        <v>7</v>
      </c>
      <c r="B6" s="8">
        <f t="shared" si="1"/>
        <v>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4.0</v>
      </c>
      <c r="U6" s="8"/>
      <c r="V6" s="8">
        <v>2.0</v>
      </c>
      <c r="W6" s="8">
        <v>2.0</v>
      </c>
      <c r="X6" s="8">
        <v>2.0</v>
      </c>
      <c r="Y6" s="8">
        <v>2.0</v>
      </c>
      <c r="Z6" s="8"/>
      <c r="AA6" s="8">
        <v>2.0</v>
      </c>
      <c r="AB6" s="8">
        <v>2.0</v>
      </c>
      <c r="AC6" s="8"/>
      <c r="AD6" s="8"/>
      <c r="AE6" s="8"/>
      <c r="AF6" s="8">
        <v>2.0</v>
      </c>
      <c r="AG6" s="8">
        <v>2.0</v>
      </c>
      <c r="AH6" s="8"/>
      <c r="AI6" s="8">
        <v>2.0</v>
      </c>
      <c r="AJ6" s="8">
        <v>5.0</v>
      </c>
      <c r="AK6" s="8">
        <v>4.0</v>
      </c>
      <c r="AL6" s="8">
        <v>3.0</v>
      </c>
      <c r="AM6" s="8"/>
      <c r="AN6" s="8"/>
      <c r="AO6" s="8"/>
      <c r="AP6" s="8"/>
      <c r="AQ6" s="8"/>
      <c r="AR6" s="8"/>
      <c r="AS6" s="10"/>
    </row>
    <row r="7">
      <c r="A7" s="11" t="s">
        <v>8</v>
      </c>
      <c r="B7" s="8">
        <f t="shared" si="1"/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>
        <v>2.0</v>
      </c>
      <c r="AD7" s="8"/>
      <c r="AE7" s="8"/>
      <c r="AF7" s="8"/>
      <c r="AG7" s="8">
        <v>2.0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10"/>
    </row>
    <row r="8">
      <c r="A8" s="11" t="s">
        <v>9</v>
      </c>
      <c r="B8" s="8">
        <f t="shared" si="1"/>
        <v>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>
        <v>1.0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10"/>
    </row>
    <row r="9">
      <c r="A9" s="11" t="s">
        <v>10</v>
      </c>
      <c r="B9" s="8">
        <f t="shared" si="1"/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>
        <v>1.0</v>
      </c>
      <c r="AE9" s="8"/>
      <c r="AF9" s="8"/>
      <c r="AG9" s="8"/>
      <c r="AH9" s="8"/>
      <c r="AI9" s="8"/>
      <c r="AJ9" s="8">
        <v>2.0</v>
      </c>
      <c r="AK9" s="8"/>
      <c r="AL9" s="8"/>
      <c r="AM9" s="8"/>
      <c r="AN9" s="8"/>
      <c r="AO9" s="8"/>
      <c r="AP9" s="8"/>
      <c r="AQ9" s="8"/>
      <c r="AR9" s="8"/>
      <c r="AS9" s="10"/>
    </row>
    <row r="10">
      <c r="A10" s="11" t="s">
        <v>11</v>
      </c>
      <c r="B10" s="8">
        <f t="shared" si="1"/>
        <v>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>
        <v>1.0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10"/>
    </row>
    <row r="11">
      <c r="A11" s="11" t="s">
        <v>12</v>
      </c>
      <c r="B11" s="8">
        <f t="shared" si="1"/>
        <v>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>
        <v>2.0</v>
      </c>
      <c r="AE11" s="8"/>
      <c r="AF11" s="8"/>
      <c r="AG11" s="8"/>
      <c r="AH11" s="8"/>
      <c r="AI11" s="8"/>
      <c r="AJ11" s="8">
        <v>2.0</v>
      </c>
      <c r="AK11" s="8"/>
      <c r="AL11" s="8"/>
      <c r="AM11" s="8"/>
      <c r="AN11" s="8"/>
      <c r="AO11" s="8"/>
      <c r="AP11" s="8"/>
      <c r="AQ11" s="8"/>
      <c r="AR11" s="8"/>
      <c r="AS11" s="10"/>
    </row>
    <row r="12">
      <c r="A12" s="11" t="s">
        <v>13</v>
      </c>
      <c r="B12" s="8">
        <f t="shared" si="1"/>
        <v>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>
        <v>2.0</v>
      </c>
      <c r="AE12" s="8">
        <v>2.0</v>
      </c>
      <c r="AF12" s="8"/>
      <c r="AG12" s="8"/>
      <c r="AH12" s="8"/>
      <c r="AI12" s="8"/>
      <c r="AJ12" s="8">
        <v>2.0</v>
      </c>
      <c r="AK12" s="8"/>
      <c r="AL12" s="8"/>
      <c r="AM12" s="8"/>
      <c r="AN12" s="8"/>
      <c r="AO12" s="8"/>
      <c r="AP12" s="8"/>
      <c r="AQ12" s="8"/>
      <c r="AR12" s="8"/>
      <c r="AS12" s="10"/>
    </row>
    <row r="13">
      <c r="A13" s="11" t="s">
        <v>14</v>
      </c>
      <c r="B13" s="8">
        <f t="shared" si="1"/>
        <v>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>
        <v>2.0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10"/>
    </row>
    <row r="14">
      <c r="A14" s="11" t="s">
        <v>15</v>
      </c>
      <c r="B14" s="8">
        <f t="shared" si="1"/>
        <v>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>
        <v>1.0</v>
      </c>
      <c r="AG14" s="8">
        <v>2.0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10"/>
    </row>
    <row r="15">
      <c r="A15" s="11" t="s">
        <v>16</v>
      </c>
      <c r="B15" s="8">
        <f t="shared" si="1"/>
        <v>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>
        <v>2.0</v>
      </c>
      <c r="AE15" s="8">
        <v>2.0</v>
      </c>
      <c r="AF15" s="8"/>
      <c r="AG15" s="8"/>
      <c r="AH15" s="8"/>
      <c r="AI15" s="8"/>
      <c r="AJ15" s="8"/>
      <c r="AK15" s="8"/>
      <c r="AL15" s="8">
        <v>3.0</v>
      </c>
      <c r="AM15" s="8"/>
      <c r="AN15" s="8"/>
      <c r="AO15" s="8"/>
      <c r="AP15" s="8"/>
      <c r="AQ15" s="8"/>
      <c r="AR15" s="8"/>
      <c r="AS15" s="10"/>
    </row>
    <row r="16">
      <c r="A16" s="11" t="s">
        <v>17</v>
      </c>
      <c r="B16" s="8">
        <f t="shared" si="1"/>
        <v>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>
        <v>2.0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10"/>
    </row>
    <row r="17">
      <c r="A17" s="11" t="s">
        <v>18</v>
      </c>
      <c r="B17" s="8">
        <f t="shared" si="1"/>
        <v>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>
        <v>2.0</v>
      </c>
      <c r="AJ17" s="8"/>
      <c r="AK17" s="8"/>
      <c r="AL17" s="8"/>
      <c r="AM17" s="8"/>
      <c r="AN17" s="8"/>
      <c r="AO17" s="8"/>
      <c r="AP17" s="8"/>
      <c r="AQ17" s="8"/>
      <c r="AR17" s="8"/>
      <c r="AS17" s="10"/>
    </row>
    <row r="18">
      <c r="A18" s="11" t="s">
        <v>19</v>
      </c>
      <c r="B18" s="8">
        <f t="shared" si="1"/>
        <v>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>
        <v>2.0</v>
      </c>
      <c r="AK18" s="8"/>
      <c r="AL18" s="8"/>
      <c r="AM18" s="8"/>
      <c r="AN18" s="8"/>
      <c r="AO18" s="8"/>
      <c r="AP18" s="8"/>
      <c r="AQ18" s="8"/>
      <c r="AR18" s="8"/>
      <c r="AS18" s="10"/>
    </row>
    <row r="19">
      <c r="A19" s="11" t="s">
        <v>20</v>
      </c>
      <c r="B19" s="8">
        <f t="shared" si="1"/>
        <v>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>
        <v>2.0</v>
      </c>
      <c r="AJ19" s="8"/>
      <c r="AK19" s="8">
        <v>2.0</v>
      </c>
      <c r="AL19" s="8"/>
      <c r="AM19" s="8"/>
      <c r="AN19" s="8"/>
      <c r="AO19" s="8"/>
      <c r="AP19" s="8"/>
      <c r="AQ19" s="8"/>
      <c r="AR19" s="8"/>
      <c r="AS19" s="10"/>
    </row>
    <row r="20">
      <c r="A20" s="11" t="s">
        <v>21</v>
      </c>
      <c r="B20" s="8">
        <f t="shared" si="1"/>
        <v>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>
        <v>2.0</v>
      </c>
      <c r="AJ20" s="8"/>
      <c r="AK20" s="8"/>
      <c r="AL20" s="8"/>
      <c r="AM20" s="8"/>
      <c r="AN20" s="8"/>
      <c r="AO20" s="8"/>
      <c r="AP20" s="8"/>
      <c r="AQ20" s="8"/>
      <c r="AR20" s="8"/>
      <c r="AS20" s="10"/>
    </row>
    <row r="21" ht="15.75" customHeight="1">
      <c r="A21" s="11" t="s">
        <v>22</v>
      </c>
      <c r="B21" s="8">
        <f t="shared" si="1"/>
        <v>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>
        <v>2.0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10"/>
    </row>
    <row r="22" ht="15.75" customHeight="1">
      <c r="A22" s="11" t="s">
        <v>23</v>
      </c>
      <c r="B22" s="8">
        <f t="shared" si="1"/>
        <v>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>
        <v>2.0</v>
      </c>
      <c r="AE22" s="8"/>
      <c r="AF22" s="8">
        <v>2.0</v>
      </c>
      <c r="AG22" s="8">
        <v>2.0</v>
      </c>
      <c r="AH22" s="8">
        <v>2.0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10"/>
    </row>
    <row r="23" ht="15.75" customHeight="1">
      <c r="A23" s="11" t="s">
        <v>24</v>
      </c>
      <c r="B23" s="8">
        <f t="shared" si="1"/>
        <v>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>
        <v>2.0</v>
      </c>
      <c r="AG23" s="8"/>
      <c r="AH23" s="8"/>
      <c r="AI23" s="8"/>
      <c r="AJ23" s="8">
        <v>2.0</v>
      </c>
      <c r="AK23" s="8"/>
      <c r="AL23" s="8"/>
      <c r="AM23" s="8"/>
      <c r="AN23" s="8"/>
      <c r="AO23" s="8"/>
      <c r="AP23" s="8"/>
      <c r="AQ23" s="8"/>
      <c r="AR23" s="8"/>
      <c r="AS23" s="10"/>
    </row>
    <row r="24" ht="15.75" customHeight="1">
      <c r="A24" s="11" t="s">
        <v>25</v>
      </c>
      <c r="B24" s="8">
        <f t="shared" si="1"/>
        <v>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>
        <v>2.0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10"/>
    </row>
    <row r="25" ht="15.75" customHeight="1">
      <c r="A25" s="11" t="s">
        <v>26</v>
      </c>
      <c r="B25" s="8">
        <f t="shared" si="1"/>
        <v>10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>
        <v>2.0</v>
      </c>
      <c r="Z25" s="8">
        <v>2.0</v>
      </c>
      <c r="AA25" s="8">
        <v>2.0</v>
      </c>
      <c r="AB25" s="8">
        <v>2.0</v>
      </c>
      <c r="AC25" s="8"/>
      <c r="AD25" s="8">
        <v>2.0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10"/>
    </row>
    <row r="26" ht="15.75" customHeight="1">
      <c r="A26" s="11" t="s">
        <v>27</v>
      </c>
      <c r="B26" s="8">
        <f t="shared" si="1"/>
        <v>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v>2.0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0"/>
    </row>
    <row r="27" ht="15.75" customHeight="1">
      <c r="A27" s="11" t="s">
        <v>28</v>
      </c>
      <c r="B27" s="8">
        <f t="shared" si="1"/>
        <v>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>
        <v>2.0</v>
      </c>
      <c r="Z27" s="8"/>
      <c r="AA27" s="8"/>
      <c r="AB27" s="8">
        <v>2.0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10"/>
    </row>
    <row r="28" ht="15.75" customHeight="1">
      <c r="A28" s="12" t="s">
        <v>29</v>
      </c>
      <c r="B28" s="8">
        <f t="shared" si="1"/>
        <v>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>
        <v>2.0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10"/>
    </row>
    <row r="29" ht="15.75" customHeight="1">
      <c r="A29" s="11" t="s">
        <v>30</v>
      </c>
      <c r="B29" s="8">
        <f t="shared" si="1"/>
        <v>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>
        <v>2.0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>
        <v>2.0</v>
      </c>
      <c r="AL29" s="8"/>
      <c r="AM29" s="8"/>
      <c r="AN29" s="8"/>
      <c r="AO29" s="8"/>
      <c r="AP29" s="8"/>
      <c r="AQ29" s="8"/>
      <c r="AR29" s="8"/>
      <c r="AS29" s="10"/>
    </row>
    <row r="30" ht="15.75" customHeight="1">
      <c r="A30" s="11" t="s">
        <v>31</v>
      </c>
      <c r="B30" s="8">
        <f t="shared" si="1"/>
        <v>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>
        <v>2.0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10"/>
    </row>
    <row r="31" ht="15.75" customHeight="1">
      <c r="A31" s="11" t="s">
        <v>32</v>
      </c>
      <c r="B31" s="8">
        <f t="shared" si="1"/>
        <v>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>
        <v>2.0</v>
      </c>
      <c r="AB31" s="8"/>
      <c r="AC31" s="8">
        <v>2.0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10"/>
    </row>
    <row r="32" ht="15.75" customHeight="1">
      <c r="A32" s="11" t="s">
        <v>33</v>
      </c>
      <c r="B32" s="8">
        <f t="shared" si="1"/>
        <v>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>
        <v>2.0</v>
      </c>
      <c r="Z32" s="8"/>
      <c r="AA32" s="8"/>
      <c r="AB32" s="8"/>
      <c r="AC32" s="8"/>
      <c r="AD32" s="8"/>
      <c r="AE32" s="8"/>
      <c r="AF32" s="8"/>
      <c r="AG32" s="8"/>
      <c r="AH32" s="8">
        <v>2.0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10"/>
    </row>
    <row r="33" ht="15.75" customHeight="1">
      <c r="A33" s="11" t="s">
        <v>34</v>
      </c>
      <c r="B33" s="8">
        <f t="shared" si="1"/>
        <v>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>
        <v>2.0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10"/>
    </row>
    <row r="34" ht="15.75" customHeight="1">
      <c r="A34" s="12" t="s">
        <v>35</v>
      </c>
      <c r="B34" s="8">
        <f t="shared" si="1"/>
        <v>2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>
        <v>2.0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10"/>
    </row>
    <row r="35" ht="15.75" customHeight="1">
      <c r="A35" s="11" t="s">
        <v>36</v>
      </c>
      <c r="B35" s="8">
        <f t="shared" si="1"/>
        <v>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>
        <v>2.0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10"/>
    </row>
    <row r="36" ht="15.75" customHeight="1">
      <c r="A36" s="11" t="s">
        <v>37</v>
      </c>
      <c r="B36" s="8">
        <f t="shared" si="1"/>
        <v>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>
        <v>2.0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10"/>
    </row>
    <row r="37" ht="15.75" customHeight="1">
      <c r="A37" s="11" t="s">
        <v>38</v>
      </c>
      <c r="B37" s="8">
        <f t="shared" si="1"/>
        <v>2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>
        <v>2.0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10"/>
    </row>
    <row r="38" ht="15.75" customHeight="1">
      <c r="A38" s="11" t="s">
        <v>39</v>
      </c>
      <c r="B38" s="8">
        <f t="shared" si="1"/>
        <v>33.5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>
        <v>2.5</v>
      </c>
      <c r="R38" s="8">
        <v>3.5</v>
      </c>
      <c r="S38" s="8">
        <v>2.5</v>
      </c>
      <c r="T38" s="8">
        <v>4.0</v>
      </c>
      <c r="U38" s="8">
        <v>2.0</v>
      </c>
      <c r="V38" s="8">
        <v>2.0</v>
      </c>
      <c r="W38" s="8">
        <v>2.0</v>
      </c>
      <c r="X38" s="8">
        <v>2.0</v>
      </c>
      <c r="Y38" s="8">
        <v>2.0</v>
      </c>
      <c r="Z38" s="8">
        <v>2.0</v>
      </c>
      <c r="AA38" s="8">
        <v>2.0</v>
      </c>
      <c r="AB38" s="8"/>
      <c r="AC38" s="8"/>
      <c r="AD38" s="8"/>
      <c r="AE38" s="8"/>
      <c r="AF38" s="8"/>
      <c r="AG38" s="8"/>
      <c r="AH38" s="8"/>
      <c r="AI38" s="8"/>
      <c r="AJ38" s="8"/>
      <c r="AK38" s="8">
        <v>4.0</v>
      </c>
      <c r="AL38" s="8">
        <v>3.0</v>
      </c>
      <c r="AM38" s="8"/>
      <c r="AN38" s="8"/>
      <c r="AO38" s="8"/>
      <c r="AP38" s="8"/>
      <c r="AQ38" s="8"/>
      <c r="AR38" s="8"/>
      <c r="AS38" s="10"/>
    </row>
    <row r="39" ht="15.75" customHeight="1">
      <c r="A39" s="11" t="s">
        <v>40</v>
      </c>
      <c r="B39" s="8">
        <f t="shared" si="1"/>
        <v>4.5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>
        <v>2.5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>
        <v>2.0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10"/>
    </row>
    <row r="40" ht="15.75" customHeight="1">
      <c r="A40" s="11" t="s">
        <v>41</v>
      </c>
      <c r="B40" s="8">
        <f t="shared" si="1"/>
        <v>6.5</v>
      </c>
      <c r="C40" s="8"/>
      <c r="D40" s="8"/>
      <c r="E40" s="8"/>
      <c r="F40" s="8"/>
      <c r="G40" s="8"/>
      <c r="H40" s="8"/>
      <c r="I40" s="8"/>
      <c r="J40" s="8"/>
      <c r="K40" s="8"/>
      <c r="L40" s="8">
        <v>2.5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>
        <v>2.0</v>
      </c>
      <c r="AC40" s="8"/>
      <c r="AD40" s="8"/>
      <c r="AE40" s="8"/>
      <c r="AF40" s="8"/>
      <c r="AG40" s="8"/>
      <c r="AH40" s="8"/>
      <c r="AI40" s="8"/>
      <c r="AJ40" s="8"/>
      <c r="AK40" s="8">
        <v>2.0</v>
      </c>
      <c r="AL40" s="8"/>
      <c r="AM40" s="8"/>
      <c r="AN40" s="8"/>
      <c r="AO40" s="8"/>
      <c r="AP40" s="8"/>
      <c r="AQ40" s="8"/>
      <c r="AR40" s="8"/>
      <c r="AS40" s="10"/>
    </row>
    <row r="41" ht="15.75" customHeight="1">
      <c r="A41" s="11" t="s">
        <v>42</v>
      </c>
      <c r="B41" s="8">
        <f t="shared" si="1"/>
        <v>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>
        <v>3.0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10"/>
    </row>
    <row r="42" ht="15.75" customHeight="1">
      <c r="A42" s="11" t="s">
        <v>43</v>
      </c>
      <c r="B42" s="8">
        <f t="shared" si="1"/>
        <v>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>
        <v>2.0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10"/>
    </row>
    <row r="43" ht="15.75" customHeight="1">
      <c r="A43" s="11" t="s">
        <v>44</v>
      </c>
      <c r="B43" s="8">
        <f t="shared" si="1"/>
        <v>6</v>
      </c>
      <c r="C43" s="8">
        <v>6.0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10"/>
    </row>
    <row r="44" ht="15.75" customHeight="1">
      <c r="A44" s="11" t="s">
        <v>45</v>
      </c>
      <c r="B44" s="8">
        <f t="shared" si="1"/>
        <v>5</v>
      </c>
      <c r="C44" s="8">
        <v>3.0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>
        <v>2.0</v>
      </c>
      <c r="AL44" s="8"/>
      <c r="AM44" s="8"/>
      <c r="AN44" s="8"/>
      <c r="AO44" s="8"/>
      <c r="AP44" s="8"/>
      <c r="AQ44" s="8"/>
      <c r="AR44" s="8"/>
      <c r="AS44" s="10"/>
    </row>
    <row r="45" ht="15.75" customHeight="1">
      <c r="A45" s="13" t="s">
        <v>46</v>
      </c>
      <c r="B45" s="8">
        <f t="shared" si="1"/>
        <v>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>
        <v>3.0</v>
      </c>
      <c r="AM45" s="14"/>
      <c r="AN45" s="14"/>
      <c r="AO45" s="14"/>
      <c r="AP45" s="14"/>
      <c r="AQ45" s="14"/>
      <c r="AR45" s="14"/>
      <c r="AS45" s="15"/>
    </row>
    <row r="46" ht="15.75" customHeight="1">
      <c r="A46" s="13" t="s">
        <v>47</v>
      </c>
      <c r="B46" s="8">
        <f t="shared" si="1"/>
        <v>3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>
        <v>3.0</v>
      </c>
      <c r="AM46" s="14"/>
      <c r="AN46" s="14"/>
      <c r="AO46" s="14"/>
      <c r="AP46" s="14"/>
      <c r="AQ46" s="14"/>
      <c r="AR46" s="14"/>
      <c r="AS46" s="15"/>
    </row>
    <row r="47" ht="15.75" customHeight="1">
      <c r="A47" s="13" t="s">
        <v>48</v>
      </c>
      <c r="B47" s="8">
        <f t="shared" si="1"/>
        <v>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>
        <v>2.0</v>
      </c>
      <c r="AL47" s="14"/>
      <c r="AM47" s="14"/>
      <c r="AN47" s="14"/>
      <c r="AO47" s="14"/>
      <c r="AP47" s="14"/>
      <c r="AQ47" s="14"/>
      <c r="AR47" s="14"/>
      <c r="AS47" s="15"/>
    </row>
    <row r="48" ht="15.75" customHeight="1">
      <c r="A48" s="13" t="s">
        <v>49</v>
      </c>
      <c r="B48" s="8">
        <f t="shared" si="1"/>
        <v>2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>
        <v>2.0</v>
      </c>
      <c r="AM48" s="14"/>
      <c r="AN48" s="14"/>
      <c r="AO48" s="14"/>
      <c r="AP48" s="14"/>
      <c r="AQ48" s="14"/>
      <c r="AR48" s="14"/>
      <c r="AS48" s="15"/>
    </row>
    <row r="49" ht="15.75" customHeight="1">
      <c r="A49" s="13" t="s">
        <v>50</v>
      </c>
      <c r="B49" s="8">
        <f t="shared" si="1"/>
        <v>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>
        <v>2.0</v>
      </c>
      <c r="AM49" s="14"/>
      <c r="AN49" s="14"/>
      <c r="AO49" s="14"/>
      <c r="AP49" s="14"/>
      <c r="AQ49" s="14"/>
      <c r="AR49" s="14"/>
      <c r="AS49" s="15"/>
    </row>
    <row r="50" ht="15.75" customHeight="1">
      <c r="A50" s="13" t="s">
        <v>51</v>
      </c>
      <c r="B50" s="8">
        <f t="shared" si="1"/>
        <v>2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>
        <v>2.0</v>
      </c>
      <c r="AM50" s="14"/>
      <c r="AN50" s="14"/>
      <c r="AO50" s="14"/>
      <c r="AP50" s="14"/>
      <c r="AQ50" s="14"/>
      <c r="AR50" s="14"/>
      <c r="AS50" s="15"/>
    </row>
    <row r="51" ht="15.75" customHeight="1">
      <c r="A51" s="13" t="s">
        <v>52</v>
      </c>
      <c r="B51" s="8">
        <f t="shared" si="1"/>
        <v>2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>
        <v>2.0</v>
      </c>
      <c r="AM51" s="14"/>
      <c r="AN51" s="14"/>
      <c r="AO51" s="14"/>
      <c r="AP51" s="14"/>
      <c r="AQ51" s="14"/>
      <c r="AR51" s="14"/>
      <c r="AS51" s="15"/>
    </row>
    <row r="52" ht="15.75" customHeight="1">
      <c r="A52" s="16" t="s">
        <v>53</v>
      </c>
      <c r="B52" s="8">
        <f t="shared" si="1"/>
        <v>6</v>
      </c>
      <c r="C52" s="17">
        <v>6.0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8.63"/>
    <col customWidth="1" min="3" max="3" width="14.75"/>
    <col customWidth="1" min="4" max="4" width="9.38"/>
    <col customWidth="1" min="5" max="7" width="10.25"/>
    <col customWidth="1" min="8" max="27" width="8.63"/>
  </cols>
  <sheetData>
    <row r="1">
      <c r="A1" s="19" t="s">
        <v>0</v>
      </c>
      <c r="B1" s="2" t="s">
        <v>1</v>
      </c>
      <c r="C1" s="4">
        <v>45626.0</v>
      </c>
      <c r="D1" s="4">
        <v>45633.0</v>
      </c>
      <c r="E1" s="4">
        <v>45640.0</v>
      </c>
      <c r="F1" s="4">
        <v>45647.0</v>
      </c>
      <c r="G1" s="4">
        <v>45654.0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>
        <v>17.0</v>
      </c>
      <c r="B2" s="7">
        <f>SUM(B3:B335)</f>
        <v>53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8"/>
      <c r="AA2" s="8"/>
    </row>
    <row r="3">
      <c r="A3" s="11" t="s">
        <v>3</v>
      </c>
      <c r="B3" s="8">
        <f t="shared" ref="B3:B47" si="1">SUM(C3:CA3)</f>
        <v>9</v>
      </c>
      <c r="C3" s="8">
        <v>3.0</v>
      </c>
      <c r="D3" s="8">
        <v>3.0</v>
      </c>
      <c r="E3" s="8">
        <v>3.0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1" t="s">
        <v>5</v>
      </c>
      <c r="B4" s="8">
        <f t="shared" si="1"/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1" t="s">
        <v>6</v>
      </c>
      <c r="B5" s="8">
        <f t="shared" si="1"/>
        <v>2</v>
      </c>
      <c r="C5" s="8"/>
      <c r="D5" s="8"/>
      <c r="E5" s="8"/>
      <c r="F5" s="8">
        <v>2.0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1" t="s">
        <v>7</v>
      </c>
      <c r="B6" s="8">
        <f t="shared" si="1"/>
        <v>7</v>
      </c>
      <c r="C6" s="8"/>
      <c r="D6" s="8"/>
      <c r="E6" s="8">
        <v>3.0</v>
      </c>
      <c r="F6" s="8">
        <v>2.0</v>
      </c>
      <c r="G6" s="8">
        <v>2.0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1" t="s">
        <v>54</v>
      </c>
      <c r="B7" s="8">
        <f t="shared" si="1"/>
        <v>3</v>
      </c>
      <c r="C7" s="8"/>
      <c r="D7" s="8">
        <v>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1" t="s">
        <v>55</v>
      </c>
      <c r="B8" s="8">
        <f t="shared" si="1"/>
        <v>3</v>
      </c>
      <c r="C8" s="8"/>
      <c r="D8" s="8">
        <v>3.0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1" t="s">
        <v>17</v>
      </c>
      <c r="B9" s="8">
        <f t="shared" si="1"/>
        <v>3</v>
      </c>
      <c r="C9" s="8"/>
      <c r="D9" s="8">
        <v>3.0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1" t="s">
        <v>9</v>
      </c>
      <c r="B10" s="8">
        <f t="shared" si="1"/>
        <v>2</v>
      </c>
      <c r="C10" s="8"/>
      <c r="D10" s="8"/>
      <c r="E10" s="8"/>
      <c r="F10" s="8"/>
      <c r="G10" s="8">
        <v>2.0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1" t="s">
        <v>10</v>
      </c>
      <c r="B11" s="8">
        <f t="shared" si="1"/>
        <v>2</v>
      </c>
      <c r="C11" s="8"/>
      <c r="D11" s="8"/>
      <c r="E11" s="8"/>
      <c r="F11" s="8"/>
      <c r="G11" s="8">
        <v>2.0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1" t="s">
        <v>56</v>
      </c>
      <c r="B12" s="8">
        <f t="shared" si="1"/>
        <v>3</v>
      </c>
      <c r="C12" s="8">
        <v>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1" t="s">
        <v>57</v>
      </c>
      <c r="B13" s="8">
        <f t="shared" si="1"/>
        <v>3</v>
      </c>
      <c r="C13" s="8">
        <v>3.0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1" t="s">
        <v>58</v>
      </c>
      <c r="B14" s="8">
        <f t="shared" si="1"/>
        <v>3</v>
      </c>
      <c r="C14" s="8">
        <v>3.0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1" t="s">
        <v>59</v>
      </c>
      <c r="B15" s="8">
        <f t="shared" si="1"/>
        <v>3</v>
      </c>
      <c r="C15" s="8"/>
      <c r="D15" s="8"/>
      <c r="E15" s="8">
        <v>3.0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 t="s">
        <v>60</v>
      </c>
      <c r="B16" s="8">
        <f t="shared" si="1"/>
        <v>4</v>
      </c>
      <c r="C16" s="8"/>
      <c r="D16" s="8"/>
      <c r="E16" s="8"/>
      <c r="F16" s="8">
        <v>2.0</v>
      </c>
      <c r="G16" s="8">
        <v>2.0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 t="s">
        <v>46</v>
      </c>
      <c r="B17" s="8">
        <f t="shared" si="1"/>
        <v>2</v>
      </c>
      <c r="C17" s="8"/>
      <c r="D17" s="8"/>
      <c r="E17" s="8"/>
      <c r="F17" s="8">
        <v>2.0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1" t="s">
        <v>33</v>
      </c>
      <c r="B18" s="8">
        <f t="shared" si="1"/>
        <v>2</v>
      </c>
      <c r="C18" s="8"/>
      <c r="D18" s="8"/>
      <c r="E18" s="8"/>
      <c r="F18" s="8">
        <v>2.0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1" t="s">
        <v>61</v>
      </c>
      <c r="B19" s="8">
        <f t="shared" si="1"/>
        <v>2</v>
      </c>
      <c r="C19" s="8"/>
      <c r="D19" s="8"/>
      <c r="E19" s="8"/>
      <c r="F19" s="8">
        <v>2.0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1"/>
      <c r="B20" s="8">
        <f t="shared" si="1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11"/>
      <c r="B21" s="8">
        <f t="shared" si="1"/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11"/>
      <c r="B22" s="8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11"/>
      <c r="B23" s="8">
        <f t="shared" si="1"/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11"/>
      <c r="B24" s="8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11"/>
      <c r="B25" s="8">
        <f t="shared" si="1"/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11"/>
      <c r="B26" s="8">
        <f t="shared" si="1"/>
        <v>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11"/>
      <c r="B27" s="8">
        <f t="shared" si="1"/>
        <v>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11"/>
      <c r="B28" s="8">
        <f t="shared" si="1"/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11"/>
      <c r="B29" s="8">
        <f t="shared" si="1"/>
        <v>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11"/>
      <c r="B30" s="8">
        <f t="shared" si="1"/>
        <v>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11"/>
      <c r="B31" s="8">
        <f t="shared" si="1"/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1"/>
      <c r="B32" s="8">
        <f t="shared" si="1"/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1"/>
      <c r="B33" s="8">
        <f t="shared" si="1"/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11"/>
      <c r="B34" s="8">
        <f t="shared" si="1"/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11"/>
      <c r="B35" s="8">
        <f t="shared" si="1"/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11"/>
      <c r="B36" s="8">
        <f t="shared" si="1"/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11"/>
      <c r="B37" s="8">
        <f t="shared" si="1"/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1"/>
      <c r="B38" s="8">
        <f t="shared" si="1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1"/>
      <c r="B39" s="8">
        <f t="shared" si="1"/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1"/>
      <c r="B40" s="8">
        <f t="shared" si="1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1"/>
      <c r="B41" s="8">
        <f t="shared" si="1"/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11"/>
      <c r="B42" s="8">
        <f t="shared" si="1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1"/>
      <c r="B43" s="8">
        <f t="shared" si="1"/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11"/>
      <c r="B44" s="8">
        <f t="shared" si="1"/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11"/>
      <c r="B45" s="8">
        <f t="shared" si="1"/>
        <v>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1"/>
      <c r="B46" s="8">
        <f t="shared" si="1"/>
        <v>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6"/>
      <c r="B47" s="8">
        <f t="shared" si="1"/>
        <v>0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8.63"/>
    <col customWidth="1" min="3" max="4" width="14.75"/>
    <col customWidth="1" min="5" max="7" width="9.38"/>
    <col customWidth="1" min="8" max="27" width="8.63"/>
    <col customWidth="1" min="28" max="30" width="10.25"/>
    <col customWidth="1" min="31" max="31" width="10.38"/>
    <col customWidth="1" min="32" max="34" width="10.25"/>
    <col customWidth="1" min="35" max="36" width="10.38"/>
    <col customWidth="1" min="37" max="39" width="10.25"/>
    <col customWidth="1" min="40" max="41" width="10.38"/>
    <col customWidth="1" min="42" max="43" width="8.63"/>
    <col customWidth="1" min="44" max="46" width="10.25"/>
  </cols>
  <sheetData>
    <row r="1">
      <c r="A1" s="1" t="s">
        <v>0</v>
      </c>
      <c r="B1" s="2" t="s">
        <v>1</v>
      </c>
      <c r="C1" s="4">
        <v>45752.0</v>
      </c>
      <c r="D1" s="4">
        <v>45759.0</v>
      </c>
      <c r="E1" s="4">
        <v>45766.0</v>
      </c>
      <c r="F1" s="4">
        <v>45773.0</v>
      </c>
      <c r="G1" s="4">
        <v>45780.0</v>
      </c>
      <c r="H1" s="4">
        <v>45787.0</v>
      </c>
      <c r="I1" s="4">
        <v>45794.0</v>
      </c>
      <c r="J1" s="4">
        <v>45801.0</v>
      </c>
      <c r="K1" s="4">
        <v>45808.0</v>
      </c>
      <c r="L1" s="4">
        <v>45815.0</v>
      </c>
      <c r="M1" s="4">
        <v>45822.0</v>
      </c>
      <c r="N1" s="4">
        <v>45829.0</v>
      </c>
      <c r="O1" s="4">
        <v>45836.0</v>
      </c>
      <c r="P1" s="4">
        <v>45843.0</v>
      </c>
      <c r="Q1" s="4">
        <v>45850.0</v>
      </c>
      <c r="R1" s="4">
        <v>45857.0</v>
      </c>
      <c r="S1" s="4">
        <v>45864.0</v>
      </c>
      <c r="T1" s="4">
        <v>45871.0</v>
      </c>
      <c r="U1" s="4">
        <v>45878.0</v>
      </c>
      <c r="V1" s="4">
        <v>45885.0</v>
      </c>
      <c r="W1" s="4">
        <v>45892.0</v>
      </c>
      <c r="X1" s="4">
        <v>45899.0</v>
      </c>
      <c r="Y1" s="4">
        <v>45906.0</v>
      </c>
      <c r="Z1" s="4">
        <v>45913.0</v>
      </c>
      <c r="AA1" s="4">
        <v>45920.0</v>
      </c>
      <c r="AB1" s="4">
        <v>45927.0</v>
      </c>
      <c r="AC1" s="4">
        <v>45934.0</v>
      </c>
      <c r="AD1" s="4">
        <v>45941.0</v>
      </c>
      <c r="AE1" s="4">
        <v>45948.0</v>
      </c>
      <c r="AF1" s="4">
        <v>45955.0</v>
      </c>
      <c r="AG1" s="4">
        <v>45962.0</v>
      </c>
      <c r="AH1" s="4">
        <v>45969.0</v>
      </c>
      <c r="AI1" s="4">
        <v>45976.0</v>
      </c>
      <c r="AJ1" s="4">
        <v>45983.0</v>
      </c>
      <c r="AK1" s="4">
        <v>45990.0</v>
      </c>
      <c r="AL1" s="4">
        <v>45997.0</v>
      </c>
      <c r="AM1" s="4">
        <v>46004.0</v>
      </c>
      <c r="AN1" s="4">
        <v>46011.0</v>
      </c>
      <c r="AO1" s="4">
        <v>46018.0</v>
      </c>
      <c r="AP1" s="4"/>
      <c r="AQ1" s="4"/>
      <c r="AR1" s="4"/>
      <c r="AS1" s="4"/>
      <c r="AT1" s="6"/>
    </row>
    <row r="2">
      <c r="A2" s="1">
        <v>16.0</v>
      </c>
      <c r="B2" s="7">
        <f>SUM(B3:B315)</f>
        <v>774.75</v>
      </c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10"/>
    </row>
    <row r="3">
      <c r="A3" s="11" t="s">
        <v>3</v>
      </c>
      <c r="B3" s="8">
        <f t="shared" ref="B3:B200" si="1">SUM(C3:CB3)</f>
        <v>29.25</v>
      </c>
      <c r="C3" s="8">
        <v>3.0</v>
      </c>
      <c r="D3" s="8">
        <v>3.0</v>
      </c>
      <c r="E3" s="8">
        <v>1.0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>
        <v>2.0</v>
      </c>
      <c r="T3" s="8"/>
      <c r="U3" s="8"/>
      <c r="V3" s="8"/>
      <c r="W3" s="8"/>
      <c r="X3" s="8">
        <v>1.5</v>
      </c>
      <c r="Y3" s="8">
        <v>1.75</v>
      </c>
      <c r="Z3" s="8"/>
      <c r="AA3" s="8"/>
      <c r="AB3" s="8">
        <v>2.0</v>
      </c>
      <c r="AC3" s="8">
        <v>2.0</v>
      </c>
      <c r="AD3" s="8"/>
      <c r="AE3" s="20">
        <v>2.0</v>
      </c>
      <c r="AF3" s="20">
        <v>1.5</v>
      </c>
      <c r="AG3" s="20">
        <v>2.5</v>
      </c>
      <c r="AH3" s="20">
        <v>1.5</v>
      </c>
      <c r="AI3" s="21">
        <v>1.75</v>
      </c>
      <c r="AJ3" s="20">
        <v>2.0</v>
      </c>
      <c r="AK3" s="20">
        <v>1.75</v>
      </c>
      <c r="AL3" s="20" t="s">
        <v>62</v>
      </c>
      <c r="AM3" s="20" t="s">
        <v>62</v>
      </c>
      <c r="AN3" s="20" t="s">
        <v>63</v>
      </c>
      <c r="AO3" s="20" t="s">
        <v>62</v>
      </c>
      <c r="AP3" s="8"/>
      <c r="AQ3" s="8"/>
      <c r="AR3" s="8"/>
      <c r="AS3" s="8"/>
      <c r="AT3" s="10"/>
    </row>
    <row r="4">
      <c r="A4" s="11" t="s">
        <v>6</v>
      </c>
      <c r="B4" s="8">
        <f t="shared" si="1"/>
        <v>41</v>
      </c>
      <c r="C4" s="8"/>
      <c r="D4" s="8"/>
      <c r="E4" s="8">
        <v>1.5</v>
      </c>
      <c r="F4" s="8">
        <v>2.0</v>
      </c>
      <c r="G4" s="8"/>
      <c r="H4" s="8"/>
      <c r="I4" s="8"/>
      <c r="J4" s="8">
        <v>1.5</v>
      </c>
      <c r="K4" s="8"/>
      <c r="L4" s="8">
        <v>2.0</v>
      </c>
      <c r="M4" s="8"/>
      <c r="N4" s="8"/>
      <c r="O4" s="8">
        <v>1.5</v>
      </c>
      <c r="P4" s="8">
        <v>1.75</v>
      </c>
      <c r="Q4" s="8"/>
      <c r="R4" s="8">
        <v>2.0</v>
      </c>
      <c r="S4" s="8"/>
      <c r="T4" s="8"/>
      <c r="U4" s="8">
        <v>1.5</v>
      </c>
      <c r="V4" s="8">
        <v>1.5</v>
      </c>
      <c r="W4" s="8">
        <v>2.0</v>
      </c>
      <c r="X4" s="8"/>
      <c r="Y4" s="8"/>
      <c r="Z4" s="8">
        <v>1.25</v>
      </c>
      <c r="AA4" s="8">
        <v>2.0</v>
      </c>
      <c r="AB4" s="8"/>
      <c r="AC4" s="8"/>
      <c r="AD4" s="20">
        <v>2.0</v>
      </c>
      <c r="AE4" s="20">
        <v>2.0</v>
      </c>
      <c r="AF4" s="20">
        <v>2.0</v>
      </c>
      <c r="AG4" s="20">
        <v>1.5</v>
      </c>
      <c r="AH4" s="20">
        <v>2.25</v>
      </c>
      <c r="AI4" s="20">
        <v>2.0</v>
      </c>
      <c r="AJ4" s="20">
        <v>1.75</v>
      </c>
      <c r="AK4" s="20">
        <v>2.0</v>
      </c>
      <c r="AL4" s="20">
        <v>1.5</v>
      </c>
      <c r="AM4" s="20">
        <v>2.25</v>
      </c>
      <c r="AN4" s="20">
        <v>1.25</v>
      </c>
      <c r="AO4" s="8"/>
      <c r="AP4" s="8"/>
      <c r="AQ4" s="8"/>
      <c r="AR4" s="8"/>
      <c r="AS4" s="8"/>
      <c r="AT4" s="10"/>
    </row>
    <row r="5">
      <c r="A5" s="11" t="s">
        <v>7</v>
      </c>
      <c r="B5" s="8">
        <f t="shared" si="1"/>
        <v>39.75</v>
      </c>
      <c r="C5" s="8"/>
      <c r="D5" s="8"/>
      <c r="E5" s="8">
        <v>1.5</v>
      </c>
      <c r="F5" s="8"/>
      <c r="G5" s="8">
        <v>2.0</v>
      </c>
      <c r="H5" s="8"/>
      <c r="I5" s="8"/>
      <c r="J5" s="8"/>
      <c r="K5" s="8">
        <v>1.75</v>
      </c>
      <c r="L5" s="8">
        <v>2.0</v>
      </c>
      <c r="M5" s="8"/>
      <c r="N5" s="8"/>
      <c r="O5" s="8">
        <v>1.5</v>
      </c>
      <c r="P5" s="8"/>
      <c r="Q5" s="8">
        <v>1.5</v>
      </c>
      <c r="R5" s="8">
        <v>2.0</v>
      </c>
      <c r="S5" s="8"/>
      <c r="T5" s="8">
        <v>2.0</v>
      </c>
      <c r="U5" s="8">
        <v>1.5</v>
      </c>
      <c r="V5" s="8">
        <v>1.5</v>
      </c>
      <c r="W5" s="8">
        <v>2.0</v>
      </c>
      <c r="X5" s="8"/>
      <c r="Y5" s="8">
        <v>1.75</v>
      </c>
      <c r="Z5" s="8">
        <v>1.25</v>
      </c>
      <c r="AA5" s="8"/>
      <c r="AB5" s="8"/>
      <c r="AC5" s="8"/>
      <c r="AD5" s="20">
        <v>2.0</v>
      </c>
      <c r="AE5" s="20">
        <v>2.0</v>
      </c>
      <c r="AF5" s="20">
        <v>2.0</v>
      </c>
      <c r="AG5" s="20">
        <v>1.5</v>
      </c>
      <c r="AH5" s="8"/>
      <c r="AI5" s="21">
        <v>2.0</v>
      </c>
      <c r="AJ5" s="20">
        <v>1.75</v>
      </c>
      <c r="AK5" s="20">
        <v>2.0</v>
      </c>
      <c r="AL5" s="20">
        <v>1.5</v>
      </c>
      <c r="AM5" s="8"/>
      <c r="AN5" s="20">
        <v>1.25</v>
      </c>
      <c r="AO5" s="20">
        <v>1.5</v>
      </c>
      <c r="AP5" s="8"/>
      <c r="AQ5" s="8"/>
      <c r="AR5" s="8"/>
      <c r="AS5" s="8"/>
      <c r="AT5" s="10"/>
    </row>
    <row r="6">
      <c r="A6" s="11" t="s">
        <v>51</v>
      </c>
      <c r="B6" s="8">
        <f t="shared" si="1"/>
        <v>7</v>
      </c>
      <c r="C6" s="8"/>
      <c r="D6" s="8"/>
      <c r="E6" s="8"/>
      <c r="F6" s="8"/>
      <c r="G6" s="8"/>
      <c r="H6" s="8"/>
      <c r="I6" s="8"/>
      <c r="J6" s="8"/>
      <c r="K6" s="8"/>
      <c r="L6" s="8"/>
      <c r="M6" s="8">
        <v>2.0</v>
      </c>
      <c r="N6" s="8"/>
      <c r="O6" s="8"/>
      <c r="P6" s="8"/>
      <c r="Q6" s="8">
        <v>1.5</v>
      </c>
      <c r="R6" s="8">
        <v>2.0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20">
        <v>1.5</v>
      </c>
      <c r="AM6" s="8"/>
      <c r="AN6" s="8"/>
      <c r="AO6" s="8"/>
      <c r="AP6" s="8"/>
      <c r="AQ6" s="8"/>
      <c r="AR6" s="8"/>
      <c r="AS6" s="8"/>
      <c r="AT6" s="10"/>
    </row>
    <row r="7">
      <c r="A7" s="11" t="s">
        <v>13</v>
      </c>
      <c r="B7" s="8">
        <f t="shared" si="1"/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10"/>
    </row>
    <row r="8">
      <c r="A8" s="11" t="s">
        <v>55</v>
      </c>
      <c r="B8" s="8">
        <f t="shared" si="1"/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10"/>
    </row>
    <row r="9">
      <c r="A9" s="11" t="s">
        <v>17</v>
      </c>
      <c r="B9" s="8">
        <f t="shared" si="1"/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10"/>
    </row>
    <row r="10">
      <c r="A10" s="11" t="s">
        <v>64</v>
      </c>
      <c r="B10" s="8">
        <f t="shared" si="1"/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0"/>
    </row>
    <row r="11">
      <c r="A11" s="11" t="s">
        <v>65</v>
      </c>
      <c r="B11" s="8">
        <f t="shared" si="1"/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10"/>
    </row>
    <row r="12">
      <c r="A12" s="11" t="s">
        <v>66</v>
      </c>
      <c r="B12" s="8">
        <f t="shared" si="1"/>
        <v>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0"/>
    </row>
    <row r="13">
      <c r="A13" s="11" t="s">
        <v>23</v>
      </c>
      <c r="B13" s="8">
        <f t="shared" si="1"/>
        <v>19.75</v>
      </c>
      <c r="C13" s="8">
        <v>2.0</v>
      </c>
      <c r="D13" s="8">
        <v>2.0</v>
      </c>
      <c r="E13" s="8"/>
      <c r="F13" s="8"/>
      <c r="G13" s="8">
        <v>2.0</v>
      </c>
      <c r="H13" s="8"/>
      <c r="I13" s="8">
        <v>3.0</v>
      </c>
      <c r="J13" s="8"/>
      <c r="K13" s="8">
        <v>1.5</v>
      </c>
      <c r="L13" s="8">
        <v>2.0</v>
      </c>
      <c r="M13" s="8">
        <v>2.0</v>
      </c>
      <c r="N13" s="8">
        <v>1.5</v>
      </c>
      <c r="O13" s="8"/>
      <c r="P13" s="8">
        <v>1.75</v>
      </c>
      <c r="Q13" s="8"/>
      <c r="R13" s="8"/>
      <c r="S13" s="8"/>
      <c r="T13" s="8">
        <v>2.0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0"/>
    </row>
    <row r="14">
      <c r="A14" s="11" t="s">
        <v>24</v>
      </c>
      <c r="B14" s="8">
        <f t="shared" si="1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0"/>
    </row>
    <row r="15">
      <c r="A15" s="11" t="s">
        <v>33</v>
      </c>
      <c r="B15" s="8">
        <f t="shared" si="1"/>
        <v>9.25</v>
      </c>
      <c r="C15" s="8">
        <v>2.0</v>
      </c>
      <c r="D15" s="8"/>
      <c r="E15" s="8"/>
      <c r="F15" s="8"/>
      <c r="G15" s="8"/>
      <c r="H15" s="8"/>
      <c r="I15" s="8">
        <v>1.5</v>
      </c>
      <c r="J15" s="8"/>
      <c r="K15" s="8"/>
      <c r="L15" s="8"/>
      <c r="M15" s="8">
        <v>2.0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21">
        <v>2.0</v>
      </c>
      <c r="AJ15" s="20">
        <v>1.75</v>
      </c>
      <c r="AK15" s="8"/>
      <c r="AL15" s="8"/>
      <c r="AM15" s="8"/>
      <c r="AN15" s="8"/>
      <c r="AO15" s="8"/>
      <c r="AP15" s="8"/>
      <c r="AQ15" s="8"/>
      <c r="AR15" s="8"/>
      <c r="AS15" s="8"/>
      <c r="AT15" s="10"/>
    </row>
    <row r="16">
      <c r="A16" s="11" t="s">
        <v>61</v>
      </c>
      <c r="B16" s="8">
        <f t="shared" si="1"/>
        <v>9.25</v>
      </c>
      <c r="C16" s="8">
        <v>2.0</v>
      </c>
      <c r="D16" s="8"/>
      <c r="E16" s="8"/>
      <c r="F16" s="8"/>
      <c r="G16" s="8"/>
      <c r="H16" s="8"/>
      <c r="I16" s="8">
        <v>1.5</v>
      </c>
      <c r="J16" s="8"/>
      <c r="K16" s="8"/>
      <c r="L16" s="8"/>
      <c r="M16" s="8">
        <v>2.0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21">
        <v>2.0</v>
      </c>
      <c r="AJ16" s="20">
        <v>1.75</v>
      </c>
      <c r="AK16" s="8"/>
      <c r="AL16" s="8"/>
      <c r="AM16" s="8"/>
      <c r="AN16" s="8"/>
      <c r="AO16" s="8"/>
      <c r="AP16" s="8"/>
      <c r="AQ16" s="8"/>
      <c r="AR16" s="8"/>
      <c r="AS16" s="8"/>
      <c r="AT16" s="10"/>
    </row>
    <row r="17">
      <c r="A17" s="11" t="s">
        <v>67</v>
      </c>
      <c r="B17" s="8">
        <f t="shared" si="1"/>
        <v>1.5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>
        <v>1.5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10"/>
    </row>
    <row r="18">
      <c r="A18" s="11" t="s">
        <v>68</v>
      </c>
      <c r="B18" s="8">
        <f t="shared" si="1"/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10"/>
    </row>
    <row r="19">
      <c r="A19" s="11" t="s">
        <v>69</v>
      </c>
      <c r="B19" s="8">
        <f t="shared" si="1"/>
        <v>38.5</v>
      </c>
      <c r="C19" s="8"/>
      <c r="D19" s="8"/>
      <c r="E19" s="8"/>
      <c r="F19" s="8">
        <v>1.5</v>
      </c>
      <c r="G19" s="8">
        <v>2.0</v>
      </c>
      <c r="H19" s="8"/>
      <c r="I19" s="8"/>
      <c r="J19" s="8"/>
      <c r="K19" s="8"/>
      <c r="L19" s="8"/>
      <c r="M19" s="8"/>
      <c r="N19" s="8">
        <v>1.5</v>
      </c>
      <c r="O19" s="8"/>
      <c r="P19" s="8">
        <v>1.75</v>
      </c>
      <c r="Q19" s="8">
        <v>1.5</v>
      </c>
      <c r="R19" s="8">
        <v>2.0</v>
      </c>
      <c r="S19" s="8">
        <v>2.0</v>
      </c>
      <c r="T19" s="8">
        <v>2.0</v>
      </c>
      <c r="U19" s="8">
        <v>1.5</v>
      </c>
      <c r="V19" s="8">
        <v>1.5</v>
      </c>
      <c r="W19" s="8">
        <v>2.0</v>
      </c>
      <c r="X19" s="8"/>
      <c r="Y19" s="8">
        <v>1.75</v>
      </c>
      <c r="Z19" s="8"/>
      <c r="AA19" s="8"/>
      <c r="AB19" s="8">
        <v>2.0</v>
      </c>
      <c r="AC19" s="8">
        <v>1.75</v>
      </c>
      <c r="AD19" s="8"/>
      <c r="AE19" s="20">
        <v>1.75</v>
      </c>
      <c r="AF19" s="20">
        <v>2.0</v>
      </c>
      <c r="AG19" s="20">
        <v>2.5</v>
      </c>
      <c r="AH19" s="20">
        <v>2.25</v>
      </c>
      <c r="AI19" s="20">
        <v>2.0</v>
      </c>
      <c r="AJ19" s="20">
        <v>1.75</v>
      </c>
      <c r="AK19" s="8"/>
      <c r="AL19" s="20">
        <v>1.5</v>
      </c>
      <c r="AM19" s="8"/>
      <c r="AN19" s="8"/>
      <c r="AO19" s="8"/>
      <c r="AP19" s="8"/>
      <c r="AQ19" s="8"/>
      <c r="AR19" s="8"/>
      <c r="AS19" s="8"/>
      <c r="AT19" s="10"/>
    </row>
    <row r="20">
      <c r="A20" s="11" t="s">
        <v>70</v>
      </c>
      <c r="B20" s="8">
        <f t="shared" si="1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0"/>
    </row>
    <row r="21" ht="15.75" customHeight="1">
      <c r="A21" s="11" t="s">
        <v>52</v>
      </c>
      <c r="B21" s="8">
        <f t="shared" si="1"/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10"/>
    </row>
    <row r="22" ht="15.75" customHeight="1">
      <c r="A22" s="11" t="s">
        <v>16</v>
      </c>
      <c r="B22" s="8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0"/>
    </row>
    <row r="23" ht="15.75" customHeight="1">
      <c r="A23" s="11" t="s">
        <v>46</v>
      </c>
      <c r="B23" s="8">
        <f t="shared" si="1"/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0"/>
    </row>
    <row r="24" ht="15.75" customHeight="1">
      <c r="A24" s="11" t="s">
        <v>71</v>
      </c>
      <c r="B24" s="8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10"/>
    </row>
    <row r="25" ht="15.75" customHeight="1">
      <c r="A25" s="11" t="s">
        <v>72</v>
      </c>
      <c r="B25" s="8">
        <f t="shared" si="1"/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0"/>
    </row>
    <row r="26" ht="15.75" customHeight="1">
      <c r="A26" s="11" t="s">
        <v>48</v>
      </c>
      <c r="B26" s="8">
        <f t="shared" si="1"/>
        <v>4.5</v>
      </c>
      <c r="C26" s="8"/>
      <c r="D26" s="8"/>
      <c r="E26" s="8"/>
      <c r="F26" s="8">
        <v>1.5</v>
      </c>
      <c r="G26" s="8"/>
      <c r="H26" s="8"/>
      <c r="I26" s="8">
        <v>1.5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>
        <v>1.5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0"/>
    </row>
    <row r="27" ht="15.75" customHeight="1">
      <c r="A27" s="11" t="s">
        <v>41</v>
      </c>
      <c r="B27" s="8">
        <f t="shared" si="1"/>
        <v>1.5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>
        <v>1.5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10"/>
    </row>
    <row r="28" ht="15.75" customHeight="1">
      <c r="A28" s="11" t="s">
        <v>40</v>
      </c>
      <c r="B28" s="8">
        <f t="shared" si="1"/>
        <v>3.25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>
        <v>2.0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20">
        <v>1.25</v>
      </c>
      <c r="AO28" s="8"/>
      <c r="AP28" s="8"/>
      <c r="AQ28" s="8"/>
      <c r="AR28" s="8"/>
      <c r="AS28" s="8"/>
      <c r="AT28" s="10"/>
    </row>
    <row r="29" ht="15.75" customHeight="1">
      <c r="A29" s="11" t="s">
        <v>10</v>
      </c>
      <c r="B29" s="8">
        <f t="shared" si="1"/>
        <v>3.5</v>
      </c>
      <c r="C29" s="8"/>
      <c r="D29" s="8">
        <v>2.0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20">
        <v>1.5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0"/>
    </row>
    <row r="30" ht="15.75" customHeight="1">
      <c r="A30" s="11" t="s">
        <v>9</v>
      </c>
      <c r="B30" s="8">
        <f t="shared" si="1"/>
        <v>2</v>
      </c>
      <c r="C30" s="8"/>
      <c r="D30" s="8">
        <v>2.0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10"/>
    </row>
    <row r="31" ht="15.75" customHeight="1">
      <c r="A31" s="11" t="s">
        <v>73</v>
      </c>
      <c r="B31" s="8">
        <f t="shared" si="1"/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0"/>
    </row>
    <row r="32" ht="15.75" customHeight="1">
      <c r="A32" s="11" t="s">
        <v>31</v>
      </c>
      <c r="B32" s="8">
        <f t="shared" si="1"/>
        <v>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v>2.0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0"/>
    </row>
    <row r="33" ht="15.75" customHeight="1">
      <c r="A33" s="11" t="s">
        <v>74</v>
      </c>
      <c r="B33" s="8">
        <f t="shared" si="1"/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10"/>
    </row>
    <row r="34" ht="15.75" customHeight="1">
      <c r="A34" s="11" t="s">
        <v>75</v>
      </c>
      <c r="B34" s="8">
        <f t="shared" si="1"/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0"/>
    </row>
    <row r="35" ht="15.75" customHeight="1">
      <c r="A35" s="11" t="s">
        <v>15</v>
      </c>
      <c r="B35" s="8">
        <f t="shared" si="1"/>
        <v>4.5</v>
      </c>
      <c r="C35" s="8"/>
      <c r="D35" s="8"/>
      <c r="E35" s="8">
        <v>1.0</v>
      </c>
      <c r="F35" s="8"/>
      <c r="G35" s="8">
        <v>2.0</v>
      </c>
      <c r="H35" s="8"/>
      <c r="I35" s="8"/>
      <c r="J35" s="8"/>
      <c r="K35" s="8"/>
      <c r="L35" s="8"/>
      <c r="M35" s="8"/>
      <c r="N35" s="8"/>
      <c r="O35" s="8">
        <v>1.5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0"/>
    </row>
    <row r="36" ht="15.75" customHeight="1">
      <c r="A36" s="11" t="s">
        <v>12</v>
      </c>
      <c r="B36" s="8">
        <f t="shared" si="1"/>
        <v>4</v>
      </c>
      <c r="C36" s="8">
        <v>2.0</v>
      </c>
      <c r="D36" s="8"/>
      <c r="E36" s="8"/>
      <c r="F36" s="8"/>
      <c r="G36" s="8">
        <v>2.0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10"/>
    </row>
    <row r="37" ht="15.75" customHeight="1">
      <c r="A37" s="11" t="s">
        <v>76</v>
      </c>
      <c r="B37" s="8">
        <f t="shared" si="1"/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10"/>
    </row>
    <row r="38" ht="15.75" customHeight="1">
      <c r="A38" s="11" t="s">
        <v>77</v>
      </c>
      <c r="B38" s="8">
        <f t="shared" si="1"/>
        <v>8.5</v>
      </c>
      <c r="C38" s="8">
        <v>2.0</v>
      </c>
      <c r="D38" s="8"/>
      <c r="E38" s="8">
        <v>1.0</v>
      </c>
      <c r="F38" s="8">
        <v>1.5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>
        <v>2.0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20">
        <v>2.0</v>
      </c>
      <c r="AL38" s="8"/>
      <c r="AM38" s="8"/>
      <c r="AN38" s="8"/>
      <c r="AO38" s="8"/>
      <c r="AP38" s="8"/>
      <c r="AQ38" s="8"/>
      <c r="AR38" s="8"/>
      <c r="AS38" s="8"/>
      <c r="AT38" s="10"/>
    </row>
    <row r="39" ht="15.75" customHeight="1">
      <c r="A39" s="11" t="s">
        <v>78</v>
      </c>
      <c r="B39" s="8">
        <f t="shared" si="1"/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10"/>
    </row>
    <row r="40" ht="15.75" customHeight="1">
      <c r="A40" s="11" t="s">
        <v>79</v>
      </c>
      <c r="B40" s="8">
        <f t="shared" si="1"/>
        <v>15</v>
      </c>
      <c r="C40" s="8">
        <v>2.0</v>
      </c>
      <c r="D40" s="8">
        <v>2.0</v>
      </c>
      <c r="E40" s="8"/>
      <c r="F40" s="8"/>
      <c r="G40" s="8"/>
      <c r="H40" s="8"/>
      <c r="I40" s="8"/>
      <c r="J40" s="8">
        <v>1.25</v>
      </c>
      <c r="K40" s="8"/>
      <c r="L40" s="8">
        <v>2.0</v>
      </c>
      <c r="M40" s="8"/>
      <c r="N40" s="8"/>
      <c r="O40" s="8"/>
      <c r="P40" s="8"/>
      <c r="Q40" s="8"/>
      <c r="R40" s="8">
        <v>2.0</v>
      </c>
      <c r="S40" s="8"/>
      <c r="T40" s="8"/>
      <c r="U40" s="8">
        <v>1.5</v>
      </c>
      <c r="V40" s="8"/>
      <c r="W40" s="8"/>
      <c r="X40" s="8"/>
      <c r="Y40" s="8">
        <v>1.75</v>
      </c>
      <c r="Z40" s="8"/>
      <c r="AA40" s="8"/>
      <c r="AB40" s="8"/>
      <c r="AC40" s="8"/>
      <c r="AD40" s="8"/>
      <c r="AE40" s="8"/>
      <c r="AF40" s="8"/>
      <c r="AG40" s="20">
        <v>2.5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10"/>
    </row>
    <row r="41" ht="15.75" customHeight="1">
      <c r="A41" s="11" t="s">
        <v>80</v>
      </c>
      <c r="B41" s="8">
        <f t="shared" si="1"/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10"/>
    </row>
    <row r="42" ht="15.75" customHeight="1">
      <c r="A42" s="11" t="s">
        <v>81</v>
      </c>
      <c r="B42" s="8">
        <f t="shared" si="1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10"/>
    </row>
    <row r="43" ht="15.75" customHeight="1">
      <c r="A43" s="11" t="s">
        <v>82</v>
      </c>
      <c r="B43" s="8">
        <f t="shared" si="1"/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10"/>
    </row>
    <row r="44" ht="15.75" customHeight="1">
      <c r="A44" s="11" t="s">
        <v>83</v>
      </c>
      <c r="B44" s="8">
        <f t="shared" si="1"/>
        <v>4</v>
      </c>
      <c r="C44" s="8">
        <v>2.0</v>
      </c>
      <c r="D44" s="8"/>
      <c r="E44" s="8"/>
      <c r="F44" s="8"/>
      <c r="G44" s="8">
        <v>2.0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10"/>
    </row>
    <row r="45" ht="15.75" customHeight="1">
      <c r="A45" s="11" t="s">
        <v>84</v>
      </c>
      <c r="B45" s="8">
        <f t="shared" si="1"/>
        <v>7.5</v>
      </c>
      <c r="C45" s="8">
        <v>2.0</v>
      </c>
      <c r="D45" s="8">
        <v>2.0</v>
      </c>
      <c r="E45" s="8"/>
      <c r="F45" s="8"/>
      <c r="G45" s="8"/>
      <c r="H45" s="8"/>
      <c r="I45" s="8"/>
      <c r="J45" s="8"/>
      <c r="K45" s="8"/>
      <c r="L45" s="8"/>
      <c r="M45" s="8"/>
      <c r="N45" s="8">
        <v>1.5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2.0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10"/>
    </row>
    <row r="46" ht="15.75" customHeight="1">
      <c r="A46" s="11" t="s">
        <v>85</v>
      </c>
      <c r="B46" s="8">
        <f t="shared" si="1"/>
        <v>5.5</v>
      </c>
      <c r="C46" s="8">
        <v>2.0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>
        <v>1.5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>
        <v>2.0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10"/>
    </row>
    <row r="47" ht="15.75" customHeight="1">
      <c r="A47" s="11" t="s">
        <v>86</v>
      </c>
      <c r="B47" s="8">
        <f t="shared" si="1"/>
        <v>1.5</v>
      </c>
      <c r="C47" s="8"/>
      <c r="D47" s="8"/>
      <c r="E47" s="8"/>
      <c r="F47" s="8">
        <v>1.5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10"/>
    </row>
    <row r="48" ht="15.75" customHeight="1">
      <c r="A48" s="11" t="s">
        <v>87</v>
      </c>
      <c r="B48" s="8">
        <f t="shared" si="1"/>
        <v>1.5</v>
      </c>
      <c r="C48" s="8"/>
      <c r="D48" s="8"/>
      <c r="E48" s="8"/>
      <c r="F48" s="8">
        <v>1.5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10"/>
    </row>
    <row r="49" ht="15.75" customHeight="1">
      <c r="A49" s="11" t="s">
        <v>88</v>
      </c>
      <c r="B49" s="8">
        <f t="shared" si="1"/>
        <v>1.5</v>
      </c>
      <c r="C49" s="8"/>
      <c r="D49" s="8"/>
      <c r="E49" s="8"/>
      <c r="F49" s="8">
        <v>1.5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10"/>
    </row>
    <row r="50" ht="15.75" customHeight="1">
      <c r="A50" s="11" t="s">
        <v>89</v>
      </c>
      <c r="B50" s="8">
        <f t="shared" si="1"/>
        <v>1.5</v>
      </c>
      <c r="C50" s="8"/>
      <c r="D50" s="8"/>
      <c r="E50" s="8"/>
      <c r="F50" s="8">
        <v>1.5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10"/>
    </row>
    <row r="51" ht="15.75" customHeight="1">
      <c r="A51" s="11" t="s">
        <v>90</v>
      </c>
      <c r="B51" s="8">
        <f t="shared" si="1"/>
        <v>7.25</v>
      </c>
      <c r="C51" s="8"/>
      <c r="D51" s="8"/>
      <c r="E51" s="8"/>
      <c r="F51" s="8"/>
      <c r="G51" s="8"/>
      <c r="H51" s="8"/>
      <c r="I51" s="8">
        <v>1.5</v>
      </c>
      <c r="J51" s="8"/>
      <c r="K51" s="8">
        <v>1.5</v>
      </c>
      <c r="L51" s="8"/>
      <c r="M51" s="8"/>
      <c r="N51" s="8"/>
      <c r="O51" s="8"/>
      <c r="P51" s="8"/>
      <c r="Q51" s="8">
        <v>1.5</v>
      </c>
      <c r="R51" s="8"/>
      <c r="S51" s="8"/>
      <c r="T51" s="8"/>
      <c r="U51" s="8">
        <v>1.5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20">
        <v>1.25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10"/>
    </row>
    <row r="52" ht="15.75" customHeight="1">
      <c r="A52" s="11" t="s">
        <v>91</v>
      </c>
      <c r="B52" s="8">
        <f t="shared" si="1"/>
        <v>2.75</v>
      </c>
      <c r="C52" s="8"/>
      <c r="D52" s="8"/>
      <c r="E52" s="8"/>
      <c r="F52" s="8"/>
      <c r="G52" s="8"/>
      <c r="H52" s="8"/>
      <c r="I52" s="8">
        <v>1.5</v>
      </c>
      <c r="J52" s="8">
        <v>1.25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10"/>
    </row>
    <row r="53" ht="15.75" customHeight="1">
      <c r="A53" s="11" t="s">
        <v>92</v>
      </c>
      <c r="B53" s="8">
        <f t="shared" si="1"/>
        <v>31.75</v>
      </c>
      <c r="C53" s="8"/>
      <c r="D53" s="8"/>
      <c r="E53" s="8"/>
      <c r="F53" s="8"/>
      <c r="G53" s="8"/>
      <c r="H53" s="8"/>
      <c r="I53" s="8">
        <v>1.5</v>
      </c>
      <c r="J53" s="8"/>
      <c r="K53" s="8">
        <v>1.5</v>
      </c>
      <c r="L53" s="8"/>
      <c r="M53" s="8">
        <v>2.0</v>
      </c>
      <c r="N53" s="8"/>
      <c r="O53" s="8">
        <v>1.5</v>
      </c>
      <c r="P53" s="8">
        <v>1.75</v>
      </c>
      <c r="Q53" s="8"/>
      <c r="R53" s="8">
        <v>2.0</v>
      </c>
      <c r="S53" s="8">
        <v>2.0</v>
      </c>
      <c r="T53" s="8"/>
      <c r="U53" s="8">
        <v>1.5</v>
      </c>
      <c r="V53" s="8">
        <v>1.5</v>
      </c>
      <c r="W53" s="8"/>
      <c r="X53" s="8"/>
      <c r="Y53" s="8">
        <v>1.75</v>
      </c>
      <c r="Z53" s="8">
        <v>1.25</v>
      </c>
      <c r="AA53" s="8">
        <v>2.0</v>
      </c>
      <c r="AB53" s="8"/>
      <c r="AC53" s="8"/>
      <c r="AD53" s="20">
        <v>2.0</v>
      </c>
      <c r="AE53" s="20">
        <v>2.0</v>
      </c>
      <c r="AF53" s="8"/>
      <c r="AG53" s="20">
        <v>1.5</v>
      </c>
      <c r="AH53" s="8"/>
      <c r="AI53" s="8"/>
      <c r="AJ53" s="20">
        <v>2.0</v>
      </c>
      <c r="AK53" s="8"/>
      <c r="AL53" s="8"/>
      <c r="AM53" s="8"/>
      <c r="AN53" s="20">
        <v>2.5</v>
      </c>
      <c r="AO53" s="20">
        <v>1.5</v>
      </c>
      <c r="AP53" s="8"/>
      <c r="AQ53" s="8"/>
      <c r="AR53" s="8"/>
      <c r="AS53" s="8"/>
      <c r="AT53" s="10"/>
    </row>
    <row r="54" ht="15.75" customHeight="1">
      <c r="A54" s="11" t="s">
        <v>93</v>
      </c>
      <c r="B54" s="8">
        <f t="shared" si="1"/>
        <v>6.75</v>
      </c>
      <c r="C54" s="8"/>
      <c r="D54" s="8"/>
      <c r="E54" s="8"/>
      <c r="F54" s="8"/>
      <c r="G54" s="8"/>
      <c r="H54" s="8"/>
      <c r="I54" s="8">
        <v>1.5</v>
      </c>
      <c r="J54" s="8">
        <v>1.25</v>
      </c>
      <c r="K54" s="8"/>
      <c r="L54" s="8"/>
      <c r="M54" s="8"/>
      <c r="N54" s="8"/>
      <c r="O54" s="8"/>
      <c r="P54" s="8"/>
      <c r="Q54" s="8"/>
      <c r="R54" s="8">
        <v>2.0</v>
      </c>
      <c r="S54" s="8">
        <v>2.0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10"/>
    </row>
    <row r="55" ht="15.75" customHeight="1">
      <c r="A55" s="11" t="s">
        <v>94</v>
      </c>
      <c r="B55" s="8">
        <f t="shared" si="1"/>
        <v>1.25</v>
      </c>
      <c r="C55" s="8"/>
      <c r="D55" s="8"/>
      <c r="E55" s="8"/>
      <c r="F55" s="8"/>
      <c r="G55" s="8"/>
      <c r="H55" s="8"/>
      <c r="I55" s="8"/>
      <c r="J55" s="8">
        <v>1.25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10"/>
    </row>
    <row r="56" ht="15.75" customHeight="1">
      <c r="A56" s="11" t="s">
        <v>95</v>
      </c>
      <c r="B56" s="8">
        <f t="shared" si="1"/>
        <v>7.5</v>
      </c>
      <c r="C56" s="8"/>
      <c r="D56" s="8"/>
      <c r="E56" s="8"/>
      <c r="F56" s="8"/>
      <c r="G56" s="8"/>
      <c r="H56" s="8"/>
      <c r="I56" s="8"/>
      <c r="J56" s="8">
        <v>1.25</v>
      </c>
      <c r="K56" s="8"/>
      <c r="L56" s="8"/>
      <c r="M56" s="8"/>
      <c r="N56" s="8">
        <v>1.5</v>
      </c>
      <c r="O56" s="8"/>
      <c r="P56" s="8"/>
      <c r="Q56" s="8"/>
      <c r="R56" s="8"/>
      <c r="S56" s="8">
        <v>2.0</v>
      </c>
      <c r="T56" s="8"/>
      <c r="U56" s="8"/>
      <c r="V56" s="8">
        <v>1.5</v>
      </c>
      <c r="W56" s="8"/>
      <c r="X56" s="8"/>
      <c r="Y56" s="8"/>
      <c r="Z56" s="8">
        <v>1.25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10"/>
    </row>
    <row r="57" ht="15.75" customHeight="1">
      <c r="A57" s="11" t="s">
        <v>96</v>
      </c>
      <c r="B57" s="8">
        <f t="shared" si="1"/>
        <v>7.5</v>
      </c>
      <c r="C57" s="8"/>
      <c r="D57" s="8"/>
      <c r="E57" s="8"/>
      <c r="F57" s="8"/>
      <c r="G57" s="8"/>
      <c r="H57" s="8"/>
      <c r="I57" s="8"/>
      <c r="J57" s="8">
        <v>1.25</v>
      </c>
      <c r="K57" s="8"/>
      <c r="L57" s="8"/>
      <c r="M57" s="8"/>
      <c r="N57" s="8">
        <v>1.5</v>
      </c>
      <c r="O57" s="8"/>
      <c r="P57" s="8"/>
      <c r="Q57" s="8"/>
      <c r="R57" s="8"/>
      <c r="S57" s="8">
        <v>2.0</v>
      </c>
      <c r="T57" s="8"/>
      <c r="U57" s="8"/>
      <c r="V57" s="8">
        <v>1.5</v>
      </c>
      <c r="W57" s="8"/>
      <c r="X57" s="8"/>
      <c r="Y57" s="8"/>
      <c r="Z57" s="8">
        <v>1.25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10"/>
    </row>
    <row r="58" ht="15.75" customHeight="1">
      <c r="A58" s="11" t="s">
        <v>97</v>
      </c>
      <c r="B58" s="8">
        <f t="shared" si="1"/>
        <v>1.25</v>
      </c>
      <c r="C58" s="8"/>
      <c r="D58" s="8"/>
      <c r="E58" s="8"/>
      <c r="F58" s="8"/>
      <c r="G58" s="8"/>
      <c r="H58" s="8"/>
      <c r="I58" s="8"/>
      <c r="J58" s="8">
        <v>1.25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10"/>
    </row>
    <row r="59" ht="15.75" customHeight="1">
      <c r="A59" s="11" t="s">
        <v>98</v>
      </c>
      <c r="B59" s="8">
        <f t="shared" si="1"/>
        <v>5.5</v>
      </c>
      <c r="C59" s="8"/>
      <c r="D59" s="8"/>
      <c r="E59" s="8"/>
      <c r="F59" s="8"/>
      <c r="G59" s="8"/>
      <c r="H59" s="8"/>
      <c r="I59" s="8"/>
      <c r="J59" s="8"/>
      <c r="K59" s="8">
        <v>1.5</v>
      </c>
      <c r="L59" s="8"/>
      <c r="M59" s="8">
        <v>2.0</v>
      </c>
      <c r="N59" s="8"/>
      <c r="O59" s="8"/>
      <c r="P59" s="8"/>
      <c r="Q59" s="8"/>
      <c r="R59" s="8"/>
      <c r="S59" s="8">
        <v>2.0</v>
      </c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10"/>
    </row>
    <row r="60" ht="15.75" customHeight="1">
      <c r="A60" s="11" t="s">
        <v>99</v>
      </c>
      <c r="B60" s="8">
        <f t="shared" si="1"/>
        <v>3.25</v>
      </c>
      <c r="C60" s="8"/>
      <c r="D60" s="8"/>
      <c r="E60" s="8"/>
      <c r="F60" s="8"/>
      <c r="G60" s="8"/>
      <c r="H60" s="8"/>
      <c r="I60" s="8"/>
      <c r="J60" s="8"/>
      <c r="K60" s="8">
        <v>1.5</v>
      </c>
      <c r="L60" s="8"/>
      <c r="M60" s="8"/>
      <c r="N60" s="8"/>
      <c r="O60" s="8"/>
      <c r="P60" s="8">
        <v>1.75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10"/>
    </row>
    <row r="61" ht="15.75" customHeight="1">
      <c r="A61" s="11" t="s">
        <v>100</v>
      </c>
      <c r="B61" s="8">
        <f t="shared" si="1"/>
        <v>6.75</v>
      </c>
      <c r="C61" s="8"/>
      <c r="D61" s="8"/>
      <c r="E61" s="8"/>
      <c r="F61" s="8"/>
      <c r="G61" s="8"/>
      <c r="H61" s="8"/>
      <c r="I61" s="8"/>
      <c r="J61" s="8"/>
      <c r="K61" s="8"/>
      <c r="L61" s="8">
        <v>2.0</v>
      </c>
      <c r="M61" s="8"/>
      <c r="N61" s="8"/>
      <c r="O61" s="8">
        <v>1.5</v>
      </c>
      <c r="P61" s="8"/>
      <c r="Q61" s="8">
        <v>1.5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21">
        <v>1.75</v>
      </c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10"/>
    </row>
    <row r="62" ht="15.75" customHeight="1">
      <c r="A62" s="11" t="s">
        <v>101</v>
      </c>
      <c r="B62" s="8">
        <f t="shared" si="1"/>
        <v>3.5</v>
      </c>
      <c r="C62" s="8"/>
      <c r="D62" s="8"/>
      <c r="E62" s="8"/>
      <c r="F62" s="8"/>
      <c r="G62" s="8"/>
      <c r="H62" s="8"/>
      <c r="I62" s="8"/>
      <c r="J62" s="8"/>
      <c r="K62" s="8"/>
      <c r="L62" s="8">
        <v>2.0</v>
      </c>
      <c r="M62" s="8"/>
      <c r="N62" s="8"/>
      <c r="O62" s="8">
        <v>1.5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10"/>
    </row>
    <row r="63" ht="15.75" customHeight="1">
      <c r="A63" s="11" t="s">
        <v>102</v>
      </c>
      <c r="B63" s="8">
        <f t="shared" si="1"/>
        <v>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>
        <v>2.0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10"/>
    </row>
    <row r="64" ht="15.75" customHeight="1">
      <c r="A64" s="11" t="s">
        <v>103</v>
      </c>
      <c r="B64" s="8">
        <f t="shared" si="1"/>
        <v>2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>
        <v>2.0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10"/>
    </row>
    <row r="65" ht="15.75" customHeight="1">
      <c r="A65" s="11" t="s">
        <v>104</v>
      </c>
      <c r="B65" s="8">
        <f t="shared" si="1"/>
        <v>2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>
        <v>2.0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10"/>
    </row>
    <row r="66" ht="15.75" customHeight="1">
      <c r="A66" s="11" t="s">
        <v>105</v>
      </c>
      <c r="B66" s="8">
        <f t="shared" si="1"/>
        <v>2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>
        <v>2.0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10"/>
    </row>
    <row r="67" ht="15.75" customHeight="1">
      <c r="A67" s="11" t="s">
        <v>106</v>
      </c>
      <c r="B67" s="8">
        <f t="shared" si="1"/>
        <v>1.5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>
        <v>1.5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10"/>
    </row>
    <row r="68" ht="15.75" customHeight="1">
      <c r="A68" s="11" t="s">
        <v>107</v>
      </c>
      <c r="B68" s="8">
        <f t="shared" si="1"/>
        <v>1.5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>
        <v>1.5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10"/>
    </row>
    <row r="69" ht="15.75" customHeight="1">
      <c r="A69" s="11" t="s">
        <v>108</v>
      </c>
      <c r="B69" s="8">
        <f t="shared" si="1"/>
        <v>1.5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>
        <v>1.5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10"/>
    </row>
    <row r="70" ht="15.75" customHeight="1">
      <c r="A70" s="11" t="s">
        <v>109</v>
      </c>
      <c r="B70" s="8">
        <f t="shared" si="1"/>
        <v>9.75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>
        <v>1.75</v>
      </c>
      <c r="Q70" s="8">
        <v>1.5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20">
        <v>2.0</v>
      </c>
      <c r="AG70" s="8"/>
      <c r="AH70" s="8"/>
      <c r="AI70" s="21">
        <v>1.0</v>
      </c>
      <c r="AJ70" s="8"/>
      <c r="AK70" s="20">
        <v>2.0</v>
      </c>
      <c r="AL70" s="8"/>
      <c r="AM70" s="8"/>
      <c r="AN70" s="8"/>
      <c r="AO70" s="20">
        <v>1.5</v>
      </c>
      <c r="AP70" s="8"/>
      <c r="AQ70" s="8"/>
      <c r="AR70" s="8"/>
      <c r="AS70" s="8"/>
      <c r="AT70" s="10"/>
    </row>
    <row r="71" ht="15.75" customHeight="1">
      <c r="A71" s="11" t="s">
        <v>110</v>
      </c>
      <c r="B71" s="8">
        <f t="shared" si="1"/>
        <v>1.75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>
        <v>1.75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10"/>
    </row>
    <row r="72" ht="15.75" customHeight="1">
      <c r="A72" s="11" t="s">
        <v>111</v>
      </c>
      <c r="B72" s="8">
        <f t="shared" si="1"/>
        <v>1.5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>
        <v>1.5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10"/>
    </row>
    <row r="73" ht="15.75" customHeight="1">
      <c r="A73" s="11" t="s">
        <v>112</v>
      </c>
      <c r="B73" s="8">
        <f t="shared" si="1"/>
        <v>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>
        <v>2.0</v>
      </c>
      <c r="S73" s="8"/>
      <c r="T73" s="8">
        <v>2.0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10"/>
    </row>
    <row r="74" ht="15.75" customHeight="1">
      <c r="A74" s="11" t="s">
        <v>113</v>
      </c>
      <c r="B74" s="8">
        <f t="shared" si="1"/>
        <v>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>
        <v>2.0</v>
      </c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10"/>
    </row>
    <row r="75" ht="15.75" customHeight="1">
      <c r="A75" s="11" t="s">
        <v>114</v>
      </c>
      <c r="B75" s="8">
        <f t="shared" si="1"/>
        <v>2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>
        <v>2.0</v>
      </c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10"/>
    </row>
    <row r="76" ht="15.75" customHeight="1">
      <c r="A76" s="11" t="s">
        <v>115</v>
      </c>
      <c r="B76" s="8">
        <f t="shared" si="1"/>
        <v>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>
        <v>2.0</v>
      </c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10"/>
    </row>
    <row r="77" ht="15.75" customHeight="1">
      <c r="A77" s="11" t="s">
        <v>116</v>
      </c>
      <c r="B77" s="8">
        <f t="shared" si="1"/>
        <v>2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>
        <v>2.0</v>
      </c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10"/>
    </row>
    <row r="78" ht="15.75" customHeight="1">
      <c r="A78" s="22" t="s">
        <v>117</v>
      </c>
      <c r="B78" s="8">
        <f t="shared" si="1"/>
        <v>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>
        <v>2.0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</row>
    <row r="79" ht="15.75" customHeight="1">
      <c r="A79" s="22" t="s">
        <v>118</v>
      </c>
      <c r="B79" s="8">
        <f t="shared" si="1"/>
        <v>2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>
        <v>2.0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</row>
    <row r="80" ht="15.75" customHeight="1">
      <c r="A80" s="22" t="s">
        <v>119</v>
      </c>
      <c r="B80" s="8">
        <f t="shared" si="1"/>
        <v>2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>
        <v>2.0</v>
      </c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</row>
    <row r="81" ht="15.75" customHeight="1">
      <c r="A81" s="22" t="s">
        <v>120</v>
      </c>
      <c r="B81" s="8">
        <f t="shared" si="1"/>
        <v>1.5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>
        <v>1.5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</row>
    <row r="82" ht="15.75" customHeight="1">
      <c r="A82" s="22" t="s">
        <v>121</v>
      </c>
      <c r="B82" s="8">
        <f t="shared" si="1"/>
        <v>1.5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>
        <v>1.5</v>
      </c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</row>
    <row r="83" ht="15.75" customHeight="1">
      <c r="A83" s="22" t="s">
        <v>122</v>
      </c>
      <c r="B83" s="8">
        <f t="shared" si="1"/>
        <v>4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>
        <v>2.0</v>
      </c>
      <c r="X83" s="8"/>
      <c r="Y83" s="8"/>
      <c r="Z83" s="8"/>
      <c r="AA83" s="8"/>
      <c r="AB83" s="8"/>
      <c r="AC83" s="8">
        <v>2.0</v>
      </c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</row>
    <row r="84" ht="15.75" customHeight="1">
      <c r="A84" s="22" t="s">
        <v>123</v>
      </c>
      <c r="B84" s="8">
        <f t="shared" si="1"/>
        <v>2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>
        <v>2.0</v>
      </c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</row>
    <row r="85" ht="15.75" customHeight="1">
      <c r="A85" s="22" t="s">
        <v>124</v>
      </c>
      <c r="B85" s="8">
        <f t="shared" si="1"/>
        <v>2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>
        <v>2.0</v>
      </c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</row>
    <row r="86" ht="15.75" customHeight="1">
      <c r="A86" s="22" t="s">
        <v>125</v>
      </c>
      <c r="B86" s="8">
        <f t="shared" si="1"/>
        <v>1.5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>
        <v>1.5</v>
      </c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</row>
    <row r="87" ht="15.75" customHeight="1">
      <c r="A87" s="22" t="s">
        <v>126</v>
      </c>
      <c r="B87" s="8">
        <f t="shared" si="1"/>
        <v>1.5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>
        <v>1.5</v>
      </c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</row>
    <row r="88" ht="15.75" customHeight="1">
      <c r="A88" s="22" t="s">
        <v>127</v>
      </c>
      <c r="B88" s="8">
        <f t="shared" si="1"/>
        <v>1.5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>
        <v>1.5</v>
      </c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</row>
    <row r="89" ht="15.75" customHeight="1">
      <c r="A89" s="22" t="s">
        <v>128</v>
      </c>
      <c r="B89" s="8">
        <f t="shared" si="1"/>
        <v>1.5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>
        <v>1.5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</row>
    <row r="90" ht="15.75" customHeight="1">
      <c r="A90" s="22" t="s">
        <v>129</v>
      </c>
      <c r="B90" s="8">
        <f t="shared" si="1"/>
        <v>1.5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>
        <v>1.5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</row>
    <row r="91" ht="15.75" customHeight="1">
      <c r="A91" s="22" t="s">
        <v>130</v>
      </c>
      <c r="B91" s="8">
        <f t="shared" si="1"/>
        <v>1.5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>
        <v>1.5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</row>
    <row r="92" ht="15.75" customHeight="1">
      <c r="A92" s="22" t="s">
        <v>131</v>
      </c>
      <c r="B92" s="8">
        <f t="shared" si="1"/>
        <v>1.5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>
        <v>1.5</v>
      </c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</row>
    <row r="93" ht="15.75" customHeight="1">
      <c r="A93" s="22" t="s">
        <v>132</v>
      </c>
      <c r="B93" s="8">
        <f t="shared" si="1"/>
        <v>1.5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>
        <v>1.5</v>
      </c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</row>
    <row r="94" ht="15.75" customHeight="1">
      <c r="A94" s="22" t="s">
        <v>133</v>
      </c>
      <c r="B94" s="8">
        <f t="shared" si="1"/>
        <v>1.5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>
        <v>1.5</v>
      </c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</row>
    <row r="95" ht="15.75" customHeight="1">
      <c r="A95" s="22" t="s">
        <v>134</v>
      </c>
      <c r="B95" s="8">
        <f t="shared" si="1"/>
        <v>1.75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>
        <v>1.75</v>
      </c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</row>
    <row r="96" ht="15.75" customHeight="1">
      <c r="A96" s="22" t="s">
        <v>135</v>
      </c>
      <c r="B96" s="8">
        <f t="shared" si="1"/>
        <v>1.75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>
        <v>1.75</v>
      </c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</row>
    <row r="97" ht="15.75" customHeight="1">
      <c r="A97" s="22" t="s">
        <v>136</v>
      </c>
      <c r="B97" s="8">
        <f t="shared" si="1"/>
        <v>3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>
        <v>1.75</v>
      </c>
      <c r="Z97" s="8">
        <v>1.25</v>
      </c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</row>
    <row r="98" ht="15.75" customHeight="1">
      <c r="A98" s="22" t="s">
        <v>137</v>
      </c>
      <c r="B98" s="8">
        <f t="shared" si="1"/>
        <v>1.75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>
        <v>1.75</v>
      </c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</row>
    <row r="99" ht="15.75" customHeight="1">
      <c r="A99" s="22" t="s">
        <v>138</v>
      </c>
      <c r="B99" s="8">
        <f t="shared" si="1"/>
        <v>1.75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>
        <v>1.75</v>
      </c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</row>
    <row r="100" ht="15.75" customHeight="1">
      <c r="A100" s="22" t="s">
        <v>139</v>
      </c>
      <c r="B100" s="8">
        <f t="shared" si="1"/>
        <v>19.75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>
        <v>1.25</v>
      </c>
      <c r="AA100" s="8">
        <v>2.0</v>
      </c>
      <c r="AB100" s="8"/>
      <c r="AC100" s="8"/>
      <c r="AD100" s="20">
        <v>2.0</v>
      </c>
      <c r="AE100" s="20">
        <v>2.0</v>
      </c>
      <c r="AF100" s="8"/>
      <c r="AG100" s="20">
        <v>2.5</v>
      </c>
      <c r="AH100" s="8"/>
      <c r="AI100" s="21">
        <v>2.0</v>
      </c>
      <c r="AJ100" s="20">
        <v>1.75</v>
      </c>
      <c r="AK100" s="8"/>
      <c r="AL100" s="20">
        <v>1.5</v>
      </c>
      <c r="AM100" s="20">
        <v>2.25</v>
      </c>
      <c r="AN100" s="20">
        <v>2.5</v>
      </c>
      <c r="AO100" s="8"/>
      <c r="AP100" s="8"/>
      <c r="AQ100" s="8"/>
      <c r="AR100" s="8"/>
      <c r="AS100" s="8"/>
      <c r="AT100" s="8"/>
    </row>
    <row r="101" ht="15.75" customHeight="1">
      <c r="A101" s="22" t="s">
        <v>140</v>
      </c>
      <c r="B101" s="8">
        <f t="shared" si="1"/>
        <v>1.25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>
        <v>1.25</v>
      </c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</row>
    <row r="102" ht="15.75" customHeight="1">
      <c r="A102" s="22" t="s">
        <v>141</v>
      </c>
      <c r="B102" s="8">
        <f t="shared" si="1"/>
        <v>1.25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>
        <v>1.25</v>
      </c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</row>
    <row r="103" ht="15.75" customHeight="1">
      <c r="A103" s="22" t="s">
        <v>142</v>
      </c>
      <c r="B103" s="8">
        <f t="shared" si="1"/>
        <v>9.75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>
        <v>1.25</v>
      </c>
      <c r="AA103" s="8"/>
      <c r="AB103" s="8"/>
      <c r="AC103" s="8"/>
      <c r="AD103" s="8"/>
      <c r="AE103" s="8"/>
      <c r="AF103" s="20">
        <v>2.0</v>
      </c>
      <c r="AG103" s="8"/>
      <c r="AH103" s="8"/>
      <c r="AI103" s="8"/>
      <c r="AJ103" s="20">
        <v>2.0</v>
      </c>
      <c r="AK103" s="20">
        <v>2.0</v>
      </c>
      <c r="AL103" s="8"/>
      <c r="AM103" s="8"/>
      <c r="AN103" s="20">
        <v>2.5</v>
      </c>
      <c r="AO103" s="8"/>
      <c r="AP103" s="8"/>
      <c r="AQ103" s="8"/>
      <c r="AR103" s="8"/>
      <c r="AS103" s="8"/>
      <c r="AT103" s="8"/>
    </row>
    <row r="104" ht="15.75" customHeight="1">
      <c r="A104" s="22" t="s">
        <v>143</v>
      </c>
      <c r="B104" s="8">
        <f t="shared" si="1"/>
        <v>5.75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>
        <v>2.0</v>
      </c>
      <c r="AB104" s="8"/>
      <c r="AC104" s="8"/>
      <c r="AD104" s="8"/>
      <c r="AE104" s="8"/>
      <c r="AF104" s="8"/>
      <c r="AG104" s="8"/>
      <c r="AH104" s="8"/>
      <c r="AI104" s="21">
        <v>1.75</v>
      </c>
      <c r="AJ104" s="8"/>
      <c r="AK104" s="8"/>
      <c r="AL104" s="8"/>
      <c r="AM104" s="8"/>
      <c r="AN104" s="8"/>
      <c r="AO104" s="20">
        <v>2.0</v>
      </c>
      <c r="AP104" s="8"/>
      <c r="AQ104" s="8"/>
      <c r="AR104" s="8"/>
      <c r="AS104" s="8"/>
      <c r="AT104" s="8"/>
    </row>
    <row r="105" ht="15.75" customHeight="1">
      <c r="A105" s="22" t="s">
        <v>144</v>
      </c>
      <c r="B105" s="8">
        <f t="shared" si="1"/>
        <v>2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>
        <v>2.0</v>
      </c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</row>
    <row r="106" ht="15.75" customHeight="1">
      <c r="A106" s="22" t="s">
        <v>145</v>
      </c>
      <c r="B106" s="8">
        <f t="shared" si="1"/>
        <v>2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>
        <v>2.0</v>
      </c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</row>
    <row r="107" ht="15.75" customHeight="1">
      <c r="A107" s="22" t="s">
        <v>146</v>
      </c>
      <c r="B107" s="8">
        <f t="shared" si="1"/>
        <v>5.75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>
        <v>2.0</v>
      </c>
      <c r="AC107" s="8">
        <v>2.0</v>
      </c>
      <c r="AD107" s="8"/>
      <c r="AE107" s="8"/>
      <c r="AF107" s="8"/>
      <c r="AG107" s="8"/>
      <c r="AH107" s="8"/>
      <c r="AI107" s="8"/>
      <c r="AJ107" s="20">
        <v>1.75</v>
      </c>
      <c r="AK107" s="8"/>
      <c r="AL107" s="8"/>
      <c r="AM107" s="8"/>
      <c r="AN107" s="8"/>
      <c r="AO107" s="8"/>
      <c r="AP107" s="8"/>
      <c r="AQ107" s="8"/>
      <c r="AR107" s="8"/>
      <c r="AS107" s="8"/>
      <c r="AT107" s="8"/>
    </row>
    <row r="108" ht="15.75" customHeight="1">
      <c r="A108" s="22" t="s">
        <v>147</v>
      </c>
      <c r="B108" s="8">
        <f t="shared" si="1"/>
        <v>14.25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>
        <v>2.0</v>
      </c>
      <c r="AC108" s="8"/>
      <c r="AD108" s="20">
        <v>2.0</v>
      </c>
      <c r="AE108" s="8"/>
      <c r="AF108" s="8"/>
      <c r="AG108" s="8"/>
      <c r="AH108" s="8"/>
      <c r="AI108" s="8"/>
      <c r="AJ108" s="20">
        <v>2.0</v>
      </c>
      <c r="AK108" s="20">
        <v>1.75</v>
      </c>
      <c r="AL108" s="8"/>
      <c r="AM108" s="20">
        <v>2.0</v>
      </c>
      <c r="AN108" s="20">
        <v>2.5</v>
      </c>
      <c r="AO108" s="20">
        <v>2.0</v>
      </c>
      <c r="AP108" s="8"/>
      <c r="AQ108" s="8"/>
      <c r="AR108" s="8"/>
      <c r="AS108" s="8"/>
      <c r="AT108" s="8"/>
    </row>
    <row r="109" ht="15.75" customHeight="1">
      <c r="A109" s="22" t="s">
        <v>148</v>
      </c>
      <c r="B109" s="8">
        <f t="shared" si="1"/>
        <v>2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>
        <v>2.0</v>
      </c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</row>
    <row r="110" ht="15.75" customHeight="1">
      <c r="A110" s="22" t="s">
        <v>149</v>
      </c>
      <c r="B110" s="8">
        <f t="shared" si="1"/>
        <v>4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>
        <v>2.0</v>
      </c>
      <c r="AC110" s="8">
        <v>2.0</v>
      </c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</row>
    <row r="111" ht="15.75" customHeight="1">
      <c r="A111" s="22" t="s">
        <v>150</v>
      </c>
      <c r="B111" s="8">
        <f t="shared" si="1"/>
        <v>3.75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>
        <v>2.0</v>
      </c>
      <c r="AC111" s="8"/>
      <c r="AD111" s="8"/>
      <c r="AE111" s="8"/>
      <c r="AF111" s="8"/>
      <c r="AG111" s="8"/>
      <c r="AH111" s="8"/>
      <c r="AI111" s="8"/>
      <c r="AJ111" s="8"/>
      <c r="AK111" s="20">
        <v>1.75</v>
      </c>
      <c r="AL111" s="8"/>
      <c r="AM111" s="8"/>
      <c r="AN111" s="8"/>
      <c r="AO111" s="8"/>
      <c r="AP111" s="8"/>
      <c r="AQ111" s="8"/>
      <c r="AR111" s="8"/>
      <c r="AS111" s="8"/>
      <c r="AT111" s="8"/>
    </row>
    <row r="112" ht="15.75" customHeight="1">
      <c r="A112" s="22" t="s">
        <v>151</v>
      </c>
      <c r="B112" s="8">
        <f t="shared" si="1"/>
        <v>2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>
        <v>2.0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</row>
    <row r="113" ht="15.75" customHeight="1">
      <c r="A113" s="22" t="s">
        <v>152</v>
      </c>
      <c r="B113" s="8">
        <f t="shared" si="1"/>
        <v>2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>
        <v>2.0</v>
      </c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</row>
    <row r="114" ht="15.75" customHeight="1">
      <c r="A114" s="22" t="s">
        <v>153</v>
      </c>
      <c r="B114" s="8">
        <f t="shared" si="1"/>
        <v>2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>
        <v>2.0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</row>
    <row r="115" ht="15.75" customHeight="1">
      <c r="A115" s="23" t="s">
        <v>154</v>
      </c>
      <c r="B115" s="8">
        <f t="shared" si="1"/>
        <v>2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20">
        <v>2.0</v>
      </c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</row>
    <row r="116" ht="15.75" customHeight="1">
      <c r="A116" s="23" t="s">
        <v>155</v>
      </c>
      <c r="B116" s="8">
        <f t="shared" si="1"/>
        <v>5.5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20">
        <v>2.0</v>
      </c>
      <c r="AE116" s="8"/>
      <c r="AF116" s="8"/>
      <c r="AG116" s="20">
        <v>1.5</v>
      </c>
      <c r="AH116" s="8"/>
      <c r="AI116" s="8"/>
      <c r="AJ116" s="20">
        <v>2.0</v>
      </c>
      <c r="AK116" s="8"/>
      <c r="AL116" s="8"/>
      <c r="AM116" s="8"/>
      <c r="AN116" s="8"/>
      <c r="AO116" s="8"/>
      <c r="AP116" s="8"/>
      <c r="AQ116" s="8"/>
      <c r="AR116" s="8"/>
      <c r="AS116" s="8"/>
      <c r="AT116" s="8"/>
    </row>
    <row r="117" ht="15.75" customHeight="1">
      <c r="A117" s="23" t="s">
        <v>156</v>
      </c>
      <c r="B117" s="8">
        <f t="shared" si="1"/>
        <v>12.75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20">
        <v>2.0</v>
      </c>
      <c r="AE117" s="20">
        <v>2.0</v>
      </c>
      <c r="AF117" s="20">
        <v>2.0</v>
      </c>
      <c r="AG117" s="20">
        <v>2.5</v>
      </c>
      <c r="AH117" s="20">
        <v>2.25</v>
      </c>
      <c r="AI117" s="20"/>
      <c r="AJ117" s="20"/>
      <c r="AK117" s="20">
        <v>2.0</v>
      </c>
      <c r="AL117" s="8"/>
      <c r="AM117" s="8"/>
      <c r="AN117" s="8"/>
      <c r="AO117" s="8"/>
      <c r="AP117" s="8"/>
      <c r="AQ117" s="8"/>
      <c r="AR117" s="8"/>
      <c r="AS117" s="8"/>
      <c r="AT117" s="8"/>
    </row>
    <row r="118" ht="15.75" customHeight="1">
      <c r="A118" s="23" t="s">
        <v>157</v>
      </c>
      <c r="B118" s="8">
        <f t="shared" si="1"/>
        <v>3.75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20">
        <v>2.0</v>
      </c>
      <c r="AF118" s="8"/>
      <c r="AG118" s="8"/>
      <c r="AH118" s="8"/>
      <c r="AI118" s="8"/>
      <c r="AJ118" s="8"/>
      <c r="AK118" s="20">
        <v>1.75</v>
      </c>
      <c r="AL118" s="8"/>
      <c r="AM118" s="8"/>
      <c r="AN118" s="8"/>
      <c r="AO118" s="8"/>
      <c r="AP118" s="8"/>
      <c r="AQ118" s="8"/>
      <c r="AR118" s="8"/>
      <c r="AS118" s="8"/>
      <c r="AT118" s="8"/>
    </row>
    <row r="119" ht="15.75" customHeight="1">
      <c r="A119" s="23" t="s">
        <v>158</v>
      </c>
      <c r="B119" s="8">
        <f t="shared" si="1"/>
        <v>2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20">
        <v>2.0</v>
      </c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</row>
    <row r="120" ht="15.75" customHeight="1">
      <c r="A120" s="23" t="s">
        <v>159</v>
      </c>
      <c r="B120" s="8">
        <f t="shared" si="1"/>
        <v>2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20">
        <v>2.0</v>
      </c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</row>
    <row r="121" ht="15.75" customHeight="1">
      <c r="A121" s="23" t="s">
        <v>160</v>
      </c>
      <c r="B121" s="8">
        <f t="shared" si="1"/>
        <v>2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20">
        <v>2.0</v>
      </c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</row>
    <row r="122" ht="15.75" customHeight="1">
      <c r="A122" s="23" t="s">
        <v>161</v>
      </c>
      <c r="B122" s="8">
        <f t="shared" si="1"/>
        <v>2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20">
        <v>2.0</v>
      </c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</row>
    <row r="123" ht="15.75" customHeight="1">
      <c r="A123" s="23" t="s">
        <v>162</v>
      </c>
      <c r="B123" s="8">
        <f t="shared" si="1"/>
        <v>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20">
        <v>2.0</v>
      </c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</row>
    <row r="124" ht="15.75" customHeight="1">
      <c r="A124" s="23" t="s">
        <v>163</v>
      </c>
      <c r="B124" s="8">
        <f t="shared" si="1"/>
        <v>2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20">
        <v>2.0</v>
      </c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</row>
    <row r="125" ht="15.75" customHeight="1">
      <c r="A125" s="23" t="s">
        <v>164</v>
      </c>
      <c r="B125" s="8">
        <f t="shared" si="1"/>
        <v>8.25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20">
        <v>2.0</v>
      </c>
      <c r="AF125" s="8"/>
      <c r="AG125" s="20">
        <v>1.5</v>
      </c>
      <c r="AH125" s="20">
        <v>1.0</v>
      </c>
      <c r="AI125" s="21">
        <v>1.75</v>
      </c>
      <c r="AJ125" s="8"/>
      <c r="AK125" s="8"/>
      <c r="AL125" s="8"/>
      <c r="AM125" s="20">
        <v>2.0</v>
      </c>
      <c r="AN125" s="8"/>
      <c r="AO125" s="8"/>
      <c r="AP125" s="8"/>
      <c r="AQ125" s="8"/>
      <c r="AR125" s="8"/>
      <c r="AS125" s="8"/>
      <c r="AT125" s="8"/>
    </row>
    <row r="126" ht="15.75" customHeight="1">
      <c r="A126" s="23" t="s">
        <v>165</v>
      </c>
      <c r="B126" s="8">
        <f t="shared" si="1"/>
        <v>2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20">
        <v>2.0</v>
      </c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</row>
    <row r="127" ht="15.75" customHeight="1">
      <c r="A127" s="23" t="s">
        <v>166</v>
      </c>
      <c r="B127" s="8">
        <f t="shared" si="1"/>
        <v>1.75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20">
        <v>1.75</v>
      </c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</row>
    <row r="128" ht="15.75" customHeight="1">
      <c r="A128" s="23" t="s">
        <v>167</v>
      </c>
      <c r="B128" s="8">
        <f t="shared" si="1"/>
        <v>8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20">
        <v>1.75</v>
      </c>
      <c r="AF128" s="8"/>
      <c r="AG128" s="8"/>
      <c r="AH128" s="8"/>
      <c r="AI128" s="8"/>
      <c r="AJ128" s="20">
        <v>1.75</v>
      </c>
      <c r="AK128" s="8"/>
      <c r="AL128" s="21">
        <v>2.0</v>
      </c>
      <c r="AM128" s="8"/>
      <c r="AN128" s="20">
        <v>2.5</v>
      </c>
      <c r="AO128" s="8"/>
      <c r="AP128" s="8"/>
      <c r="AQ128" s="8"/>
      <c r="AR128" s="8"/>
      <c r="AS128" s="8"/>
      <c r="AT128" s="8"/>
    </row>
    <row r="129" ht="15.75" customHeight="1">
      <c r="A129" s="23" t="s">
        <v>168</v>
      </c>
      <c r="B129" s="8">
        <f t="shared" si="1"/>
        <v>1.75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20">
        <v>1.75</v>
      </c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</row>
    <row r="130" ht="15.75" customHeight="1">
      <c r="A130" s="23" t="s">
        <v>169</v>
      </c>
      <c r="B130" s="8">
        <f t="shared" si="1"/>
        <v>2.75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20">
        <v>1.25</v>
      </c>
      <c r="AG130" s="20">
        <v>1.5</v>
      </c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</row>
    <row r="131" ht="15.75" customHeight="1">
      <c r="A131" s="23" t="s">
        <v>170</v>
      </c>
      <c r="B131" s="8">
        <f t="shared" si="1"/>
        <v>6.5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20">
        <v>1.25</v>
      </c>
      <c r="AG131" s="20">
        <v>1.5</v>
      </c>
      <c r="AH131" s="8"/>
      <c r="AI131" s="8"/>
      <c r="AJ131" s="20">
        <v>2.0</v>
      </c>
      <c r="AK131" s="20">
        <v>1.75</v>
      </c>
      <c r="AL131" s="8"/>
      <c r="AM131" s="8"/>
      <c r="AN131" s="8"/>
      <c r="AO131" s="8"/>
      <c r="AP131" s="8"/>
      <c r="AQ131" s="8"/>
      <c r="AR131" s="8"/>
      <c r="AS131" s="8"/>
      <c r="AT131" s="8"/>
    </row>
    <row r="132" ht="15.75" customHeight="1">
      <c r="A132" s="23" t="s">
        <v>171</v>
      </c>
      <c r="B132" s="8">
        <f t="shared" si="1"/>
        <v>1.25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20">
        <v>1.25</v>
      </c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</row>
    <row r="133" ht="15.75" customHeight="1">
      <c r="A133" s="23" t="s">
        <v>172</v>
      </c>
      <c r="B133" s="8">
        <f t="shared" si="1"/>
        <v>1.25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20">
        <v>1.25</v>
      </c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</row>
    <row r="134" ht="15.75" customHeight="1">
      <c r="A134" s="23" t="s">
        <v>173</v>
      </c>
      <c r="B134" s="8">
        <f t="shared" si="1"/>
        <v>1.25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20">
        <v>1.25</v>
      </c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</row>
    <row r="135" ht="15.75" customHeight="1">
      <c r="A135" s="23" t="s">
        <v>174</v>
      </c>
      <c r="B135" s="8">
        <f t="shared" si="1"/>
        <v>1.25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20">
        <v>1.25</v>
      </c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</row>
    <row r="136" ht="15.75" customHeight="1">
      <c r="A136" s="23" t="s">
        <v>175</v>
      </c>
      <c r="B136" s="8">
        <f t="shared" si="1"/>
        <v>1.25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20">
        <v>1.25</v>
      </c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 ht="15.75" customHeight="1">
      <c r="A137" s="23" t="s">
        <v>176</v>
      </c>
      <c r="B137" s="8">
        <f t="shared" si="1"/>
        <v>1.25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20">
        <v>1.25</v>
      </c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</row>
    <row r="138" ht="15.75" customHeight="1">
      <c r="A138" s="23" t="s">
        <v>177</v>
      </c>
      <c r="B138" s="8">
        <f t="shared" si="1"/>
        <v>1.25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20">
        <v>1.25</v>
      </c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</row>
    <row r="139" ht="15.75" customHeight="1">
      <c r="A139" s="23" t="s">
        <v>178</v>
      </c>
      <c r="B139" s="8">
        <f t="shared" si="1"/>
        <v>12.5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20">
        <v>2.0</v>
      </c>
      <c r="AG139" s="20">
        <v>2.5</v>
      </c>
      <c r="AH139" s="20">
        <v>2.25</v>
      </c>
      <c r="AI139" s="20">
        <v>2.0</v>
      </c>
      <c r="AJ139" s="20">
        <v>1.75</v>
      </c>
      <c r="AK139" s="20">
        <v>2.0</v>
      </c>
      <c r="AL139" s="8"/>
      <c r="AM139" s="8"/>
      <c r="AN139" s="8"/>
      <c r="AO139" s="8"/>
      <c r="AP139" s="8"/>
      <c r="AQ139" s="8"/>
      <c r="AR139" s="8"/>
      <c r="AS139" s="8"/>
      <c r="AT139" s="8"/>
    </row>
    <row r="140" ht="15.75" customHeight="1">
      <c r="A140" s="23" t="s">
        <v>179</v>
      </c>
      <c r="B140" s="8">
        <f t="shared" si="1"/>
        <v>4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20">
        <v>2.0</v>
      </c>
      <c r="AG140" s="8"/>
      <c r="AH140" s="8"/>
      <c r="AI140" s="8"/>
      <c r="AJ140" s="20">
        <v>2.0</v>
      </c>
      <c r="AK140" s="8"/>
      <c r="AL140" s="8"/>
      <c r="AM140" s="8"/>
      <c r="AN140" s="8"/>
      <c r="AO140" s="8"/>
      <c r="AP140" s="8"/>
      <c r="AQ140" s="8"/>
      <c r="AR140" s="8"/>
      <c r="AS140" s="8"/>
      <c r="AT140" s="8"/>
    </row>
    <row r="141" ht="15.75" customHeight="1">
      <c r="A141" s="23" t="s">
        <v>180</v>
      </c>
      <c r="B141" s="8">
        <f t="shared" si="1"/>
        <v>3.75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20">
        <v>2.0</v>
      </c>
      <c r="AG141" s="8"/>
      <c r="AH141" s="8"/>
      <c r="AI141" s="21">
        <v>1.75</v>
      </c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</row>
    <row r="142" ht="15.75" customHeight="1">
      <c r="A142" s="23" t="s">
        <v>181</v>
      </c>
      <c r="B142" s="8">
        <f t="shared" si="1"/>
        <v>13.25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20">
        <v>2.5</v>
      </c>
      <c r="AH142" s="20">
        <v>2.25</v>
      </c>
      <c r="AI142" s="20">
        <v>2.0</v>
      </c>
      <c r="AJ142" s="20"/>
      <c r="AK142" s="8"/>
      <c r="AL142" s="21">
        <v>2.0</v>
      </c>
      <c r="AM142" s="20">
        <v>2.0</v>
      </c>
      <c r="AN142" s="20">
        <v>2.5</v>
      </c>
      <c r="AO142" s="8"/>
      <c r="AP142" s="8"/>
      <c r="AQ142" s="8"/>
      <c r="AR142" s="8"/>
      <c r="AS142" s="8"/>
      <c r="AT142" s="8"/>
    </row>
    <row r="143" ht="15.75" customHeight="1">
      <c r="A143" s="23" t="s">
        <v>182</v>
      </c>
      <c r="B143" s="8">
        <f t="shared" si="1"/>
        <v>2.5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20">
        <v>2.5</v>
      </c>
      <c r="AH143" s="8"/>
      <c r="AI143" s="8"/>
      <c r="AJ143" s="8"/>
      <c r="AK143" s="8"/>
      <c r="AL143" s="8"/>
      <c r="AM143" s="8"/>
      <c r="AN143" s="20"/>
      <c r="AO143" s="8"/>
      <c r="AP143" s="8"/>
      <c r="AQ143" s="8"/>
      <c r="AR143" s="8"/>
      <c r="AS143" s="8"/>
      <c r="AT143" s="8"/>
    </row>
    <row r="144" ht="15.75" customHeight="1">
      <c r="A144" s="23" t="s">
        <v>183</v>
      </c>
      <c r="B144" s="8">
        <f t="shared" si="1"/>
        <v>2.5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20">
        <v>2.5</v>
      </c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</row>
    <row r="145" ht="15.75" customHeight="1">
      <c r="A145" s="23" t="s">
        <v>184</v>
      </c>
      <c r="B145" s="8">
        <f t="shared" si="1"/>
        <v>4.5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20">
        <v>2.5</v>
      </c>
      <c r="AH145" s="8"/>
      <c r="AI145" s="8"/>
      <c r="AJ145" s="8"/>
      <c r="AK145" s="20">
        <v>2.0</v>
      </c>
      <c r="AL145" s="8"/>
      <c r="AM145" s="8"/>
      <c r="AN145" s="8"/>
      <c r="AO145" s="8"/>
      <c r="AP145" s="8"/>
      <c r="AQ145" s="8"/>
      <c r="AR145" s="8"/>
      <c r="AS145" s="8"/>
      <c r="AT145" s="8"/>
    </row>
    <row r="146" ht="15.75" customHeight="1">
      <c r="A146" s="23" t="s">
        <v>185</v>
      </c>
      <c r="B146" s="8">
        <f t="shared" si="1"/>
        <v>2.5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20">
        <v>2.5</v>
      </c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</row>
    <row r="147" ht="15.75" customHeight="1">
      <c r="A147" s="23" t="s">
        <v>186</v>
      </c>
      <c r="B147" s="8">
        <f t="shared" si="1"/>
        <v>10.75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20">
        <v>2.5</v>
      </c>
      <c r="AH147" s="8"/>
      <c r="AI147" s="8"/>
      <c r="AJ147" s="8"/>
      <c r="AK147" s="20">
        <v>1.75</v>
      </c>
      <c r="AL147" s="21">
        <v>2.0</v>
      </c>
      <c r="AM147" s="20">
        <v>2.0</v>
      </c>
      <c r="AN147" s="20">
        <v>2.5</v>
      </c>
      <c r="AO147" s="8"/>
      <c r="AP147" s="8"/>
      <c r="AQ147" s="8"/>
      <c r="AR147" s="8"/>
      <c r="AS147" s="8"/>
      <c r="AT147" s="8"/>
    </row>
    <row r="148" ht="15.75" customHeight="1">
      <c r="A148" s="23" t="s">
        <v>187</v>
      </c>
      <c r="B148" s="8">
        <f t="shared" si="1"/>
        <v>4.25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20">
        <v>2.5</v>
      </c>
      <c r="AH148" s="8"/>
      <c r="AI148" s="8"/>
      <c r="AJ148" s="8"/>
      <c r="AK148" s="20">
        <v>1.75</v>
      </c>
      <c r="AL148" s="8"/>
      <c r="AM148" s="8"/>
      <c r="AN148" s="8"/>
      <c r="AO148" s="8"/>
      <c r="AP148" s="8"/>
      <c r="AQ148" s="8"/>
      <c r="AR148" s="8"/>
      <c r="AS148" s="8"/>
      <c r="AT148" s="8"/>
    </row>
    <row r="149" ht="15.75" customHeight="1">
      <c r="A149" s="23" t="s">
        <v>188</v>
      </c>
      <c r="B149" s="8">
        <f t="shared" si="1"/>
        <v>2.5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20">
        <v>2.5</v>
      </c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</row>
    <row r="150" ht="15.75" customHeight="1">
      <c r="A150" s="23" t="s">
        <v>189</v>
      </c>
      <c r="B150" s="8">
        <f t="shared" si="1"/>
        <v>1.5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20">
        <v>1.5</v>
      </c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</row>
    <row r="151" ht="15.75" customHeight="1">
      <c r="A151" s="23" t="s">
        <v>190</v>
      </c>
      <c r="B151" s="8">
        <f t="shared" si="1"/>
        <v>10.75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20">
        <v>1.5</v>
      </c>
      <c r="AH151" s="8"/>
      <c r="AI151" s="8"/>
      <c r="AJ151" s="8"/>
      <c r="AK151" s="20">
        <v>1.75</v>
      </c>
      <c r="AL151" s="20">
        <v>1.5</v>
      </c>
      <c r="AM151" s="20">
        <v>2.25</v>
      </c>
      <c r="AN151" s="20">
        <v>2.5</v>
      </c>
      <c r="AO151" s="20">
        <v>1.25</v>
      </c>
      <c r="AP151" s="8"/>
      <c r="AQ151" s="8"/>
      <c r="AR151" s="8"/>
      <c r="AS151" s="8"/>
      <c r="AT151" s="8"/>
    </row>
    <row r="152" ht="15.75" customHeight="1">
      <c r="A152" s="23" t="s">
        <v>191</v>
      </c>
      <c r="B152" s="8">
        <f t="shared" si="1"/>
        <v>1.5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20">
        <v>1.5</v>
      </c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</row>
    <row r="153" ht="15.75" customHeight="1">
      <c r="A153" s="23" t="s">
        <v>192</v>
      </c>
      <c r="B153" s="8">
        <f t="shared" si="1"/>
        <v>3.25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20">
        <v>1.5</v>
      </c>
      <c r="AI153" s="21">
        <v>1.75</v>
      </c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</row>
    <row r="154" ht="15.75" customHeight="1">
      <c r="A154" s="23" t="s">
        <v>193</v>
      </c>
      <c r="B154" s="8">
        <f t="shared" si="1"/>
        <v>1.5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20">
        <v>1.5</v>
      </c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</row>
    <row r="155" ht="15.75" customHeight="1">
      <c r="A155" s="23" t="s">
        <v>194</v>
      </c>
      <c r="B155" s="8">
        <f t="shared" si="1"/>
        <v>1.5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20">
        <v>1.5</v>
      </c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</row>
    <row r="156" ht="15.75" customHeight="1">
      <c r="A156" s="23" t="s">
        <v>195</v>
      </c>
      <c r="B156" s="8">
        <f t="shared" si="1"/>
        <v>1.5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20">
        <v>1.5</v>
      </c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</row>
    <row r="157" ht="15.75" customHeight="1">
      <c r="A157" s="23" t="s">
        <v>196</v>
      </c>
      <c r="B157" s="8">
        <f t="shared" si="1"/>
        <v>1.5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20">
        <v>1.5</v>
      </c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</row>
    <row r="158" ht="15.75" customHeight="1">
      <c r="A158" s="23" t="s">
        <v>197</v>
      </c>
      <c r="B158" s="8">
        <f t="shared" si="1"/>
        <v>1.5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20">
        <v>1.5</v>
      </c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</row>
    <row r="159" ht="15.75" customHeight="1">
      <c r="A159" s="23" t="s">
        <v>198</v>
      </c>
      <c r="B159" s="8">
        <f t="shared" si="1"/>
        <v>2.25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20">
        <v>2.25</v>
      </c>
      <c r="AI159" s="20"/>
      <c r="AJ159" s="20"/>
      <c r="AK159" s="8"/>
      <c r="AL159" s="8"/>
      <c r="AM159" s="8"/>
      <c r="AN159" s="8"/>
      <c r="AO159" s="8"/>
      <c r="AP159" s="8"/>
      <c r="AQ159" s="8"/>
      <c r="AR159" s="8"/>
      <c r="AS159" s="8"/>
      <c r="AT159" s="8"/>
    </row>
    <row r="160" ht="15.75" customHeight="1">
      <c r="A160" s="23" t="s">
        <v>199</v>
      </c>
      <c r="B160" s="8">
        <f t="shared" si="1"/>
        <v>2.25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20">
        <v>2.25</v>
      </c>
      <c r="AI160" s="20"/>
      <c r="AJ160" s="20"/>
      <c r="AK160" s="8"/>
      <c r="AL160" s="8"/>
      <c r="AM160" s="8"/>
      <c r="AN160" s="8"/>
      <c r="AO160" s="8"/>
      <c r="AP160" s="8"/>
      <c r="AQ160" s="8"/>
      <c r="AR160" s="8"/>
      <c r="AS160" s="8"/>
      <c r="AT160" s="8"/>
    </row>
    <row r="161" ht="15.75" customHeight="1">
      <c r="A161" s="23" t="s">
        <v>200</v>
      </c>
      <c r="B161" s="8">
        <f t="shared" si="1"/>
        <v>2.25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20">
        <v>2.25</v>
      </c>
      <c r="AI161" s="20"/>
      <c r="AJ161" s="20"/>
      <c r="AK161" s="8"/>
      <c r="AL161" s="8"/>
      <c r="AM161" s="8"/>
      <c r="AN161" s="8"/>
      <c r="AO161" s="8"/>
      <c r="AP161" s="8"/>
      <c r="AQ161" s="8"/>
      <c r="AR161" s="8"/>
      <c r="AS161" s="8"/>
      <c r="AT161" s="8"/>
    </row>
    <row r="162" ht="15.75" customHeight="1">
      <c r="A162" s="23" t="s">
        <v>201</v>
      </c>
      <c r="B162" s="8">
        <f t="shared" si="1"/>
        <v>2.25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20">
        <v>2.25</v>
      </c>
      <c r="AI162" s="20"/>
      <c r="AJ162" s="20"/>
      <c r="AK162" s="8"/>
      <c r="AL162" s="8"/>
      <c r="AM162" s="8"/>
      <c r="AN162" s="8"/>
      <c r="AO162" s="8"/>
      <c r="AP162" s="8"/>
      <c r="AQ162" s="8"/>
      <c r="AR162" s="8"/>
      <c r="AS162" s="8"/>
      <c r="AT162" s="8"/>
    </row>
    <row r="163" ht="15.75" customHeight="1">
      <c r="A163" s="24" t="s">
        <v>202</v>
      </c>
      <c r="B163" s="8">
        <f t="shared" si="1"/>
        <v>2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21">
        <v>2.0</v>
      </c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</row>
    <row r="164" ht="15.75" customHeight="1">
      <c r="A164" s="24" t="s">
        <v>203</v>
      </c>
      <c r="B164" s="8">
        <f t="shared" si="1"/>
        <v>2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21">
        <v>2.0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</row>
    <row r="165" ht="15.75" customHeight="1">
      <c r="A165" s="24" t="s">
        <v>204</v>
      </c>
      <c r="B165" s="8">
        <f t="shared" si="1"/>
        <v>5.5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21">
        <v>1.75</v>
      </c>
      <c r="AJ165" s="8"/>
      <c r="AK165" s="20">
        <v>1.75</v>
      </c>
      <c r="AL165" s="8"/>
      <c r="AM165" s="8"/>
      <c r="AN165" s="8"/>
      <c r="AO165" s="20">
        <v>2.0</v>
      </c>
      <c r="AP165" s="8"/>
      <c r="AQ165" s="8"/>
      <c r="AR165" s="8"/>
      <c r="AS165" s="8"/>
      <c r="AT165" s="8"/>
    </row>
    <row r="166" ht="15.75" customHeight="1">
      <c r="A166" s="24" t="s">
        <v>205</v>
      </c>
      <c r="B166" s="8">
        <f t="shared" si="1"/>
        <v>1.75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21">
        <v>1.75</v>
      </c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</row>
    <row r="167" ht="15.75" customHeight="1">
      <c r="A167" s="24" t="s">
        <v>206</v>
      </c>
      <c r="B167" s="8">
        <f t="shared" si="1"/>
        <v>1.75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21">
        <v>1.75</v>
      </c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</row>
    <row r="168" ht="15.75" customHeight="1">
      <c r="A168" s="23" t="s">
        <v>5</v>
      </c>
      <c r="B168" s="8">
        <f t="shared" si="1"/>
        <v>2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20">
        <v>2.0</v>
      </c>
      <c r="AK168" s="8"/>
      <c r="AL168" s="8"/>
      <c r="AM168" s="8"/>
      <c r="AN168" s="8"/>
      <c r="AO168" s="8"/>
      <c r="AP168" s="8"/>
      <c r="AQ168" s="8"/>
      <c r="AR168" s="8"/>
      <c r="AS168" s="8"/>
      <c r="AT168" s="8"/>
    </row>
    <row r="169" ht="15.75" customHeight="1">
      <c r="A169" s="23" t="s">
        <v>207</v>
      </c>
      <c r="B169" s="8">
        <f t="shared" si="1"/>
        <v>10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20">
        <v>1.75</v>
      </c>
      <c r="AK169" s="20">
        <v>2.0</v>
      </c>
      <c r="AL169" s="8"/>
      <c r="AM169" s="20">
        <v>2.25</v>
      </c>
      <c r="AN169" s="20">
        <v>2.5</v>
      </c>
      <c r="AO169" s="20">
        <v>1.5</v>
      </c>
      <c r="AP169" s="8"/>
      <c r="AQ169" s="8"/>
      <c r="AR169" s="8"/>
      <c r="AS169" s="8"/>
      <c r="AT169" s="8"/>
    </row>
    <row r="170" ht="15.75" customHeight="1">
      <c r="A170" s="23" t="s">
        <v>208</v>
      </c>
      <c r="B170" s="8">
        <f t="shared" si="1"/>
        <v>5.75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20">
        <v>2.0</v>
      </c>
      <c r="AL170" s="8"/>
      <c r="AM170" s="20">
        <v>2.25</v>
      </c>
      <c r="AN170" s="8"/>
      <c r="AO170" s="20">
        <v>1.5</v>
      </c>
      <c r="AP170" s="8"/>
      <c r="AQ170" s="8"/>
      <c r="AR170" s="8"/>
      <c r="AS170" s="8"/>
      <c r="AT170" s="8"/>
    </row>
    <row r="171" ht="15.75" customHeight="1">
      <c r="A171" s="23" t="s">
        <v>209</v>
      </c>
      <c r="B171" s="8">
        <f t="shared" si="1"/>
        <v>1.25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20">
        <v>1.25</v>
      </c>
      <c r="AO171" s="8"/>
      <c r="AP171" s="8"/>
      <c r="AQ171" s="8"/>
      <c r="AR171" s="8"/>
      <c r="AS171" s="8"/>
      <c r="AT171" s="8"/>
    </row>
    <row r="172" ht="15.75" customHeight="1">
      <c r="A172" s="23" t="s">
        <v>210</v>
      </c>
      <c r="B172" s="8">
        <f t="shared" si="1"/>
        <v>1.75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20">
        <v>1.75</v>
      </c>
      <c r="AL172" s="8"/>
      <c r="AM172" s="8"/>
      <c r="AN172" s="8"/>
      <c r="AO172" s="8"/>
      <c r="AP172" s="8"/>
      <c r="AQ172" s="8"/>
      <c r="AR172" s="8"/>
      <c r="AS172" s="8"/>
      <c r="AT172" s="8"/>
    </row>
    <row r="173" ht="15.75" customHeight="1">
      <c r="A173" s="23" t="s">
        <v>211</v>
      </c>
      <c r="B173" s="8">
        <f t="shared" si="1"/>
        <v>3.75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20">
        <v>1.75</v>
      </c>
      <c r="AL173" s="8"/>
      <c r="AM173" s="8"/>
      <c r="AN173" s="8"/>
      <c r="AO173" s="20">
        <v>2.0</v>
      </c>
      <c r="AP173" s="8"/>
      <c r="AQ173" s="8"/>
      <c r="AR173" s="8"/>
      <c r="AS173" s="8"/>
      <c r="AT173" s="8"/>
    </row>
    <row r="174" ht="15.75" customHeight="1">
      <c r="A174" s="23" t="s">
        <v>212</v>
      </c>
      <c r="B174" s="8">
        <f t="shared" si="1"/>
        <v>1.75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20">
        <v>1.75</v>
      </c>
      <c r="AL174" s="8"/>
      <c r="AM174" s="8"/>
      <c r="AN174" s="8"/>
      <c r="AO174" s="8"/>
      <c r="AP174" s="8"/>
      <c r="AQ174" s="8"/>
      <c r="AR174" s="8"/>
      <c r="AS174" s="8"/>
      <c r="AT174" s="8"/>
    </row>
    <row r="175" ht="15.75" customHeight="1">
      <c r="A175" s="24" t="s">
        <v>213</v>
      </c>
      <c r="B175" s="8">
        <f t="shared" si="1"/>
        <v>2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21">
        <v>2.0</v>
      </c>
      <c r="AM175" s="8"/>
      <c r="AN175" s="8"/>
      <c r="AO175" s="8"/>
      <c r="AP175" s="8"/>
      <c r="AQ175" s="8"/>
      <c r="AR175" s="8"/>
      <c r="AS175" s="8"/>
      <c r="AT175" s="8"/>
    </row>
    <row r="176" ht="15.75" customHeight="1">
      <c r="A176" s="24" t="s">
        <v>214</v>
      </c>
      <c r="B176" s="8">
        <f t="shared" si="1"/>
        <v>3.25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21">
        <v>2.0</v>
      </c>
      <c r="AM176" s="8"/>
      <c r="AN176" s="20">
        <v>1.25</v>
      </c>
      <c r="AO176" s="8"/>
      <c r="AP176" s="8"/>
      <c r="AQ176" s="8"/>
      <c r="AR176" s="8"/>
      <c r="AS176" s="8"/>
      <c r="AT176" s="8"/>
    </row>
    <row r="177" ht="15.75" customHeight="1">
      <c r="A177" s="24" t="s">
        <v>215</v>
      </c>
      <c r="B177" s="8">
        <f t="shared" si="1"/>
        <v>2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21">
        <v>2.0</v>
      </c>
      <c r="AM177" s="8"/>
      <c r="AN177" s="8"/>
      <c r="AO177" s="8"/>
      <c r="AP177" s="8"/>
      <c r="AQ177" s="8"/>
      <c r="AR177" s="8"/>
      <c r="AS177" s="8"/>
      <c r="AT177" s="8"/>
    </row>
    <row r="178" ht="15.75" customHeight="1">
      <c r="A178" s="24" t="s">
        <v>216</v>
      </c>
      <c r="B178" s="8">
        <f t="shared" si="1"/>
        <v>8.75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21">
        <v>2.0</v>
      </c>
      <c r="AM178" s="20">
        <v>2.25</v>
      </c>
      <c r="AN178" s="20">
        <v>2.5</v>
      </c>
      <c r="AO178" s="20">
        <v>2.0</v>
      </c>
      <c r="AP178" s="8"/>
      <c r="AQ178" s="8"/>
      <c r="AR178" s="8"/>
      <c r="AS178" s="8"/>
      <c r="AT178" s="8"/>
    </row>
    <row r="179" ht="15.75" customHeight="1">
      <c r="A179" s="24" t="s">
        <v>217</v>
      </c>
      <c r="B179" s="8">
        <f t="shared" si="1"/>
        <v>1.75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21">
        <v>1.75</v>
      </c>
      <c r="AM179" s="8"/>
      <c r="AN179" s="8"/>
      <c r="AO179" s="8"/>
      <c r="AP179" s="8"/>
      <c r="AQ179" s="8"/>
      <c r="AR179" s="8"/>
      <c r="AS179" s="8"/>
      <c r="AT179" s="8"/>
    </row>
    <row r="180" ht="15.75" customHeight="1">
      <c r="A180" s="24" t="s">
        <v>218</v>
      </c>
      <c r="B180" s="8">
        <f t="shared" si="1"/>
        <v>2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20">
        <v>2.0</v>
      </c>
      <c r="AM180" s="8"/>
      <c r="AN180" s="8"/>
      <c r="AO180" s="8"/>
      <c r="AP180" s="8"/>
      <c r="AQ180" s="8"/>
      <c r="AR180" s="8"/>
      <c r="AS180" s="8"/>
      <c r="AT180" s="8"/>
    </row>
    <row r="181" ht="15.75" customHeight="1">
      <c r="A181" s="23" t="s">
        <v>219</v>
      </c>
      <c r="B181" s="8">
        <f t="shared" si="1"/>
        <v>6.75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20">
        <v>1.5</v>
      </c>
      <c r="AM181" s="20">
        <v>2.0</v>
      </c>
      <c r="AN181" s="20">
        <v>1.25</v>
      </c>
      <c r="AO181" s="20">
        <v>2.0</v>
      </c>
      <c r="AP181" s="8"/>
      <c r="AQ181" s="8"/>
      <c r="AR181" s="8"/>
      <c r="AS181" s="8"/>
      <c r="AT181" s="8"/>
    </row>
    <row r="182" ht="15.75" customHeight="1">
      <c r="A182" s="23" t="s">
        <v>220</v>
      </c>
      <c r="B182" s="8">
        <f t="shared" si="1"/>
        <v>1.5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20">
        <v>1.5</v>
      </c>
      <c r="AM182" s="8"/>
      <c r="AN182" s="8"/>
      <c r="AO182" s="8"/>
      <c r="AP182" s="8"/>
      <c r="AQ182" s="8"/>
      <c r="AR182" s="8"/>
      <c r="AS182" s="8"/>
      <c r="AT182" s="8"/>
    </row>
    <row r="183" ht="15.75" customHeight="1">
      <c r="A183" s="23" t="s">
        <v>221</v>
      </c>
      <c r="B183" s="8">
        <f t="shared" si="1"/>
        <v>3.25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20">
        <v>2.0</v>
      </c>
      <c r="AN183" s="20">
        <v>1.25</v>
      </c>
      <c r="AO183" s="8"/>
      <c r="AP183" s="8"/>
      <c r="AQ183" s="8"/>
      <c r="AR183" s="8"/>
      <c r="AS183" s="8"/>
      <c r="AT183" s="8"/>
    </row>
    <row r="184" ht="15.75" customHeight="1">
      <c r="A184" s="23" t="s">
        <v>222</v>
      </c>
      <c r="B184" s="8">
        <f t="shared" si="1"/>
        <v>3.5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20">
        <v>2.0</v>
      </c>
      <c r="AN184" s="8"/>
      <c r="AO184" s="20">
        <v>1.5</v>
      </c>
      <c r="AP184" s="8"/>
      <c r="AQ184" s="8"/>
      <c r="AR184" s="8"/>
      <c r="AS184" s="8"/>
      <c r="AT184" s="8"/>
    </row>
    <row r="185" ht="15.75" customHeight="1">
      <c r="A185" s="23" t="s">
        <v>223</v>
      </c>
      <c r="B185" s="8">
        <f t="shared" si="1"/>
        <v>1.5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20">
        <v>1.5</v>
      </c>
      <c r="AN185" s="8"/>
      <c r="AO185" s="8"/>
      <c r="AP185" s="8"/>
      <c r="AQ185" s="8"/>
      <c r="AR185" s="8"/>
      <c r="AS185" s="8"/>
      <c r="AT185" s="8"/>
    </row>
    <row r="186" ht="15.75" customHeight="1">
      <c r="A186" s="23" t="s">
        <v>224</v>
      </c>
      <c r="B186" s="8">
        <f t="shared" si="1"/>
        <v>2.5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20">
        <v>2.5</v>
      </c>
      <c r="AO186" s="8"/>
      <c r="AP186" s="8"/>
      <c r="AQ186" s="8"/>
      <c r="AR186" s="8"/>
      <c r="AS186" s="8"/>
      <c r="AT186" s="8"/>
    </row>
    <row r="187" ht="15.75" customHeight="1">
      <c r="A187" s="23" t="s">
        <v>225</v>
      </c>
      <c r="B187" s="8">
        <f t="shared" si="1"/>
        <v>2.5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20">
        <v>2.5</v>
      </c>
      <c r="AO187" s="8"/>
      <c r="AP187" s="8"/>
      <c r="AQ187" s="8"/>
      <c r="AR187" s="8"/>
      <c r="AS187" s="8"/>
      <c r="AT187" s="8"/>
    </row>
    <row r="188" ht="15.75" customHeight="1">
      <c r="A188" s="23" t="s">
        <v>226</v>
      </c>
      <c r="B188" s="8">
        <f t="shared" si="1"/>
        <v>1.25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20">
        <v>1.25</v>
      </c>
      <c r="AO188" s="8"/>
      <c r="AP188" s="8"/>
      <c r="AQ188" s="8"/>
      <c r="AR188" s="8"/>
      <c r="AS188" s="8"/>
      <c r="AT188" s="8"/>
    </row>
    <row r="189" ht="15.75" customHeight="1">
      <c r="A189" s="23" t="s">
        <v>227</v>
      </c>
      <c r="B189" s="8">
        <f t="shared" si="1"/>
        <v>1.25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20">
        <v>1.25</v>
      </c>
      <c r="AO189" s="8"/>
      <c r="AP189" s="8"/>
      <c r="AQ189" s="8"/>
      <c r="AR189" s="8"/>
      <c r="AS189" s="8"/>
      <c r="AT189" s="8"/>
    </row>
    <row r="190" ht="15.75" customHeight="1">
      <c r="A190" s="23" t="s">
        <v>228</v>
      </c>
      <c r="B190" s="8">
        <f t="shared" si="1"/>
        <v>1.25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20">
        <v>1.25</v>
      </c>
      <c r="AO190" s="8"/>
      <c r="AP190" s="8"/>
      <c r="AQ190" s="8"/>
      <c r="AR190" s="8"/>
      <c r="AS190" s="8"/>
      <c r="AT190" s="8"/>
    </row>
    <row r="191" ht="15.75" customHeight="1">
      <c r="A191" s="23" t="s">
        <v>229</v>
      </c>
      <c r="B191" s="8">
        <f t="shared" si="1"/>
        <v>1.25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20">
        <v>1.25</v>
      </c>
      <c r="AO191" s="8"/>
      <c r="AP191" s="8"/>
      <c r="AQ191" s="8"/>
      <c r="AR191" s="8"/>
      <c r="AS191" s="8"/>
      <c r="AT191" s="8"/>
    </row>
    <row r="192" ht="15.75" customHeight="1">
      <c r="A192" s="23" t="s">
        <v>60</v>
      </c>
      <c r="B192" s="8">
        <f t="shared" si="1"/>
        <v>1.5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20">
        <v>1.5</v>
      </c>
      <c r="AP192" s="8"/>
      <c r="AQ192" s="8"/>
      <c r="AR192" s="8"/>
      <c r="AS192" s="8"/>
      <c r="AT192" s="8"/>
    </row>
    <row r="193" ht="15.75" customHeight="1">
      <c r="A193" s="23" t="s">
        <v>230</v>
      </c>
      <c r="B193" s="8">
        <f t="shared" si="1"/>
        <v>1.5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20">
        <v>1.5</v>
      </c>
      <c r="AP193" s="8"/>
      <c r="AQ193" s="8"/>
      <c r="AR193" s="8"/>
      <c r="AS193" s="8"/>
      <c r="AT193" s="8"/>
    </row>
    <row r="194" ht="15.75" customHeight="1">
      <c r="A194" s="23" t="s">
        <v>231</v>
      </c>
      <c r="B194" s="8">
        <f t="shared" si="1"/>
        <v>1.5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20">
        <v>1.5</v>
      </c>
      <c r="AP194" s="8"/>
      <c r="AQ194" s="8"/>
      <c r="AR194" s="8"/>
      <c r="AS194" s="8"/>
      <c r="AT194" s="8"/>
    </row>
    <row r="195" ht="15.75" customHeight="1">
      <c r="A195" s="23" t="s">
        <v>232</v>
      </c>
      <c r="B195" s="8">
        <f t="shared" si="1"/>
        <v>1.5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20">
        <v>1.5</v>
      </c>
      <c r="AP195" s="8"/>
      <c r="AQ195" s="8"/>
      <c r="AR195" s="8"/>
      <c r="AS195" s="8"/>
      <c r="AT195" s="8"/>
    </row>
    <row r="196" ht="15.75" customHeight="1">
      <c r="A196" s="23" t="s">
        <v>233</v>
      </c>
      <c r="B196" s="8">
        <f t="shared" si="1"/>
        <v>1.5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20">
        <v>1.5</v>
      </c>
      <c r="AP196" s="8"/>
      <c r="AQ196" s="8"/>
      <c r="AR196" s="8"/>
      <c r="AS196" s="8"/>
      <c r="AT196" s="8"/>
    </row>
    <row r="197" ht="15.75" customHeight="1">
      <c r="A197" s="23" t="s">
        <v>234</v>
      </c>
      <c r="B197" s="8">
        <f t="shared" si="1"/>
        <v>2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20">
        <v>2.0</v>
      </c>
      <c r="AP197" s="8"/>
      <c r="AQ197" s="8"/>
      <c r="AR197" s="8"/>
      <c r="AS197" s="8"/>
      <c r="AT197" s="8"/>
    </row>
    <row r="198" ht="15.75" customHeight="1">
      <c r="A198" s="22"/>
      <c r="B198" s="8">
        <f t="shared" si="1"/>
        <v>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</row>
    <row r="199" ht="15.75" customHeight="1">
      <c r="A199" s="22"/>
      <c r="B199" s="8">
        <f t="shared" si="1"/>
        <v>0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</row>
    <row r="200" ht="15.75" customHeight="1">
      <c r="A200" s="22"/>
      <c r="B200" s="8">
        <f t="shared" si="1"/>
        <v>0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8.63"/>
    <col customWidth="1" min="3" max="4" width="14.75"/>
    <col customWidth="1" min="5" max="7" width="9.38"/>
    <col customWidth="1" min="8" max="27" width="8.63"/>
    <col customWidth="1" min="28" max="30" width="10.25"/>
    <col customWidth="1" min="31" max="31" width="10.38"/>
    <col customWidth="1" min="32" max="34" width="10.25"/>
    <col customWidth="1" min="35" max="36" width="10.38"/>
    <col customWidth="1" min="37" max="39" width="10.25"/>
    <col customWidth="1" min="40" max="41" width="10.38"/>
    <col customWidth="1" min="42" max="43" width="8.63"/>
    <col customWidth="1" min="44" max="46" width="10.25"/>
  </cols>
  <sheetData>
    <row r="1">
      <c r="A1" s="1" t="s">
        <v>0</v>
      </c>
      <c r="B1" s="2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25">
        <v>45948.0</v>
      </c>
      <c r="AF1" s="25">
        <v>45955.0</v>
      </c>
      <c r="AG1" s="25">
        <v>45962.0</v>
      </c>
      <c r="AH1" s="25">
        <v>45969.0</v>
      </c>
      <c r="AI1" s="25">
        <v>45976.0</v>
      </c>
      <c r="AJ1" s="25">
        <v>45983.0</v>
      </c>
      <c r="AK1" s="25">
        <v>45990.0</v>
      </c>
      <c r="AL1" s="25">
        <v>45997.0</v>
      </c>
      <c r="AM1" s="25">
        <v>46004.0</v>
      </c>
      <c r="AN1" s="25">
        <v>46011.0</v>
      </c>
      <c r="AO1" s="25">
        <v>46018.0</v>
      </c>
      <c r="AP1" s="4"/>
      <c r="AQ1" s="4"/>
      <c r="AR1" s="4"/>
      <c r="AS1" s="4"/>
      <c r="AT1" s="6"/>
    </row>
    <row r="2">
      <c r="A2" s="1">
        <v>16.0</v>
      </c>
      <c r="B2" s="7">
        <f>SUM(B3:B315)</f>
        <v>173.75</v>
      </c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8"/>
      <c r="AB2" s="8"/>
      <c r="AC2" s="8"/>
      <c r="AD2" s="8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8"/>
      <c r="AQ2" s="8"/>
      <c r="AR2" s="8"/>
      <c r="AS2" s="8"/>
      <c r="AT2" s="10"/>
    </row>
    <row r="3">
      <c r="A3" s="11" t="s">
        <v>3</v>
      </c>
      <c r="B3" s="8">
        <f t="shared" ref="B3:B200" si="1">SUM(C3:CB3)</f>
        <v>10.5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7">
        <v>2.0</v>
      </c>
      <c r="AF3" s="27">
        <v>1.5</v>
      </c>
      <c r="AG3" s="27"/>
      <c r="AH3" s="27">
        <v>1.5</v>
      </c>
      <c r="AI3" s="28">
        <v>1.75</v>
      </c>
      <c r="AJ3" s="27">
        <v>2.0</v>
      </c>
      <c r="AK3" s="27">
        <v>1.75</v>
      </c>
      <c r="AL3" s="27" t="s">
        <v>62</v>
      </c>
      <c r="AM3" s="27" t="s">
        <v>62</v>
      </c>
      <c r="AN3" s="27"/>
      <c r="AO3" s="27" t="s">
        <v>62</v>
      </c>
      <c r="AP3" s="8"/>
      <c r="AQ3" s="8"/>
      <c r="AR3" s="8"/>
      <c r="AS3" s="8"/>
      <c r="AT3" s="10"/>
    </row>
    <row r="4">
      <c r="A4" s="11" t="s">
        <v>6</v>
      </c>
      <c r="B4" s="8">
        <f t="shared" si="1"/>
        <v>2.75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0"/>
      <c r="AE4" s="27"/>
      <c r="AF4" s="27"/>
      <c r="AG4" s="27">
        <v>1.5</v>
      </c>
      <c r="AH4" s="27"/>
      <c r="AI4" s="27"/>
      <c r="AJ4" s="27"/>
      <c r="AK4" s="27"/>
      <c r="AL4" s="27"/>
      <c r="AM4" s="27"/>
      <c r="AN4" s="27">
        <v>1.25</v>
      </c>
      <c r="AO4" s="26"/>
      <c r="AP4" s="8"/>
      <c r="AQ4" s="8"/>
      <c r="AR4" s="8"/>
      <c r="AS4" s="8"/>
      <c r="AT4" s="10"/>
    </row>
    <row r="5">
      <c r="A5" s="11" t="s">
        <v>7</v>
      </c>
      <c r="B5" s="8">
        <f t="shared" si="1"/>
        <v>4.75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20"/>
      <c r="AE5" s="27">
        <v>2.0</v>
      </c>
      <c r="AF5" s="27"/>
      <c r="AG5" s="27">
        <v>1.5</v>
      </c>
      <c r="AH5" s="26"/>
      <c r="AI5" s="28"/>
      <c r="AJ5" s="27"/>
      <c r="AK5" s="27"/>
      <c r="AL5" s="27"/>
      <c r="AM5" s="26"/>
      <c r="AN5" s="27">
        <v>1.25</v>
      </c>
      <c r="AO5" s="27"/>
      <c r="AP5" s="8"/>
      <c r="AQ5" s="8"/>
      <c r="AR5" s="8"/>
      <c r="AS5" s="8"/>
      <c r="AT5" s="10"/>
    </row>
    <row r="6">
      <c r="A6" s="11" t="s">
        <v>51</v>
      </c>
      <c r="B6" s="8">
        <f t="shared" si="1"/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26"/>
      <c r="AF6" s="26"/>
      <c r="AG6" s="26"/>
      <c r="AH6" s="26"/>
      <c r="AI6" s="26"/>
      <c r="AJ6" s="26"/>
      <c r="AK6" s="26"/>
      <c r="AL6" s="27"/>
      <c r="AM6" s="26"/>
      <c r="AN6" s="26"/>
      <c r="AO6" s="26"/>
      <c r="AP6" s="8"/>
      <c r="AQ6" s="8"/>
      <c r="AR6" s="8"/>
      <c r="AS6" s="8"/>
      <c r="AT6" s="10"/>
    </row>
    <row r="7">
      <c r="A7" s="11" t="s">
        <v>13</v>
      </c>
      <c r="B7" s="8">
        <f t="shared" si="1"/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8"/>
      <c r="AQ7" s="8"/>
      <c r="AR7" s="8"/>
      <c r="AS7" s="8"/>
      <c r="AT7" s="10"/>
    </row>
    <row r="8">
      <c r="A8" s="11" t="s">
        <v>55</v>
      </c>
      <c r="B8" s="8">
        <f t="shared" si="1"/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8"/>
      <c r="AQ8" s="8"/>
      <c r="AR8" s="8"/>
      <c r="AS8" s="8"/>
      <c r="AT8" s="10"/>
    </row>
    <row r="9">
      <c r="A9" s="11" t="s">
        <v>17</v>
      </c>
      <c r="B9" s="8">
        <f t="shared" si="1"/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8"/>
      <c r="AQ9" s="8"/>
      <c r="AR9" s="8"/>
      <c r="AS9" s="8"/>
      <c r="AT9" s="10"/>
    </row>
    <row r="10">
      <c r="A10" s="11" t="s">
        <v>64</v>
      </c>
      <c r="B10" s="8">
        <f t="shared" si="1"/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8"/>
      <c r="AQ10" s="8"/>
      <c r="AR10" s="8"/>
      <c r="AS10" s="8"/>
      <c r="AT10" s="10"/>
    </row>
    <row r="11">
      <c r="A11" s="11" t="s">
        <v>65</v>
      </c>
      <c r="B11" s="8">
        <f t="shared" si="1"/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8"/>
      <c r="AQ11" s="8"/>
      <c r="AR11" s="8"/>
      <c r="AS11" s="8"/>
      <c r="AT11" s="10"/>
    </row>
    <row r="12">
      <c r="A12" s="11" t="s">
        <v>66</v>
      </c>
      <c r="B12" s="8">
        <f t="shared" si="1"/>
        <v>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8"/>
      <c r="AQ12" s="8"/>
      <c r="AR12" s="8"/>
      <c r="AS12" s="8"/>
      <c r="AT12" s="10"/>
    </row>
    <row r="13">
      <c r="A13" s="11" t="s">
        <v>23</v>
      </c>
      <c r="B13" s="8">
        <f t="shared" si="1"/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8"/>
      <c r="AQ13" s="8"/>
      <c r="AR13" s="8"/>
      <c r="AS13" s="8"/>
      <c r="AT13" s="10"/>
    </row>
    <row r="14">
      <c r="A14" s="11" t="s">
        <v>24</v>
      </c>
      <c r="B14" s="8">
        <f t="shared" si="1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8"/>
      <c r="AQ14" s="8"/>
      <c r="AR14" s="8"/>
      <c r="AS14" s="8"/>
      <c r="AT14" s="10"/>
    </row>
    <row r="15">
      <c r="A15" s="11" t="s">
        <v>33</v>
      </c>
      <c r="B15" s="8">
        <f t="shared" si="1"/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26"/>
      <c r="AF15" s="26"/>
      <c r="AG15" s="26"/>
      <c r="AH15" s="26"/>
      <c r="AI15" s="28"/>
      <c r="AJ15" s="27"/>
      <c r="AK15" s="26"/>
      <c r="AL15" s="26"/>
      <c r="AM15" s="26"/>
      <c r="AN15" s="26"/>
      <c r="AO15" s="26"/>
      <c r="AP15" s="8"/>
      <c r="AQ15" s="8"/>
      <c r="AR15" s="8"/>
      <c r="AS15" s="8"/>
      <c r="AT15" s="10"/>
    </row>
    <row r="16">
      <c r="A16" s="11" t="s">
        <v>61</v>
      </c>
      <c r="B16" s="8">
        <f t="shared" si="1"/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26"/>
      <c r="AF16" s="26"/>
      <c r="AG16" s="26"/>
      <c r="AH16" s="26"/>
      <c r="AI16" s="28"/>
      <c r="AJ16" s="27"/>
      <c r="AK16" s="26"/>
      <c r="AL16" s="26"/>
      <c r="AM16" s="26"/>
      <c r="AN16" s="26"/>
      <c r="AO16" s="26"/>
      <c r="AP16" s="8"/>
      <c r="AQ16" s="8"/>
      <c r="AR16" s="8"/>
      <c r="AS16" s="8"/>
      <c r="AT16" s="10"/>
    </row>
    <row r="17">
      <c r="A17" s="11" t="s">
        <v>67</v>
      </c>
      <c r="B17" s="8">
        <f t="shared" si="1"/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8"/>
      <c r="AQ17" s="8"/>
      <c r="AR17" s="8"/>
      <c r="AS17" s="8"/>
      <c r="AT17" s="10"/>
    </row>
    <row r="18">
      <c r="A18" s="11" t="s">
        <v>68</v>
      </c>
      <c r="B18" s="8">
        <f t="shared" si="1"/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8"/>
      <c r="AQ18" s="8"/>
      <c r="AR18" s="8"/>
      <c r="AS18" s="8"/>
      <c r="AT18" s="10"/>
    </row>
    <row r="19">
      <c r="A19" s="11" t="s">
        <v>69</v>
      </c>
      <c r="B19" s="8">
        <f t="shared" si="1"/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27"/>
      <c r="AF19" s="27"/>
      <c r="AG19" s="27"/>
      <c r="AH19" s="27"/>
      <c r="AI19" s="27"/>
      <c r="AJ19" s="27"/>
      <c r="AK19" s="26"/>
      <c r="AL19" s="27"/>
      <c r="AM19" s="26"/>
      <c r="AN19" s="26"/>
      <c r="AO19" s="26"/>
      <c r="AP19" s="8"/>
      <c r="AQ19" s="8"/>
      <c r="AR19" s="8"/>
      <c r="AS19" s="8"/>
      <c r="AT19" s="10"/>
    </row>
    <row r="20">
      <c r="A20" s="11" t="s">
        <v>70</v>
      </c>
      <c r="B20" s="8">
        <f t="shared" si="1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8"/>
      <c r="AQ20" s="8"/>
      <c r="AR20" s="8"/>
      <c r="AS20" s="8"/>
      <c r="AT20" s="10"/>
    </row>
    <row r="21" ht="15.75" customHeight="1">
      <c r="A21" s="11" t="s">
        <v>52</v>
      </c>
      <c r="B21" s="8">
        <f t="shared" si="1"/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8"/>
      <c r="AQ21" s="8"/>
      <c r="AR21" s="8"/>
      <c r="AS21" s="8"/>
      <c r="AT21" s="10"/>
    </row>
    <row r="22" ht="15.75" customHeight="1">
      <c r="A22" s="11" t="s">
        <v>16</v>
      </c>
      <c r="B22" s="8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8"/>
      <c r="AQ22" s="8"/>
      <c r="AR22" s="8"/>
      <c r="AS22" s="8"/>
      <c r="AT22" s="10"/>
    </row>
    <row r="23" ht="15.75" customHeight="1">
      <c r="A23" s="11" t="s">
        <v>46</v>
      </c>
      <c r="B23" s="8">
        <f t="shared" si="1"/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8"/>
      <c r="AQ23" s="8"/>
      <c r="AR23" s="8"/>
      <c r="AS23" s="8"/>
      <c r="AT23" s="10"/>
    </row>
    <row r="24" ht="15.75" customHeight="1">
      <c r="A24" s="11" t="s">
        <v>71</v>
      </c>
      <c r="B24" s="8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8"/>
      <c r="AQ24" s="8"/>
      <c r="AR24" s="8"/>
      <c r="AS24" s="8"/>
      <c r="AT24" s="10"/>
    </row>
    <row r="25" ht="15.75" customHeight="1">
      <c r="A25" s="11" t="s">
        <v>72</v>
      </c>
      <c r="B25" s="8">
        <f t="shared" si="1"/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8"/>
      <c r="AQ25" s="8"/>
      <c r="AR25" s="8"/>
      <c r="AS25" s="8"/>
      <c r="AT25" s="10"/>
    </row>
    <row r="26" ht="15.75" customHeight="1">
      <c r="A26" s="11" t="s">
        <v>48</v>
      </c>
      <c r="B26" s="8">
        <f t="shared" si="1"/>
        <v>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8"/>
      <c r="AQ26" s="8"/>
      <c r="AR26" s="8"/>
      <c r="AS26" s="8"/>
      <c r="AT26" s="10"/>
    </row>
    <row r="27" ht="15.75" customHeight="1">
      <c r="A27" s="11" t="s">
        <v>41</v>
      </c>
      <c r="B27" s="8">
        <f t="shared" si="1"/>
        <v>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8"/>
      <c r="AQ27" s="8"/>
      <c r="AR27" s="8"/>
      <c r="AS27" s="8"/>
      <c r="AT27" s="10"/>
    </row>
    <row r="28" ht="15.75" customHeight="1">
      <c r="A28" s="11" t="s">
        <v>40</v>
      </c>
      <c r="B28" s="8">
        <f t="shared" si="1"/>
        <v>1.25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26"/>
      <c r="AF28" s="26"/>
      <c r="AG28" s="26"/>
      <c r="AH28" s="26"/>
      <c r="AI28" s="26"/>
      <c r="AJ28" s="26"/>
      <c r="AK28" s="26"/>
      <c r="AL28" s="26"/>
      <c r="AM28" s="26"/>
      <c r="AN28" s="27">
        <v>1.25</v>
      </c>
      <c r="AO28" s="26"/>
      <c r="AP28" s="8"/>
      <c r="AQ28" s="8"/>
      <c r="AR28" s="8"/>
      <c r="AS28" s="8"/>
      <c r="AT28" s="10"/>
    </row>
    <row r="29" ht="15.75" customHeight="1">
      <c r="A29" s="11" t="s">
        <v>10</v>
      </c>
      <c r="B29" s="8">
        <f t="shared" si="1"/>
        <v>1.5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26"/>
      <c r="AF29" s="27">
        <v>1.5</v>
      </c>
      <c r="AG29" s="26"/>
      <c r="AH29" s="26"/>
      <c r="AI29" s="26"/>
      <c r="AJ29" s="26"/>
      <c r="AK29" s="26"/>
      <c r="AL29" s="26"/>
      <c r="AM29" s="26"/>
      <c r="AN29" s="26"/>
      <c r="AO29" s="26"/>
      <c r="AP29" s="8"/>
      <c r="AQ29" s="8"/>
      <c r="AR29" s="8"/>
      <c r="AS29" s="8"/>
      <c r="AT29" s="10"/>
    </row>
    <row r="30" ht="15.75" customHeight="1">
      <c r="A30" s="11" t="s">
        <v>9</v>
      </c>
      <c r="B30" s="8">
        <f t="shared" si="1"/>
        <v>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8"/>
      <c r="AQ30" s="8"/>
      <c r="AR30" s="8"/>
      <c r="AS30" s="8"/>
      <c r="AT30" s="10"/>
    </row>
    <row r="31" ht="15.75" customHeight="1">
      <c r="A31" s="11" t="s">
        <v>73</v>
      </c>
      <c r="B31" s="8">
        <f t="shared" si="1"/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8"/>
      <c r="AQ31" s="8"/>
      <c r="AR31" s="8"/>
      <c r="AS31" s="8"/>
      <c r="AT31" s="10"/>
    </row>
    <row r="32" ht="15.75" customHeight="1">
      <c r="A32" s="11" t="s">
        <v>31</v>
      </c>
      <c r="B32" s="8">
        <f t="shared" si="1"/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8"/>
      <c r="AQ32" s="8"/>
      <c r="AR32" s="8"/>
      <c r="AS32" s="8"/>
      <c r="AT32" s="10"/>
    </row>
    <row r="33" ht="15.75" customHeight="1">
      <c r="A33" s="11" t="s">
        <v>74</v>
      </c>
      <c r="B33" s="8">
        <f t="shared" si="1"/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8"/>
      <c r="AQ33" s="8"/>
      <c r="AR33" s="8"/>
      <c r="AS33" s="8"/>
      <c r="AT33" s="10"/>
    </row>
    <row r="34" ht="15.75" customHeight="1">
      <c r="A34" s="11" t="s">
        <v>75</v>
      </c>
      <c r="B34" s="8">
        <f t="shared" si="1"/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8"/>
      <c r="AQ34" s="8"/>
      <c r="AR34" s="8"/>
      <c r="AS34" s="8"/>
      <c r="AT34" s="10"/>
    </row>
    <row r="35" ht="15.75" customHeight="1">
      <c r="A35" s="11" t="s">
        <v>15</v>
      </c>
      <c r="B35" s="8">
        <f t="shared" si="1"/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8"/>
      <c r="AQ35" s="8"/>
      <c r="AR35" s="8"/>
      <c r="AS35" s="8"/>
      <c r="AT35" s="10"/>
    </row>
    <row r="36" ht="15.75" customHeight="1">
      <c r="A36" s="11" t="s">
        <v>12</v>
      </c>
      <c r="B36" s="8">
        <f t="shared" si="1"/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8"/>
      <c r="AQ36" s="8"/>
      <c r="AR36" s="8"/>
      <c r="AS36" s="8"/>
      <c r="AT36" s="10"/>
    </row>
    <row r="37" ht="15.75" customHeight="1">
      <c r="A37" s="11" t="s">
        <v>76</v>
      </c>
      <c r="B37" s="8">
        <f t="shared" si="1"/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8"/>
      <c r="AQ37" s="8"/>
      <c r="AR37" s="8"/>
      <c r="AS37" s="8"/>
      <c r="AT37" s="10"/>
    </row>
    <row r="38" ht="15.75" customHeight="1">
      <c r="A38" s="11" t="s">
        <v>77</v>
      </c>
      <c r="B38" s="8">
        <f t="shared" si="1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26"/>
      <c r="AF38" s="26"/>
      <c r="AG38" s="26"/>
      <c r="AH38" s="26"/>
      <c r="AI38" s="26"/>
      <c r="AJ38" s="26"/>
      <c r="AK38" s="27"/>
      <c r="AL38" s="26"/>
      <c r="AM38" s="26"/>
      <c r="AN38" s="26"/>
      <c r="AO38" s="26"/>
      <c r="AP38" s="8"/>
      <c r="AQ38" s="8"/>
      <c r="AR38" s="8"/>
      <c r="AS38" s="8"/>
      <c r="AT38" s="10"/>
    </row>
    <row r="39" ht="15.75" customHeight="1">
      <c r="A39" s="11" t="s">
        <v>78</v>
      </c>
      <c r="B39" s="8">
        <f t="shared" si="1"/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8"/>
      <c r="AQ39" s="8"/>
      <c r="AR39" s="8"/>
      <c r="AS39" s="8"/>
      <c r="AT39" s="10"/>
    </row>
    <row r="40" ht="15.75" customHeight="1">
      <c r="A40" s="11" t="s">
        <v>79</v>
      </c>
      <c r="B40" s="8">
        <f t="shared" si="1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26"/>
      <c r="AF40" s="26"/>
      <c r="AG40" s="27"/>
      <c r="AH40" s="26"/>
      <c r="AI40" s="26"/>
      <c r="AJ40" s="26"/>
      <c r="AK40" s="26"/>
      <c r="AL40" s="26"/>
      <c r="AM40" s="26"/>
      <c r="AN40" s="26"/>
      <c r="AO40" s="26"/>
      <c r="AP40" s="8"/>
      <c r="AQ40" s="8"/>
      <c r="AR40" s="8"/>
      <c r="AS40" s="8"/>
      <c r="AT40" s="10"/>
    </row>
    <row r="41" ht="15.75" customHeight="1">
      <c r="A41" s="11" t="s">
        <v>80</v>
      </c>
      <c r="B41" s="8">
        <f t="shared" si="1"/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8"/>
      <c r="AQ41" s="8"/>
      <c r="AR41" s="8"/>
      <c r="AS41" s="8"/>
      <c r="AT41" s="10"/>
    </row>
    <row r="42" ht="15.75" customHeight="1">
      <c r="A42" s="11" t="s">
        <v>81</v>
      </c>
      <c r="B42" s="8">
        <f t="shared" si="1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8"/>
      <c r="AQ42" s="8"/>
      <c r="AR42" s="8"/>
      <c r="AS42" s="8"/>
      <c r="AT42" s="10"/>
    </row>
    <row r="43" ht="15.75" customHeight="1">
      <c r="A43" s="11" t="s">
        <v>82</v>
      </c>
      <c r="B43" s="8">
        <f t="shared" si="1"/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8"/>
      <c r="AQ43" s="8"/>
      <c r="AR43" s="8"/>
      <c r="AS43" s="8"/>
      <c r="AT43" s="10"/>
    </row>
    <row r="44" ht="15.75" customHeight="1">
      <c r="A44" s="11" t="s">
        <v>83</v>
      </c>
      <c r="B44" s="8">
        <f t="shared" si="1"/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8"/>
      <c r="AQ44" s="8"/>
      <c r="AR44" s="8"/>
      <c r="AS44" s="8"/>
      <c r="AT44" s="10"/>
    </row>
    <row r="45" ht="15.75" customHeight="1">
      <c r="A45" s="11" t="s">
        <v>84</v>
      </c>
      <c r="B45" s="8">
        <f t="shared" si="1"/>
        <v>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8"/>
      <c r="AQ45" s="8"/>
      <c r="AR45" s="8"/>
      <c r="AS45" s="8"/>
      <c r="AT45" s="10"/>
    </row>
    <row r="46" ht="15.75" customHeight="1">
      <c r="A46" s="11" t="s">
        <v>85</v>
      </c>
      <c r="B46" s="8">
        <f t="shared" si="1"/>
        <v>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8"/>
      <c r="AQ46" s="8"/>
      <c r="AR46" s="8"/>
      <c r="AS46" s="8"/>
      <c r="AT46" s="10"/>
    </row>
    <row r="47" ht="15.75" customHeight="1">
      <c r="A47" s="11" t="s">
        <v>86</v>
      </c>
      <c r="B47" s="8">
        <f t="shared" si="1"/>
        <v>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8"/>
      <c r="AQ47" s="8"/>
      <c r="AR47" s="8"/>
      <c r="AS47" s="8"/>
      <c r="AT47" s="10"/>
    </row>
    <row r="48" ht="15.75" customHeight="1">
      <c r="A48" s="11" t="s">
        <v>87</v>
      </c>
      <c r="B48" s="8">
        <f t="shared" si="1"/>
        <v>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8"/>
      <c r="AQ48" s="8"/>
      <c r="AR48" s="8"/>
      <c r="AS48" s="8"/>
      <c r="AT48" s="10"/>
    </row>
    <row r="49" ht="15.75" customHeight="1">
      <c r="A49" s="11" t="s">
        <v>88</v>
      </c>
      <c r="B49" s="8">
        <f t="shared" si="1"/>
        <v>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8"/>
      <c r="AQ49" s="8"/>
      <c r="AR49" s="8"/>
      <c r="AS49" s="8"/>
      <c r="AT49" s="10"/>
    </row>
    <row r="50" ht="15.75" customHeight="1">
      <c r="A50" s="11" t="s">
        <v>89</v>
      </c>
      <c r="B50" s="8">
        <f t="shared" si="1"/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8"/>
      <c r="AQ50" s="8"/>
      <c r="AR50" s="8"/>
      <c r="AS50" s="8"/>
      <c r="AT50" s="10"/>
    </row>
    <row r="51" ht="15.75" customHeight="1">
      <c r="A51" s="11" t="s">
        <v>90</v>
      </c>
      <c r="B51" s="8">
        <f t="shared" si="1"/>
        <v>1.25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26"/>
      <c r="AF51" s="27">
        <v>1.25</v>
      </c>
      <c r="AG51" s="26"/>
      <c r="AH51" s="26"/>
      <c r="AI51" s="26"/>
      <c r="AJ51" s="26"/>
      <c r="AK51" s="26"/>
      <c r="AL51" s="26"/>
      <c r="AM51" s="26"/>
      <c r="AN51" s="26"/>
      <c r="AO51" s="26"/>
      <c r="AP51" s="8"/>
      <c r="AQ51" s="8"/>
      <c r="AR51" s="8"/>
      <c r="AS51" s="8"/>
      <c r="AT51" s="10"/>
    </row>
    <row r="52" ht="15.75" customHeight="1">
      <c r="A52" s="11" t="s">
        <v>91</v>
      </c>
      <c r="B52" s="8">
        <f t="shared" si="1"/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8"/>
      <c r="AQ52" s="8"/>
      <c r="AR52" s="8"/>
      <c r="AS52" s="8"/>
      <c r="AT52" s="10"/>
    </row>
    <row r="53" ht="15.75" customHeight="1">
      <c r="A53" s="11" t="s">
        <v>92</v>
      </c>
      <c r="B53" s="8">
        <f t="shared" si="1"/>
        <v>5.5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20"/>
      <c r="AE53" s="27">
        <v>2.0</v>
      </c>
      <c r="AF53" s="26"/>
      <c r="AG53" s="27">
        <v>1.5</v>
      </c>
      <c r="AH53" s="26"/>
      <c r="AI53" s="26"/>
      <c r="AJ53" s="27">
        <v>2.0</v>
      </c>
      <c r="AK53" s="26"/>
      <c r="AL53" s="26"/>
      <c r="AM53" s="26"/>
      <c r="AN53" s="27"/>
      <c r="AO53" s="27"/>
      <c r="AP53" s="8"/>
      <c r="AQ53" s="8"/>
      <c r="AR53" s="8"/>
      <c r="AS53" s="8"/>
      <c r="AT53" s="10"/>
    </row>
    <row r="54" ht="15.75" customHeight="1">
      <c r="A54" s="11" t="s">
        <v>93</v>
      </c>
      <c r="B54" s="8">
        <f t="shared" si="1"/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8"/>
      <c r="AQ54" s="8"/>
      <c r="AR54" s="8"/>
      <c r="AS54" s="8"/>
      <c r="AT54" s="10"/>
    </row>
    <row r="55" ht="15.75" customHeight="1">
      <c r="A55" s="11" t="s">
        <v>94</v>
      </c>
      <c r="B55" s="8">
        <f t="shared" si="1"/>
        <v>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8"/>
      <c r="AQ55" s="8"/>
      <c r="AR55" s="8"/>
      <c r="AS55" s="8"/>
      <c r="AT55" s="10"/>
    </row>
    <row r="56" ht="15.75" customHeight="1">
      <c r="A56" s="11" t="s">
        <v>95</v>
      </c>
      <c r="B56" s="8">
        <f t="shared" si="1"/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8"/>
      <c r="AQ56" s="8"/>
      <c r="AR56" s="8"/>
      <c r="AS56" s="8"/>
      <c r="AT56" s="10"/>
    </row>
    <row r="57" ht="15.75" customHeight="1">
      <c r="A57" s="11" t="s">
        <v>96</v>
      </c>
      <c r="B57" s="8">
        <f t="shared" si="1"/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8"/>
      <c r="AQ57" s="8"/>
      <c r="AR57" s="8"/>
      <c r="AS57" s="8"/>
      <c r="AT57" s="10"/>
    </row>
    <row r="58" ht="15.75" customHeight="1">
      <c r="A58" s="11" t="s">
        <v>97</v>
      </c>
      <c r="B58" s="8">
        <f t="shared" si="1"/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8"/>
      <c r="AQ58" s="8"/>
      <c r="AR58" s="8"/>
      <c r="AS58" s="8"/>
      <c r="AT58" s="10"/>
    </row>
    <row r="59" ht="15.75" customHeight="1">
      <c r="A59" s="11" t="s">
        <v>98</v>
      </c>
      <c r="B59" s="8">
        <f t="shared" si="1"/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8"/>
      <c r="AQ59" s="8"/>
      <c r="AR59" s="8"/>
      <c r="AS59" s="8"/>
      <c r="AT59" s="10"/>
    </row>
    <row r="60" ht="15.75" customHeight="1">
      <c r="A60" s="11" t="s">
        <v>99</v>
      </c>
      <c r="B60" s="8">
        <f t="shared" si="1"/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8"/>
      <c r="AQ60" s="8"/>
      <c r="AR60" s="8"/>
      <c r="AS60" s="8"/>
      <c r="AT60" s="10"/>
    </row>
    <row r="61" ht="15.75" customHeight="1">
      <c r="A61" s="11" t="s">
        <v>100</v>
      </c>
      <c r="B61" s="8">
        <f t="shared" si="1"/>
        <v>1.75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26"/>
      <c r="AF61" s="26"/>
      <c r="AG61" s="26"/>
      <c r="AH61" s="26"/>
      <c r="AI61" s="28">
        <v>1.75</v>
      </c>
      <c r="AJ61" s="26"/>
      <c r="AK61" s="26"/>
      <c r="AL61" s="26"/>
      <c r="AM61" s="26"/>
      <c r="AN61" s="26"/>
      <c r="AO61" s="26"/>
      <c r="AP61" s="8"/>
      <c r="AQ61" s="8"/>
      <c r="AR61" s="8"/>
      <c r="AS61" s="8"/>
      <c r="AT61" s="10"/>
    </row>
    <row r="62" ht="15.75" customHeight="1">
      <c r="A62" s="11" t="s">
        <v>101</v>
      </c>
      <c r="B62" s="8">
        <f t="shared" si="1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8"/>
      <c r="AQ62" s="8"/>
      <c r="AR62" s="8"/>
      <c r="AS62" s="8"/>
      <c r="AT62" s="10"/>
    </row>
    <row r="63" ht="15.75" customHeight="1">
      <c r="A63" s="11" t="s">
        <v>102</v>
      </c>
      <c r="B63" s="8">
        <f t="shared" si="1"/>
        <v>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8"/>
      <c r="AQ63" s="8"/>
      <c r="AR63" s="8"/>
      <c r="AS63" s="8"/>
      <c r="AT63" s="10"/>
    </row>
    <row r="64" ht="15.75" customHeight="1">
      <c r="A64" s="11" t="s">
        <v>103</v>
      </c>
      <c r="B64" s="8">
        <f t="shared" si="1"/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8"/>
      <c r="AQ64" s="8"/>
      <c r="AR64" s="8"/>
      <c r="AS64" s="8"/>
      <c r="AT64" s="10"/>
    </row>
    <row r="65" ht="15.75" customHeight="1">
      <c r="A65" s="11" t="s">
        <v>104</v>
      </c>
      <c r="B65" s="8">
        <f t="shared" si="1"/>
        <v>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8"/>
      <c r="AQ65" s="8"/>
      <c r="AR65" s="8"/>
      <c r="AS65" s="8"/>
      <c r="AT65" s="10"/>
    </row>
    <row r="66" ht="15.75" customHeight="1">
      <c r="A66" s="11" t="s">
        <v>105</v>
      </c>
      <c r="B66" s="8">
        <f t="shared" si="1"/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8"/>
      <c r="AQ66" s="8"/>
      <c r="AR66" s="8"/>
      <c r="AS66" s="8"/>
      <c r="AT66" s="10"/>
    </row>
    <row r="67" ht="15.75" customHeight="1">
      <c r="A67" s="11" t="s">
        <v>106</v>
      </c>
      <c r="B67" s="8">
        <f t="shared" si="1"/>
        <v>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8"/>
      <c r="AQ67" s="8"/>
      <c r="AR67" s="8"/>
      <c r="AS67" s="8"/>
      <c r="AT67" s="10"/>
    </row>
    <row r="68" ht="15.75" customHeight="1">
      <c r="A68" s="11" t="s">
        <v>107</v>
      </c>
      <c r="B68" s="8">
        <f t="shared" si="1"/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8"/>
      <c r="AQ68" s="8"/>
      <c r="AR68" s="8"/>
      <c r="AS68" s="8"/>
      <c r="AT68" s="10"/>
    </row>
    <row r="69" ht="15.75" customHeight="1">
      <c r="A69" s="11" t="s">
        <v>108</v>
      </c>
      <c r="B69" s="8">
        <f t="shared" si="1"/>
        <v>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8"/>
      <c r="AQ69" s="8"/>
      <c r="AR69" s="8"/>
      <c r="AS69" s="8"/>
      <c r="AT69" s="10"/>
    </row>
    <row r="70" ht="15.75" customHeight="1">
      <c r="A70" s="11" t="s">
        <v>109</v>
      </c>
      <c r="B70" s="8">
        <f t="shared" si="1"/>
        <v>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26"/>
      <c r="AF70" s="27"/>
      <c r="AG70" s="26"/>
      <c r="AH70" s="26"/>
      <c r="AI70" s="28"/>
      <c r="AJ70" s="26"/>
      <c r="AK70" s="27"/>
      <c r="AL70" s="26"/>
      <c r="AM70" s="26"/>
      <c r="AN70" s="26"/>
      <c r="AO70" s="27"/>
      <c r="AP70" s="8"/>
      <c r="AQ70" s="8"/>
      <c r="AR70" s="8"/>
      <c r="AS70" s="8"/>
      <c r="AT70" s="10"/>
    </row>
    <row r="71" ht="15.75" customHeight="1">
      <c r="A71" s="11" t="s">
        <v>110</v>
      </c>
      <c r="B71" s="8">
        <f t="shared" si="1"/>
        <v>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8"/>
      <c r="AQ71" s="8"/>
      <c r="AR71" s="8"/>
      <c r="AS71" s="8"/>
      <c r="AT71" s="10"/>
    </row>
    <row r="72" ht="15.75" customHeight="1">
      <c r="A72" s="11" t="s">
        <v>111</v>
      </c>
      <c r="B72" s="8">
        <f t="shared" si="1"/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8"/>
      <c r="AQ72" s="8"/>
      <c r="AR72" s="8"/>
      <c r="AS72" s="8"/>
      <c r="AT72" s="10"/>
    </row>
    <row r="73" ht="15.75" customHeight="1">
      <c r="A73" s="11" t="s">
        <v>112</v>
      </c>
      <c r="B73" s="8">
        <f t="shared" si="1"/>
        <v>0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8"/>
      <c r="AQ73" s="8"/>
      <c r="AR73" s="8"/>
      <c r="AS73" s="8"/>
      <c r="AT73" s="10"/>
    </row>
    <row r="74" ht="15.75" customHeight="1">
      <c r="A74" s="11" t="s">
        <v>113</v>
      </c>
      <c r="B74" s="8">
        <f t="shared" si="1"/>
        <v>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8"/>
      <c r="AQ74" s="8"/>
      <c r="AR74" s="8"/>
      <c r="AS74" s="8"/>
      <c r="AT74" s="10"/>
    </row>
    <row r="75" ht="15.75" customHeight="1">
      <c r="A75" s="11" t="s">
        <v>114</v>
      </c>
      <c r="B75" s="8">
        <f t="shared" si="1"/>
        <v>0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8"/>
      <c r="AQ75" s="8"/>
      <c r="AR75" s="8"/>
      <c r="AS75" s="8"/>
      <c r="AT75" s="10"/>
    </row>
    <row r="76" ht="15.75" customHeight="1">
      <c r="A76" s="11" t="s">
        <v>115</v>
      </c>
      <c r="B76" s="8">
        <f t="shared" si="1"/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8"/>
      <c r="AQ76" s="8"/>
      <c r="AR76" s="8"/>
      <c r="AS76" s="8"/>
      <c r="AT76" s="10"/>
    </row>
    <row r="77" ht="15.75" customHeight="1">
      <c r="A77" s="11" t="s">
        <v>116</v>
      </c>
      <c r="B77" s="8">
        <f t="shared" si="1"/>
        <v>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8"/>
      <c r="AQ77" s="8"/>
      <c r="AR77" s="8"/>
      <c r="AS77" s="8"/>
      <c r="AT77" s="10"/>
    </row>
    <row r="78" ht="15.75" customHeight="1">
      <c r="A78" s="22" t="s">
        <v>117</v>
      </c>
      <c r="B78" s="8">
        <f t="shared" si="1"/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8"/>
      <c r="AQ78" s="8"/>
      <c r="AR78" s="8"/>
      <c r="AS78" s="8"/>
      <c r="AT78" s="8"/>
    </row>
    <row r="79" ht="15.75" customHeight="1">
      <c r="A79" s="22" t="s">
        <v>118</v>
      </c>
      <c r="B79" s="8">
        <f t="shared" si="1"/>
        <v>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8"/>
      <c r="AQ79" s="8"/>
      <c r="AR79" s="8"/>
      <c r="AS79" s="8"/>
      <c r="AT79" s="8"/>
    </row>
    <row r="80" ht="15.75" customHeight="1">
      <c r="A80" s="22" t="s">
        <v>119</v>
      </c>
      <c r="B80" s="8">
        <f t="shared" si="1"/>
        <v>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8"/>
      <c r="AQ80" s="8"/>
      <c r="AR80" s="8"/>
      <c r="AS80" s="8"/>
      <c r="AT80" s="8"/>
    </row>
    <row r="81" ht="15.75" customHeight="1">
      <c r="A81" s="22" t="s">
        <v>120</v>
      </c>
      <c r="B81" s="8">
        <f t="shared" si="1"/>
        <v>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8"/>
      <c r="AQ81" s="8"/>
      <c r="AR81" s="8"/>
      <c r="AS81" s="8"/>
      <c r="AT81" s="8"/>
    </row>
    <row r="82" ht="15.75" customHeight="1">
      <c r="A82" s="22" t="s">
        <v>121</v>
      </c>
      <c r="B82" s="8">
        <f t="shared" si="1"/>
        <v>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8"/>
      <c r="AQ82" s="8"/>
      <c r="AR82" s="8"/>
      <c r="AS82" s="8"/>
      <c r="AT82" s="8"/>
    </row>
    <row r="83" ht="15.75" customHeight="1">
      <c r="A83" s="22" t="s">
        <v>122</v>
      </c>
      <c r="B83" s="8">
        <f t="shared" si="1"/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8"/>
      <c r="AQ83" s="8"/>
      <c r="AR83" s="8"/>
      <c r="AS83" s="8"/>
      <c r="AT83" s="8"/>
    </row>
    <row r="84" ht="15.75" customHeight="1">
      <c r="A84" s="22" t="s">
        <v>123</v>
      </c>
      <c r="B84" s="8">
        <f t="shared" si="1"/>
        <v>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8"/>
      <c r="AQ84" s="8"/>
      <c r="AR84" s="8"/>
      <c r="AS84" s="8"/>
      <c r="AT84" s="8"/>
    </row>
    <row r="85" ht="15.75" customHeight="1">
      <c r="A85" s="22" t="s">
        <v>124</v>
      </c>
      <c r="B85" s="8">
        <f t="shared" si="1"/>
        <v>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8"/>
      <c r="AQ85" s="8"/>
      <c r="AR85" s="8"/>
      <c r="AS85" s="8"/>
      <c r="AT85" s="8"/>
    </row>
    <row r="86" ht="15.75" customHeight="1">
      <c r="A86" s="22" t="s">
        <v>125</v>
      </c>
      <c r="B86" s="8">
        <f t="shared" si="1"/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8"/>
      <c r="AQ86" s="8"/>
      <c r="AR86" s="8"/>
      <c r="AS86" s="8"/>
      <c r="AT86" s="8"/>
    </row>
    <row r="87" ht="15.75" customHeight="1">
      <c r="A87" s="22" t="s">
        <v>126</v>
      </c>
      <c r="B87" s="8">
        <f t="shared" si="1"/>
        <v>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8"/>
      <c r="AQ87" s="8"/>
      <c r="AR87" s="8"/>
      <c r="AS87" s="8"/>
      <c r="AT87" s="8"/>
    </row>
    <row r="88" ht="15.75" customHeight="1">
      <c r="A88" s="22" t="s">
        <v>127</v>
      </c>
      <c r="B88" s="8">
        <f t="shared" si="1"/>
        <v>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8"/>
      <c r="AQ88" s="8"/>
      <c r="AR88" s="8"/>
      <c r="AS88" s="8"/>
      <c r="AT88" s="8"/>
    </row>
    <row r="89" ht="15.75" customHeight="1">
      <c r="A89" s="22" t="s">
        <v>128</v>
      </c>
      <c r="B89" s="8">
        <f t="shared" si="1"/>
        <v>0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8"/>
      <c r="AQ89" s="8"/>
      <c r="AR89" s="8"/>
      <c r="AS89" s="8"/>
      <c r="AT89" s="8"/>
    </row>
    <row r="90" ht="15.75" customHeight="1">
      <c r="A90" s="22" t="s">
        <v>129</v>
      </c>
      <c r="B90" s="8">
        <f t="shared" si="1"/>
        <v>0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8"/>
      <c r="AQ90" s="8"/>
      <c r="AR90" s="8"/>
      <c r="AS90" s="8"/>
      <c r="AT90" s="8"/>
    </row>
    <row r="91" ht="15.75" customHeight="1">
      <c r="A91" s="22" t="s">
        <v>130</v>
      </c>
      <c r="B91" s="8">
        <f t="shared" si="1"/>
        <v>0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8"/>
      <c r="AQ91" s="8"/>
      <c r="AR91" s="8"/>
      <c r="AS91" s="8"/>
      <c r="AT91" s="8"/>
    </row>
    <row r="92" ht="15.75" customHeight="1">
      <c r="A92" s="22" t="s">
        <v>131</v>
      </c>
      <c r="B92" s="8">
        <f t="shared" si="1"/>
        <v>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8"/>
      <c r="AQ92" s="8"/>
      <c r="AR92" s="8"/>
      <c r="AS92" s="8"/>
      <c r="AT92" s="8"/>
    </row>
    <row r="93" ht="15.75" customHeight="1">
      <c r="A93" s="22" t="s">
        <v>132</v>
      </c>
      <c r="B93" s="8">
        <f t="shared" si="1"/>
        <v>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8"/>
      <c r="AQ93" s="8"/>
      <c r="AR93" s="8"/>
      <c r="AS93" s="8"/>
      <c r="AT93" s="8"/>
    </row>
    <row r="94" ht="15.75" customHeight="1">
      <c r="A94" s="22" t="s">
        <v>133</v>
      </c>
      <c r="B94" s="8">
        <f t="shared" si="1"/>
        <v>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8"/>
      <c r="AQ94" s="8"/>
      <c r="AR94" s="8"/>
      <c r="AS94" s="8"/>
      <c r="AT94" s="8"/>
    </row>
    <row r="95" ht="15.75" customHeight="1">
      <c r="A95" s="22" t="s">
        <v>134</v>
      </c>
      <c r="B95" s="8">
        <f t="shared" si="1"/>
        <v>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8"/>
      <c r="AQ95" s="8"/>
      <c r="AR95" s="8"/>
      <c r="AS95" s="8"/>
      <c r="AT95" s="8"/>
    </row>
    <row r="96" ht="15.75" customHeight="1">
      <c r="A96" s="22" t="s">
        <v>135</v>
      </c>
      <c r="B96" s="8">
        <f t="shared" si="1"/>
        <v>0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8"/>
      <c r="AQ96" s="8"/>
      <c r="AR96" s="8"/>
      <c r="AS96" s="8"/>
      <c r="AT96" s="8"/>
    </row>
    <row r="97" ht="15.75" customHeight="1">
      <c r="A97" s="22" t="s">
        <v>136</v>
      </c>
      <c r="B97" s="8">
        <f t="shared" si="1"/>
        <v>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8"/>
      <c r="AQ97" s="8"/>
      <c r="AR97" s="8"/>
      <c r="AS97" s="8"/>
      <c r="AT97" s="8"/>
    </row>
    <row r="98" ht="15.75" customHeight="1">
      <c r="A98" s="22" t="s">
        <v>137</v>
      </c>
      <c r="B98" s="8">
        <f t="shared" si="1"/>
        <v>0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8"/>
      <c r="AQ98" s="8"/>
      <c r="AR98" s="8"/>
      <c r="AS98" s="8"/>
      <c r="AT98" s="8"/>
    </row>
    <row r="99" ht="15.75" customHeight="1">
      <c r="A99" s="22" t="s">
        <v>138</v>
      </c>
      <c r="B99" s="8">
        <f t="shared" si="1"/>
        <v>0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8"/>
      <c r="AQ99" s="8"/>
      <c r="AR99" s="8"/>
      <c r="AS99" s="8"/>
      <c r="AT99" s="8"/>
    </row>
    <row r="100" ht="15.75" customHeight="1">
      <c r="A100" s="22" t="s">
        <v>139</v>
      </c>
      <c r="B100" s="8">
        <f t="shared" si="1"/>
        <v>0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20"/>
      <c r="AE100" s="27"/>
      <c r="AF100" s="26"/>
      <c r="AG100" s="27"/>
      <c r="AH100" s="26"/>
      <c r="AI100" s="28"/>
      <c r="AJ100" s="27"/>
      <c r="AK100" s="26"/>
      <c r="AL100" s="27"/>
      <c r="AM100" s="27"/>
      <c r="AN100" s="27"/>
      <c r="AO100" s="26"/>
      <c r="AP100" s="8"/>
      <c r="AQ100" s="8"/>
      <c r="AR100" s="8"/>
      <c r="AS100" s="8"/>
      <c r="AT100" s="8"/>
    </row>
    <row r="101" ht="15.75" customHeight="1">
      <c r="A101" s="22" t="s">
        <v>140</v>
      </c>
      <c r="B101" s="8">
        <f t="shared" si="1"/>
        <v>0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8"/>
      <c r="AQ101" s="8"/>
      <c r="AR101" s="8"/>
      <c r="AS101" s="8"/>
      <c r="AT101" s="8"/>
    </row>
    <row r="102" ht="15.75" customHeight="1">
      <c r="A102" s="22" t="s">
        <v>141</v>
      </c>
      <c r="B102" s="8">
        <f t="shared" si="1"/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8"/>
      <c r="AQ102" s="8"/>
      <c r="AR102" s="8"/>
      <c r="AS102" s="8"/>
      <c r="AT102" s="8"/>
    </row>
    <row r="103" ht="15.75" customHeight="1">
      <c r="A103" s="22" t="s">
        <v>142</v>
      </c>
      <c r="B103" s="8">
        <f t="shared" si="1"/>
        <v>2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26"/>
      <c r="AF103" s="27"/>
      <c r="AG103" s="26"/>
      <c r="AH103" s="26"/>
      <c r="AI103" s="26"/>
      <c r="AJ103" s="27">
        <v>2.0</v>
      </c>
      <c r="AK103" s="27"/>
      <c r="AL103" s="26"/>
      <c r="AM103" s="26"/>
      <c r="AN103" s="27"/>
      <c r="AO103" s="26"/>
      <c r="AP103" s="8"/>
      <c r="AQ103" s="8"/>
      <c r="AR103" s="8"/>
      <c r="AS103" s="8"/>
      <c r="AT103" s="8"/>
    </row>
    <row r="104" ht="15.75" customHeight="1">
      <c r="A104" s="22" t="s">
        <v>143</v>
      </c>
      <c r="B104" s="8">
        <f t="shared" si="1"/>
        <v>3.75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26"/>
      <c r="AF104" s="26"/>
      <c r="AG104" s="26"/>
      <c r="AH104" s="26"/>
      <c r="AI104" s="28">
        <v>1.75</v>
      </c>
      <c r="AJ104" s="26"/>
      <c r="AK104" s="26"/>
      <c r="AL104" s="26"/>
      <c r="AM104" s="26"/>
      <c r="AN104" s="26"/>
      <c r="AO104" s="27">
        <v>2.0</v>
      </c>
      <c r="AP104" s="8"/>
      <c r="AQ104" s="8"/>
      <c r="AR104" s="8"/>
      <c r="AS104" s="8"/>
      <c r="AT104" s="8"/>
    </row>
    <row r="105" ht="15.75" customHeight="1">
      <c r="A105" s="22" t="s">
        <v>144</v>
      </c>
      <c r="B105" s="8">
        <f t="shared" si="1"/>
        <v>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8"/>
      <c r="AQ105" s="8"/>
      <c r="AR105" s="8"/>
      <c r="AS105" s="8"/>
      <c r="AT105" s="8"/>
    </row>
    <row r="106" ht="15.75" customHeight="1">
      <c r="A106" s="22" t="s">
        <v>145</v>
      </c>
      <c r="B106" s="8">
        <f t="shared" si="1"/>
        <v>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8"/>
      <c r="AQ106" s="8"/>
      <c r="AR106" s="8"/>
      <c r="AS106" s="8"/>
      <c r="AT106" s="8"/>
    </row>
    <row r="107" ht="15.75" customHeight="1">
      <c r="A107" s="22" t="s">
        <v>146</v>
      </c>
      <c r="B107" s="8">
        <f t="shared" si="1"/>
        <v>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26"/>
      <c r="AF107" s="26"/>
      <c r="AG107" s="26"/>
      <c r="AH107" s="26"/>
      <c r="AI107" s="26"/>
      <c r="AJ107" s="27"/>
      <c r="AK107" s="26"/>
      <c r="AL107" s="26"/>
      <c r="AM107" s="26"/>
      <c r="AN107" s="26"/>
      <c r="AO107" s="26"/>
      <c r="AP107" s="8"/>
      <c r="AQ107" s="8"/>
      <c r="AR107" s="8"/>
      <c r="AS107" s="8"/>
      <c r="AT107" s="8"/>
    </row>
    <row r="108" ht="15.75" customHeight="1">
      <c r="A108" s="22" t="s">
        <v>147</v>
      </c>
      <c r="B108" s="8">
        <f t="shared" si="1"/>
        <v>7.75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20"/>
      <c r="AE108" s="26"/>
      <c r="AF108" s="26"/>
      <c r="AG108" s="26"/>
      <c r="AH108" s="26"/>
      <c r="AI108" s="26"/>
      <c r="AJ108" s="27">
        <v>2.0</v>
      </c>
      <c r="AK108" s="27">
        <v>1.75</v>
      </c>
      <c r="AL108" s="26"/>
      <c r="AM108" s="27">
        <v>2.0</v>
      </c>
      <c r="AN108" s="27"/>
      <c r="AO108" s="27">
        <v>2.0</v>
      </c>
      <c r="AP108" s="8"/>
      <c r="AQ108" s="8"/>
      <c r="AR108" s="8"/>
      <c r="AS108" s="8"/>
      <c r="AT108" s="8"/>
    </row>
    <row r="109" ht="15.75" customHeight="1">
      <c r="A109" s="22" t="s">
        <v>148</v>
      </c>
      <c r="B109" s="8">
        <f t="shared" si="1"/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8"/>
      <c r="AQ109" s="8"/>
      <c r="AR109" s="8"/>
      <c r="AS109" s="8"/>
      <c r="AT109" s="8"/>
    </row>
    <row r="110" ht="15.75" customHeight="1">
      <c r="A110" s="22" t="s">
        <v>149</v>
      </c>
      <c r="B110" s="8">
        <f t="shared" si="1"/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8"/>
      <c r="AQ110" s="8"/>
      <c r="AR110" s="8"/>
      <c r="AS110" s="8"/>
      <c r="AT110" s="8"/>
    </row>
    <row r="111" ht="15.75" customHeight="1">
      <c r="A111" s="22" t="s">
        <v>150</v>
      </c>
      <c r="B111" s="8">
        <f t="shared" si="1"/>
        <v>1.75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26"/>
      <c r="AF111" s="26"/>
      <c r="AG111" s="26"/>
      <c r="AH111" s="26"/>
      <c r="AI111" s="26"/>
      <c r="AJ111" s="26"/>
      <c r="AK111" s="27">
        <v>1.75</v>
      </c>
      <c r="AL111" s="26"/>
      <c r="AM111" s="26"/>
      <c r="AN111" s="26"/>
      <c r="AO111" s="26"/>
      <c r="AP111" s="8"/>
      <c r="AQ111" s="8"/>
      <c r="AR111" s="8"/>
      <c r="AS111" s="8"/>
      <c r="AT111" s="8"/>
    </row>
    <row r="112" ht="15.75" customHeight="1">
      <c r="A112" s="22" t="s">
        <v>151</v>
      </c>
      <c r="B112" s="8">
        <f t="shared" si="1"/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8"/>
      <c r="AQ112" s="8"/>
      <c r="AR112" s="8"/>
      <c r="AS112" s="8"/>
      <c r="AT112" s="8"/>
    </row>
    <row r="113" ht="15.75" customHeight="1">
      <c r="A113" s="22" t="s">
        <v>152</v>
      </c>
      <c r="B113" s="8">
        <f t="shared" si="1"/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8"/>
      <c r="AQ113" s="8"/>
      <c r="AR113" s="8"/>
      <c r="AS113" s="8"/>
      <c r="AT113" s="8"/>
    </row>
    <row r="114" ht="15.75" customHeight="1">
      <c r="A114" s="22" t="s">
        <v>153</v>
      </c>
      <c r="B114" s="8">
        <f t="shared" si="1"/>
        <v>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8"/>
      <c r="AQ114" s="8"/>
      <c r="AR114" s="8"/>
      <c r="AS114" s="8"/>
      <c r="AT114" s="8"/>
    </row>
    <row r="115" ht="15.75" customHeight="1">
      <c r="A115" s="23" t="s">
        <v>154</v>
      </c>
      <c r="B115" s="8">
        <f t="shared" si="1"/>
        <v>0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20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8"/>
      <c r="AQ115" s="8"/>
      <c r="AR115" s="8"/>
      <c r="AS115" s="8"/>
      <c r="AT115" s="8"/>
    </row>
    <row r="116" ht="15.75" customHeight="1">
      <c r="A116" s="23" t="s">
        <v>155</v>
      </c>
      <c r="B116" s="8">
        <f t="shared" si="1"/>
        <v>3.5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20"/>
      <c r="AE116" s="26"/>
      <c r="AF116" s="26"/>
      <c r="AG116" s="27">
        <v>1.5</v>
      </c>
      <c r="AH116" s="26"/>
      <c r="AI116" s="26"/>
      <c r="AJ116" s="27">
        <v>2.0</v>
      </c>
      <c r="AK116" s="26"/>
      <c r="AL116" s="26"/>
      <c r="AM116" s="26"/>
      <c r="AN116" s="26"/>
      <c r="AO116" s="26"/>
      <c r="AP116" s="8"/>
      <c r="AQ116" s="8"/>
      <c r="AR116" s="8"/>
      <c r="AS116" s="8"/>
      <c r="AT116" s="8"/>
    </row>
    <row r="117" ht="15.75" customHeight="1">
      <c r="A117" s="23" t="s">
        <v>156</v>
      </c>
      <c r="B117" s="8">
        <f t="shared" si="1"/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20"/>
      <c r="AE117" s="27"/>
      <c r="AF117" s="27"/>
      <c r="AG117" s="27"/>
      <c r="AH117" s="27"/>
      <c r="AI117" s="27"/>
      <c r="AJ117" s="27"/>
      <c r="AK117" s="27"/>
      <c r="AL117" s="26"/>
      <c r="AM117" s="26"/>
      <c r="AN117" s="26"/>
      <c r="AO117" s="26"/>
      <c r="AP117" s="8"/>
      <c r="AQ117" s="8"/>
      <c r="AR117" s="8"/>
      <c r="AS117" s="8"/>
      <c r="AT117" s="8"/>
    </row>
    <row r="118" ht="15.75" customHeight="1">
      <c r="A118" s="23" t="s">
        <v>157</v>
      </c>
      <c r="B118" s="8">
        <f t="shared" si="1"/>
        <v>3.75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27">
        <v>2.0</v>
      </c>
      <c r="AF118" s="26"/>
      <c r="AG118" s="26"/>
      <c r="AH118" s="26"/>
      <c r="AI118" s="26"/>
      <c r="AJ118" s="26"/>
      <c r="AK118" s="27">
        <v>1.75</v>
      </c>
      <c r="AL118" s="26"/>
      <c r="AM118" s="26"/>
      <c r="AN118" s="26"/>
      <c r="AO118" s="26"/>
      <c r="AP118" s="8"/>
      <c r="AQ118" s="8"/>
      <c r="AR118" s="8"/>
      <c r="AS118" s="8"/>
      <c r="AT118" s="8"/>
    </row>
    <row r="119" ht="15.75" customHeight="1">
      <c r="A119" s="23" t="s">
        <v>158</v>
      </c>
      <c r="B119" s="8">
        <f t="shared" si="1"/>
        <v>2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27">
        <v>2.0</v>
      </c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8"/>
      <c r="AQ119" s="8"/>
      <c r="AR119" s="8"/>
      <c r="AS119" s="8"/>
      <c r="AT119" s="8"/>
    </row>
    <row r="120" ht="15.75" customHeight="1">
      <c r="A120" s="23" t="s">
        <v>159</v>
      </c>
      <c r="B120" s="8">
        <f t="shared" si="1"/>
        <v>2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27">
        <v>2.0</v>
      </c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8"/>
      <c r="AQ120" s="8"/>
      <c r="AR120" s="8"/>
      <c r="AS120" s="8"/>
      <c r="AT120" s="8"/>
    </row>
    <row r="121" ht="15.75" customHeight="1">
      <c r="A121" s="23" t="s">
        <v>160</v>
      </c>
      <c r="B121" s="8">
        <f t="shared" si="1"/>
        <v>2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27">
        <v>2.0</v>
      </c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8"/>
      <c r="AQ121" s="8"/>
      <c r="AR121" s="8"/>
      <c r="AS121" s="8"/>
      <c r="AT121" s="8"/>
    </row>
    <row r="122" ht="15.75" customHeight="1">
      <c r="A122" s="23" t="s">
        <v>161</v>
      </c>
      <c r="B122" s="8">
        <f t="shared" si="1"/>
        <v>2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27">
        <v>2.0</v>
      </c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8"/>
      <c r="AQ122" s="8"/>
      <c r="AR122" s="8"/>
      <c r="AS122" s="8"/>
      <c r="AT122" s="8"/>
    </row>
    <row r="123" ht="15.75" customHeight="1">
      <c r="A123" s="23" t="s">
        <v>162</v>
      </c>
      <c r="B123" s="8">
        <f t="shared" si="1"/>
        <v>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27">
        <v>2.0</v>
      </c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8"/>
      <c r="AQ123" s="8"/>
      <c r="AR123" s="8"/>
      <c r="AS123" s="8"/>
      <c r="AT123" s="8"/>
    </row>
    <row r="124" ht="15.75" customHeight="1">
      <c r="A124" s="23" t="s">
        <v>163</v>
      </c>
      <c r="B124" s="8">
        <f t="shared" si="1"/>
        <v>2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27">
        <v>2.0</v>
      </c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8"/>
      <c r="AQ124" s="8"/>
      <c r="AR124" s="8"/>
      <c r="AS124" s="8"/>
      <c r="AT124" s="8"/>
    </row>
    <row r="125" ht="15.75" customHeight="1">
      <c r="A125" s="23" t="s">
        <v>164</v>
      </c>
      <c r="B125" s="8">
        <f t="shared" si="1"/>
        <v>6.25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27"/>
      <c r="AF125" s="26"/>
      <c r="AG125" s="27">
        <v>1.5</v>
      </c>
      <c r="AH125" s="27">
        <v>1.0</v>
      </c>
      <c r="AI125" s="28">
        <v>1.75</v>
      </c>
      <c r="AJ125" s="26"/>
      <c r="AK125" s="26"/>
      <c r="AL125" s="26"/>
      <c r="AM125" s="27">
        <v>2.0</v>
      </c>
      <c r="AN125" s="26"/>
      <c r="AO125" s="26"/>
      <c r="AP125" s="8"/>
      <c r="AQ125" s="8"/>
      <c r="AR125" s="8"/>
      <c r="AS125" s="8"/>
      <c r="AT125" s="8"/>
    </row>
    <row r="126" ht="15.75" customHeight="1">
      <c r="A126" s="23" t="s">
        <v>165</v>
      </c>
      <c r="B126" s="8">
        <f t="shared" si="1"/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27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8"/>
      <c r="AQ126" s="8"/>
      <c r="AR126" s="8"/>
      <c r="AS126" s="8"/>
      <c r="AT126" s="8"/>
    </row>
    <row r="127" ht="15.75" customHeight="1">
      <c r="A127" s="23" t="s">
        <v>166</v>
      </c>
      <c r="B127" s="8">
        <f t="shared" si="1"/>
        <v>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27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8"/>
      <c r="AQ127" s="8"/>
      <c r="AR127" s="8"/>
      <c r="AS127" s="8"/>
      <c r="AT127" s="8"/>
    </row>
    <row r="128" ht="15.75" customHeight="1">
      <c r="A128" s="23" t="s">
        <v>167</v>
      </c>
      <c r="B128" s="8">
        <f t="shared" si="1"/>
        <v>2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27"/>
      <c r="AF128" s="26"/>
      <c r="AG128" s="26"/>
      <c r="AH128" s="26"/>
      <c r="AI128" s="26"/>
      <c r="AJ128" s="27"/>
      <c r="AK128" s="26"/>
      <c r="AL128" s="28">
        <v>2.0</v>
      </c>
      <c r="AM128" s="26"/>
      <c r="AN128" s="27"/>
      <c r="AO128" s="26"/>
      <c r="AP128" s="8"/>
      <c r="AQ128" s="8"/>
      <c r="AR128" s="8"/>
      <c r="AS128" s="8"/>
      <c r="AT128" s="8"/>
    </row>
    <row r="129" ht="15.75" customHeight="1">
      <c r="A129" s="23" t="s">
        <v>168</v>
      </c>
      <c r="B129" s="8">
        <f t="shared" si="1"/>
        <v>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27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8"/>
      <c r="AQ129" s="8"/>
      <c r="AR129" s="8"/>
      <c r="AS129" s="8"/>
      <c r="AT129" s="8"/>
    </row>
    <row r="130" ht="15.75" customHeight="1">
      <c r="A130" s="23" t="s">
        <v>169</v>
      </c>
      <c r="B130" s="8">
        <f t="shared" si="1"/>
        <v>2.75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26"/>
      <c r="AF130" s="27">
        <v>1.25</v>
      </c>
      <c r="AG130" s="27">
        <v>1.5</v>
      </c>
      <c r="AH130" s="26"/>
      <c r="AI130" s="26"/>
      <c r="AJ130" s="26"/>
      <c r="AK130" s="26"/>
      <c r="AL130" s="26"/>
      <c r="AM130" s="26"/>
      <c r="AN130" s="26"/>
      <c r="AO130" s="26"/>
      <c r="AP130" s="8"/>
      <c r="AQ130" s="8"/>
      <c r="AR130" s="8"/>
      <c r="AS130" s="8"/>
      <c r="AT130" s="8"/>
    </row>
    <row r="131" ht="15.75" customHeight="1">
      <c r="A131" s="23" t="s">
        <v>170</v>
      </c>
      <c r="B131" s="8">
        <f t="shared" si="1"/>
        <v>6.5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26"/>
      <c r="AF131" s="27">
        <v>1.25</v>
      </c>
      <c r="AG131" s="27">
        <v>1.5</v>
      </c>
      <c r="AH131" s="26"/>
      <c r="AI131" s="26"/>
      <c r="AJ131" s="27">
        <v>2.0</v>
      </c>
      <c r="AK131" s="27">
        <v>1.75</v>
      </c>
      <c r="AL131" s="26"/>
      <c r="AM131" s="26"/>
      <c r="AN131" s="26"/>
      <c r="AO131" s="26"/>
      <c r="AP131" s="8"/>
      <c r="AQ131" s="8"/>
      <c r="AR131" s="8"/>
      <c r="AS131" s="8"/>
      <c r="AT131" s="8"/>
    </row>
    <row r="132" ht="15.75" customHeight="1">
      <c r="A132" s="23" t="s">
        <v>171</v>
      </c>
      <c r="B132" s="8">
        <f t="shared" si="1"/>
        <v>1.25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26"/>
      <c r="AF132" s="27">
        <v>1.25</v>
      </c>
      <c r="AG132" s="26"/>
      <c r="AH132" s="26"/>
      <c r="AI132" s="26"/>
      <c r="AJ132" s="26"/>
      <c r="AK132" s="26"/>
      <c r="AL132" s="26"/>
      <c r="AM132" s="26"/>
      <c r="AN132" s="26"/>
      <c r="AO132" s="26"/>
      <c r="AP132" s="8"/>
      <c r="AQ132" s="8"/>
      <c r="AR132" s="8"/>
      <c r="AS132" s="8"/>
      <c r="AT132" s="8"/>
    </row>
    <row r="133" ht="15.75" customHeight="1">
      <c r="A133" s="23" t="s">
        <v>172</v>
      </c>
      <c r="B133" s="8">
        <f t="shared" si="1"/>
        <v>1.25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26"/>
      <c r="AF133" s="27">
        <v>1.25</v>
      </c>
      <c r="AG133" s="26"/>
      <c r="AH133" s="26"/>
      <c r="AI133" s="26"/>
      <c r="AJ133" s="26"/>
      <c r="AK133" s="26"/>
      <c r="AL133" s="26"/>
      <c r="AM133" s="26"/>
      <c r="AN133" s="26"/>
      <c r="AO133" s="26"/>
      <c r="AP133" s="8"/>
      <c r="AQ133" s="8"/>
      <c r="AR133" s="8"/>
      <c r="AS133" s="8"/>
      <c r="AT133" s="8"/>
    </row>
    <row r="134" ht="15.75" customHeight="1">
      <c r="A134" s="23" t="s">
        <v>173</v>
      </c>
      <c r="B134" s="8">
        <f t="shared" si="1"/>
        <v>1.25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26"/>
      <c r="AF134" s="27">
        <v>1.25</v>
      </c>
      <c r="AG134" s="26"/>
      <c r="AH134" s="26"/>
      <c r="AI134" s="26"/>
      <c r="AJ134" s="26"/>
      <c r="AK134" s="26"/>
      <c r="AL134" s="26"/>
      <c r="AM134" s="26"/>
      <c r="AN134" s="26"/>
      <c r="AO134" s="26"/>
      <c r="AP134" s="8"/>
      <c r="AQ134" s="8"/>
      <c r="AR134" s="8"/>
      <c r="AS134" s="8"/>
      <c r="AT134" s="8"/>
    </row>
    <row r="135" ht="15.75" customHeight="1">
      <c r="A135" s="23" t="s">
        <v>174</v>
      </c>
      <c r="B135" s="8">
        <f t="shared" si="1"/>
        <v>1.25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26"/>
      <c r="AF135" s="27">
        <v>1.25</v>
      </c>
      <c r="AG135" s="26"/>
      <c r="AH135" s="26"/>
      <c r="AI135" s="26"/>
      <c r="AJ135" s="26"/>
      <c r="AK135" s="26"/>
      <c r="AL135" s="26"/>
      <c r="AM135" s="26"/>
      <c r="AN135" s="26"/>
      <c r="AO135" s="26"/>
      <c r="AP135" s="8"/>
      <c r="AQ135" s="8"/>
      <c r="AR135" s="8"/>
      <c r="AS135" s="8"/>
      <c r="AT135" s="8"/>
    </row>
    <row r="136" ht="15.75" customHeight="1">
      <c r="A136" s="23" t="s">
        <v>175</v>
      </c>
      <c r="B136" s="8">
        <f t="shared" si="1"/>
        <v>1.25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26"/>
      <c r="AF136" s="27">
        <v>1.25</v>
      </c>
      <c r="AG136" s="26"/>
      <c r="AH136" s="26"/>
      <c r="AI136" s="26"/>
      <c r="AJ136" s="26"/>
      <c r="AK136" s="26"/>
      <c r="AL136" s="26"/>
      <c r="AM136" s="26"/>
      <c r="AN136" s="26"/>
      <c r="AO136" s="26"/>
      <c r="AP136" s="8"/>
      <c r="AQ136" s="8"/>
      <c r="AR136" s="8"/>
      <c r="AS136" s="8"/>
      <c r="AT136" s="8"/>
    </row>
    <row r="137" ht="15.75" customHeight="1">
      <c r="A137" s="23" t="s">
        <v>176</v>
      </c>
      <c r="B137" s="8">
        <f t="shared" si="1"/>
        <v>1.25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26"/>
      <c r="AF137" s="27">
        <v>1.25</v>
      </c>
      <c r="AG137" s="26"/>
      <c r="AH137" s="26"/>
      <c r="AI137" s="26"/>
      <c r="AJ137" s="26"/>
      <c r="AK137" s="26"/>
      <c r="AL137" s="26"/>
      <c r="AM137" s="26"/>
      <c r="AN137" s="26"/>
      <c r="AO137" s="26"/>
      <c r="AP137" s="8"/>
      <c r="AQ137" s="8"/>
      <c r="AR137" s="8"/>
      <c r="AS137" s="8"/>
      <c r="AT137" s="8"/>
    </row>
    <row r="138" ht="15.75" customHeight="1">
      <c r="A138" s="23" t="s">
        <v>177</v>
      </c>
      <c r="B138" s="8">
        <f t="shared" si="1"/>
        <v>1.25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26"/>
      <c r="AF138" s="27">
        <v>1.25</v>
      </c>
      <c r="AG138" s="26"/>
      <c r="AH138" s="26"/>
      <c r="AI138" s="26"/>
      <c r="AJ138" s="26"/>
      <c r="AK138" s="26"/>
      <c r="AL138" s="26"/>
      <c r="AM138" s="26"/>
      <c r="AN138" s="26"/>
      <c r="AO138" s="26"/>
      <c r="AP138" s="8"/>
      <c r="AQ138" s="8"/>
      <c r="AR138" s="8"/>
      <c r="AS138" s="8"/>
      <c r="AT138" s="8"/>
    </row>
    <row r="139" ht="15.75" customHeight="1">
      <c r="A139" s="23" t="s">
        <v>235</v>
      </c>
      <c r="B139" s="8">
        <f t="shared" si="1"/>
        <v>0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26"/>
      <c r="AF139" s="27"/>
      <c r="AG139" s="27"/>
      <c r="AH139" s="27"/>
      <c r="AI139" s="27"/>
      <c r="AJ139" s="27"/>
      <c r="AK139" s="27"/>
      <c r="AL139" s="26"/>
      <c r="AM139" s="26"/>
      <c r="AN139" s="26"/>
      <c r="AO139" s="26"/>
      <c r="AP139" s="8"/>
      <c r="AQ139" s="8"/>
      <c r="AR139" s="8"/>
      <c r="AS139" s="8"/>
      <c r="AT139" s="8"/>
    </row>
    <row r="140" ht="15.75" customHeight="1">
      <c r="A140" s="23" t="s">
        <v>179</v>
      </c>
      <c r="B140" s="8">
        <f t="shared" si="1"/>
        <v>2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26"/>
      <c r="AF140" s="27"/>
      <c r="AG140" s="26"/>
      <c r="AH140" s="26"/>
      <c r="AI140" s="26"/>
      <c r="AJ140" s="27">
        <v>2.0</v>
      </c>
      <c r="AK140" s="26"/>
      <c r="AL140" s="26"/>
      <c r="AM140" s="26"/>
      <c r="AN140" s="26"/>
      <c r="AO140" s="26"/>
      <c r="AP140" s="8"/>
      <c r="AQ140" s="8"/>
      <c r="AR140" s="8"/>
      <c r="AS140" s="8"/>
      <c r="AT140" s="8"/>
    </row>
    <row r="141" ht="15.75" customHeight="1">
      <c r="A141" s="23" t="s">
        <v>180</v>
      </c>
      <c r="B141" s="8">
        <f t="shared" si="1"/>
        <v>1.75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26"/>
      <c r="AF141" s="27"/>
      <c r="AG141" s="26"/>
      <c r="AH141" s="26"/>
      <c r="AI141" s="28">
        <v>1.75</v>
      </c>
      <c r="AJ141" s="26"/>
      <c r="AK141" s="26"/>
      <c r="AL141" s="26"/>
      <c r="AM141" s="26"/>
      <c r="AN141" s="26"/>
      <c r="AO141" s="26"/>
      <c r="AP141" s="8"/>
      <c r="AQ141" s="8"/>
      <c r="AR141" s="8"/>
      <c r="AS141" s="8"/>
      <c r="AT141" s="8"/>
    </row>
    <row r="142" ht="15.75" customHeight="1">
      <c r="A142" s="23" t="s">
        <v>181</v>
      </c>
      <c r="B142" s="8">
        <f t="shared" si="1"/>
        <v>4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26"/>
      <c r="AF142" s="26"/>
      <c r="AG142" s="27"/>
      <c r="AH142" s="27"/>
      <c r="AI142" s="27"/>
      <c r="AJ142" s="27"/>
      <c r="AK142" s="26"/>
      <c r="AL142" s="28">
        <v>2.0</v>
      </c>
      <c r="AM142" s="27">
        <v>2.0</v>
      </c>
      <c r="AN142" s="27"/>
      <c r="AO142" s="26"/>
      <c r="AP142" s="8"/>
      <c r="AQ142" s="8"/>
      <c r="AR142" s="8"/>
      <c r="AS142" s="8"/>
      <c r="AT142" s="8"/>
    </row>
    <row r="143" ht="15.75" customHeight="1">
      <c r="A143" s="23" t="s">
        <v>182</v>
      </c>
      <c r="B143" s="8">
        <f t="shared" si="1"/>
        <v>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26"/>
      <c r="AF143" s="26"/>
      <c r="AG143" s="27"/>
      <c r="AH143" s="26"/>
      <c r="AI143" s="26"/>
      <c r="AJ143" s="26"/>
      <c r="AK143" s="26"/>
      <c r="AL143" s="26"/>
      <c r="AM143" s="26"/>
      <c r="AN143" s="27"/>
      <c r="AO143" s="26"/>
      <c r="AP143" s="8"/>
      <c r="AQ143" s="8"/>
      <c r="AR143" s="8"/>
      <c r="AS143" s="8"/>
      <c r="AT143" s="8"/>
    </row>
    <row r="144" ht="15.75" customHeight="1">
      <c r="A144" s="23" t="s">
        <v>183</v>
      </c>
      <c r="B144" s="8">
        <f t="shared" si="1"/>
        <v>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26"/>
      <c r="AF144" s="26"/>
      <c r="AG144" s="27"/>
      <c r="AH144" s="26"/>
      <c r="AI144" s="26"/>
      <c r="AJ144" s="26"/>
      <c r="AK144" s="26"/>
      <c r="AL144" s="26"/>
      <c r="AM144" s="26"/>
      <c r="AN144" s="26"/>
      <c r="AO144" s="26"/>
      <c r="AP144" s="8"/>
      <c r="AQ144" s="8"/>
      <c r="AR144" s="8"/>
      <c r="AS144" s="8"/>
      <c r="AT144" s="8"/>
    </row>
    <row r="145" ht="15.75" customHeight="1">
      <c r="A145" s="23" t="s">
        <v>184</v>
      </c>
      <c r="B145" s="8">
        <f t="shared" si="1"/>
        <v>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26"/>
      <c r="AF145" s="26"/>
      <c r="AG145" s="27"/>
      <c r="AH145" s="26"/>
      <c r="AI145" s="26"/>
      <c r="AJ145" s="26"/>
      <c r="AK145" s="27"/>
      <c r="AL145" s="26"/>
      <c r="AM145" s="26"/>
      <c r="AN145" s="26"/>
      <c r="AO145" s="26"/>
      <c r="AP145" s="8"/>
      <c r="AQ145" s="8"/>
      <c r="AR145" s="8"/>
      <c r="AS145" s="8"/>
      <c r="AT145" s="8"/>
    </row>
    <row r="146" ht="15.75" customHeight="1">
      <c r="A146" s="23" t="s">
        <v>185</v>
      </c>
      <c r="B146" s="8">
        <f t="shared" si="1"/>
        <v>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26"/>
      <c r="AF146" s="26"/>
      <c r="AG146" s="27"/>
      <c r="AH146" s="26"/>
      <c r="AI146" s="26"/>
      <c r="AJ146" s="26"/>
      <c r="AK146" s="26"/>
      <c r="AL146" s="26"/>
      <c r="AM146" s="26"/>
      <c r="AN146" s="26"/>
      <c r="AO146" s="26"/>
      <c r="AP146" s="8"/>
      <c r="AQ146" s="8"/>
      <c r="AR146" s="8"/>
      <c r="AS146" s="8"/>
      <c r="AT146" s="8"/>
    </row>
    <row r="147" ht="15.75" customHeight="1">
      <c r="A147" s="23" t="s">
        <v>186</v>
      </c>
      <c r="B147" s="8">
        <f t="shared" si="1"/>
        <v>5.75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26"/>
      <c r="AF147" s="26"/>
      <c r="AG147" s="27"/>
      <c r="AH147" s="26"/>
      <c r="AI147" s="26"/>
      <c r="AJ147" s="26"/>
      <c r="AK147" s="27">
        <v>1.75</v>
      </c>
      <c r="AL147" s="28">
        <v>2.0</v>
      </c>
      <c r="AM147" s="27">
        <v>2.0</v>
      </c>
      <c r="AN147" s="27"/>
      <c r="AO147" s="26"/>
      <c r="AP147" s="8"/>
      <c r="AQ147" s="8"/>
      <c r="AR147" s="8"/>
      <c r="AS147" s="8"/>
      <c r="AT147" s="8"/>
    </row>
    <row r="148" ht="15.75" customHeight="1">
      <c r="A148" s="23" t="s">
        <v>187</v>
      </c>
      <c r="B148" s="8">
        <f t="shared" si="1"/>
        <v>1.75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26"/>
      <c r="AF148" s="26"/>
      <c r="AG148" s="27"/>
      <c r="AH148" s="26"/>
      <c r="AI148" s="26"/>
      <c r="AJ148" s="26"/>
      <c r="AK148" s="27">
        <v>1.75</v>
      </c>
      <c r="AL148" s="26"/>
      <c r="AM148" s="26"/>
      <c r="AN148" s="26"/>
      <c r="AO148" s="26"/>
      <c r="AP148" s="8"/>
      <c r="AQ148" s="8"/>
      <c r="AR148" s="8"/>
      <c r="AS148" s="8"/>
      <c r="AT148" s="8"/>
    </row>
    <row r="149" ht="15.75" customHeight="1">
      <c r="A149" s="23" t="s">
        <v>188</v>
      </c>
      <c r="B149" s="8">
        <f t="shared" si="1"/>
        <v>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26"/>
      <c r="AF149" s="26"/>
      <c r="AG149" s="27"/>
      <c r="AH149" s="26"/>
      <c r="AI149" s="26"/>
      <c r="AJ149" s="26"/>
      <c r="AK149" s="26"/>
      <c r="AL149" s="26"/>
      <c r="AM149" s="26"/>
      <c r="AN149" s="26"/>
      <c r="AO149" s="26"/>
      <c r="AP149" s="8"/>
      <c r="AQ149" s="8"/>
      <c r="AR149" s="8"/>
      <c r="AS149" s="8"/>
      <c r="AT149" s="8"/>
    </row>
    <row r="150" ht="15.75" customHeight="1">
      <c r="A150" s="23" t="s">
        <v>189</v>
      </c>
      <c r="B150" s="8">
        <f t="shared" si="1"/>
        <v>1.5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26"/>
      <c r="AF150" s="26"/>
      <c r="AG150" s="27">
        <v>1.5</v>
      </c>
      <c r="AH150" s="26"/>
      <c r="AI150" s="26"/>
      <c r="AJ150" s="26"/>
      <c r="AK150" s="26"/>
      <c r="AL150" s="26"/>
      <c r="AM150" s="26"/>
      <c r="AN150" s="26"/>
      <c r="AO150" s="26"/>
      <c r="AP150" s="8"/>
      <c r="AQ150" s="8"/>
      <c r="AR150" s="8"/>
      <c r="AS150" s="8"/>
      <c r="AT150" s="8"/>
    </row>
    <row r="151" ht="15.75" customHeight="1">
      <c r="A151" s="23" t="s">
        <v>190</v>
      </c>
      <c r="B151" s="8">
        <f t="shared" si="1"/>
        <v>3.25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26"/>
      <c r="AF151" s="26"/>
      <c r="AG151" s="27">
        <v>1.5</v>
      </c>
      <c r="AH151" s="26"/>
      <c r="AI151" s="26"/>
      <c r="AJ151" s="26"/>
      <c r="AK151" s="27">
        <v>1.75</v>
      </c>
      <c r="AL151" s="27"/>
      <c r="AM151" s="27"/>
      <c r="AN151" s="27"/>
      <c r="AO151" s="27"/>
      <c r="AP151" s="8"/>
      <c r="AQ151" s="8"/>
      <c r="AR151" s="8"/>
      <c r="AS151" s="8"/>
      <c r="AT151" s="8"/>
    </row>
    <row r="152" ht="15.75" customHeight="1">
      <c r="A152" s="23" t="s">
        <v>191</v>
      </c>
      <c r="B152" s="8">
        <f t="shared" si="1"/>
        <v>1.5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26"/>
      <c r="AF152" s="26"/>
      <c r="AG152" s="26"/>
      <c r="AH152" s="27">
        <v>1.5</v>
      </c>
      <c r="AI152" s="26"/>
      <c r="AJ152" s="26"/>
      <c r="AK152" s="26"/>
      <c r="AL152" s="26"/>
      <c r="AM152" s="26"/>
      <c r="AN152" s="26"/>
      <c r="AO152" s="26"/>
      <c r="AP152" s="8"/>
      <c r="AQ152" s="8"/>
      <c r="AR152" s="8"/>
      <c r="AS152" s="8"/>
      <c r="AT152" s="8"/>
    </row>
    <row r="153" ht="15.75" customHeight="1">
      <c r="A153" s="23" t="s">
        <v>192</v>
      </c>
      <c r="B153" s="8">
        <f t="shared" si="1"/>
        <v>3.25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26"/>
      <c r="AF153" s="26"/>
      <c r="AG153" s="26"/>
      <c r="AH153" s="27">
        <v>1.5</v>
      </c>
      <c r="AI153" s="28">
        <v>1.75</v>
      </c>
      <c r="AJ153" s="26"/>
      <c r="AK153" s="26"/>
      <c r="AL153" s="26"/>
      <c r="AM153" s="26"/>
      <c r="AN153" s="26"/>
      <c r="AO153" s="26"/>
      <c r="AP153" s="8"/>
      <c r="AQ153" s="8"/>
      <c r="AR153" s="8"/>
      <c r="AS153" s="8"/>
      <c r="AT153" s="8"/>
    </row>
    <row r="154" ht="15.75" customHeight="1">
      <c r="A154" s="23" t="s">
        <v>193</v>
      </c>
      <c r="B154" s="8">
        <f t="shared" si="1"/>
        <v>1.5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26"/>
      <c r="AF154" s="26"/>
      <c r="AG154" s="26"/>
      <c r="AH154" s="27">
        <v>1.5</v>
      </c>
      <c r="AI154" s="26"/>
      <c r="AJ154" s="26"/>
      <c r="AK154" s="26"/>
      <c r="AL154" s="26"/>
      <c r="AM154" s="26"/>
      <c r="AN154" s="26"/>
      <c r="AO154" s="26"/>
      <c r="AP154" s="8"/>
      <c r="AQ154" s="8"/>
      <c r="AR154" s="8"/>
      <c r="AS154" s="8"/>
      <c r="AT154" s="8"/>
    </row>
    <row r="155" ht="15.75" customHeight="1">
      <c r="A155" s="23" t="s">
        <v>194</v>
      </c>
      <c r="B155" s="8">
        <f t="shared" si="1"/>
        <v>1.5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26"/>
      <c r="AF155" s="26"/>
      <c r="AG155" s="26"/>
      <c r="AH155" s="27">
        <v>1.5</v>
      </c>
      <c r="AI155" s="26"/>
      <c r="AJ155" s="26"/>
      <c r="AK155" s="26"/>
      <c r="AL155" s="26"/>
      <c r="AM155" s="26"/>
      <c r="AN155" s="26"/>
      <c r="AO155" s="26"/>
      <c r="AP155" s="8"/>
      <c r="AQ155" s="8"/>
      <c r="AR155" s="8"/>
      <c r="AS155" s="8"/>
      <c r="AT155" s="8"/>
    </row>
    <row r="156" ht="15.75" customHeight="1">
      <c r="A156" s="23" t="s">
        <v>195</v>
      </c>
      <c r="B156" s="8">
        <f t="shared" si="1"/>
        <v>1.5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26"/>
      <c r="AF156" s="26"/>
      <c r="AG156" s="26"/>
      <c r="AH156" s="27">
        <v>1.5</v>
      </c>
      <c r="AI156" s="26"/>
      <c r="AJ156" s="26"/>
      <c r="AK156" s="26"/>
      <c r="AL156" s="26"/>
      <c r="AM156" s="26"/>
      <c r="AN156" s="26"/>
      <c r="AO156" s="26"/>
      <c r="AP156" s="8"/>
      <c r="AQ156" s="8"/>
      <c r="AR156" s="8"/>
      <c r="AS156" s="8"/>
      <c r="AT156" s="8"/>
    </row>
    <row r="157" ht="15.75" customHeight="1">
      <c r="A157" s="23" t="s">
        <v>196</v>
      </c>
      <c r="B157" s="8">
        <f t="shared" si="1"/>
        <v>1.5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26"/>
      <c r="AF157" s="26"/>
      <c r="AG157" s="26"/>
      <c r="AH157" s="27">
        <v>1.5</v>
      </c>
      <c r="AI157" s="26"/>
      <c r="AJ157" s="26"/>
      <c r="AK157" s="26"/>
      <c r="AL157" s="26"/>
      <c r="AM157" s="26"/>
      <c r="AN157" s="26"/>
      <c r="AO157" s="26"/>
      <c r="AP157" s="8"/>
      <c r="AQ157" s="8"/>
      <c r="AR157" s="8"/>
      <c r="AS157" s="8"/>
      <c r="AT157" s="8"/>
    </row>
    <row r="158" ht="15.75" customHeight="1">
      <c r="A158" s="23" t="s">
        <v>197</v>
      </c>
      <c r="B158" s="8">
        <f t="shared" si="1"/>
        <v>1.5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26"/>
      <c r="AF158" s="26"/>
      <c r="AG158" s="26"/>
      <c r="AH158" s="27">
        <v>1.5</v>
      </c>
      <c r="AI158" s="26"/>
      <c r="AJ158" s="26"/>
      <c r="AK158" s="26"/>
      <c r="AL158" s="26"/>
      <c r="AM158" s="26"/>
      <c r="AN158" s="26"/>
      <c r="AO158" s="26"/>
      <c r="AP158" s="8"/>
      <c r="AQ158" s="8"/>
      <c r="AR158" s="8"/>
      <c r="AS158" s="8"/>
      <c r="AT158" s="8"/>
    </row>
    <row r="159" ht="15.75" customHeight="1">
      <c r="A159" s="23" t="s">
        <v>198</v>
      </c>
      <c r="B159" s="8">
        <f t="shared" si="1"/>
        <v>0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26"/>
      <c r="AF159" s="26"/>
      <c r="AG159" s="26"/>
      <c r="AH159" s="27"/>
      <c r="AI159" s="27"/>
      <c r="AJ159" s="27"/>
      <c r="AK159" s="26"/>
      <c r="AL159" s="26"/>
      <c r="AM159" s="26"/>
      <c r="AN159" s="26"/>
      <c r="AO159" s="26"/>
      <c r="AP159" s="8"/>
      <c r="AQ159" s="8"/>
      <c r="AR159" s="8"/>
      <c r="AS159" s="8"/>
      <c r="AT159" s="8"/>
    </row>
    <row r="160" ht="15.75" customHeight="1">
      <c r="A160" s="23" t="s">
        <v>199</v>
      </c>
      <c r="B160" s="8">
        <f t="shared" si="1"/>
        <v>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26"/>
      <c r="AF160" s="26"/>
      <c r="AG160" s="26"/>
      <c r="AH160" s="27"/>
      <c r="AI160" s="27"/>
      <c r="AJ160" s="27"/>
      <c r="AK160" s="26"/>
      <c r="AL160" s="26"/>
      <c r="AM160" s="26"/>
      <c r="AN160" s="26"/>
      <c r="AO160" s="26"/>
      <c r="AP160" s="8"/>
      <c r="AQ160" s="8"/>
      <c r="AR160" s="8"/>
      <c r="AS160" s="8"/>
      <c r="AT160" s="8"/>
    </row>
    <row r="161" ht="15.75" customHeight="1">
      <c r="A161" s="23" t="s">
        <v>200</v>
      </c>
      <c r="B161" s="8">
        <f t="shared" si="1"/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26"/>
      <c r="AF161" s="26"/>
      <c r="AG161" s="26"/>
      <c r="AH161" s="27"/>
      <c r="AI161" s="27"/>
      <c r="AJ161" s="27"/>
      <c r="AK161" s="26"/>
      <c r="AL161" s="26"/>
      <c r="AM161" s="26"/>
      <c r="AN161" s="26"/>
      <c r="AO161" s="26"/>
      <c r="AP161" s="8"/>
      <c r="AQ161" s="8"/>
      <c r="AR161" s="8"/>
      <c r="AS161" s="8"/>
      <c r="AT161" s="8"/>
    </row>
    <row r="162" ht="15.75" customHeight="1">
      <c r="A162" s="23" t="s">
        <v>201</v>
      </c>
      <c r="B162" s="8">
        <f t="shared" si="1"/>
        <v>0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26"/>
      <c r="AF162" s="26"/>
      <c r="AG162" s="26"/>
      <c r="AH162" s="27"/>
      <c r="AI162" s="27"/>
      <c r="AJ162" s="27"/>
      <c r="AK162" s="26"/>
      <c r="AL162" s="26"/>
      <c r="AM162" s="26"/>
      <c r="AN162" s="26"/>
      <c r="AO162" s="26"/>
      <c r="AP162" s="8"/>
      <c r="AQ162" s="8"/>
      <c r="AR162" s="8"/>
      <c r="AS162" s="8"/>
      <c r="AT162" s="8"/>
    </row>
    <row r="163" ht="15.75" customHeight="1">
      <c r="A163" s="24" t="s">
        <v>202</v>
      </c>
      <c r="B163" s="8">
        <f t="shared" si="1"/>
        <v>0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26"/>
      <c r="AF163" s="26"/>
      <c r="AG163" s="26"/>
      <c r="AH163" s="26"/>
      <c r="AI163" s="28"/>
      <c r="AJ163" s="26"/>
      <c r="AK163" s="26"/>
      <c r="AL163" s="26"/>
      <c r="AM163" s="26"/>
      <c r="AN163" s="26"/>
      <c r="AO163" s="26"/>
      <c r="AP163" s="8"/>
      <c r="AQ163" s="8"/>
      <c r="AR163" s="8"/>
      <c r="AS163" s="8"/>
      <c r="AT163" s="8"/>
    </row>
    <row r="164" ht="15.75" customHeight="1">
      <c r="A164" s="24" t="s">
        <v>203</v>
      </c>
      <c r="B164" s="8">
        <f t="shared" si="1"/>
        <v>0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26"/>
      <c r="AF164" s="26"/>
      <c r="AG164" s="26"/>
      <c r="AH164" s="26"/>
      <c r="AI164" s="28"/>
      <c r="AJ164" s="26"/>
      <c r="AK164" s="26"/>
      <c r="AL164" s="26"/>
      <c r="AM164" s="26"/>
      <c r="AN164" s="26"/>
      <c r="AO164" s="26"/>
      <c r="AP164" s="8"/>
      <c r="AQ164" s="8"/>
      <c r="AR164" s="8"/>
      <c r="AS164" s="8"/>
      <c r="AT164" s="8"/>
    </row>
    <row r="165" ht="15.75" customHeight="1">
      <c r="A165" s="24" t="s">
        <v>204</v>
      </c>
      <c r="B165" s="8">
        <f t="shared" si="1"/>
        <v>5.5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26"/>
      <c r="AF165" s="26"/>
      <c r="AG165" s="26"/>
      <c r="AH165" s="26"/>
      <c r="AI165" s="28">
        <v>1.75</v>
      </c>
      <c r="AJ165" s="26"/>
      <c r="AK165" s="27">
        <v>1.75</v>
      </c>
      <c r="AL165" s="26"/>
      <c r="AM165" s="26"/>
      <c r="AN165" s="26"/>
      <c r="AO165" s="27">
        <v>2.0</v>
      </c>
      <c r="AP165" s="8"/>
      <c r="AQ165" s="8"/>
      <c r="AR165" s="8"/>
      <c r="AS165" s="8"/>
      <c r="AT165" s="8"/>
    </row>
    <row r="166" ht="15.75" customHeight="1">
      <c r="A166" s="24" t="s">
        <v>205</v>
      </c>
      <c r="B166" s="8">
        <f t="shared" si="1"/>
        <v>1.75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26"/>
      <c r="AF166" s="26"/>
      <c r="AG166" s="26"/>
      <c r="AH166" s="26"/>
      <c r="AI166" s="28">
        <v>1.75</v>
      </c>
      <c r="AJ166" s="26"/>
      <c r="AK166" s="26"/>
      <c r="AL166" s="26"/>
      <c r="AM166" s="26"/>
      <c r="AN166" s="26"/>
      <c r="AO166" s="26"/>
      <c r="AP166" s="8"/>
      <c r="AQ166" s="8"/>
      <c r="AR166" s="8"/>
      <c r="AS166" s="8"/>
      <c r="AT166" s="8"/>
    </row>
    <row r="167" ht="15.75" customHeight="1">
      <c r="A167" s="24" t="s">
        <v>206</v>
      </c>
      <c r="B167" s="8">
        <f t="shared" si="1"/>
        <v>1.75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26"/>
      <c r="AF167" s="26"/>
      <c r="AG167" s="26"/>
      <c r="AH167" s="26"/>
      <c r="AI167" s="28">
        <v>1.75</v>
      </c>
      <c r="AJ167" s="26"/>
      <c r="AK167" s="26"/>
      <c r="AL167" s="26"/>
      <c r="AM167" s="26"/>
      <c r="AN167" s="26"/>
      <c r="AO167" s="26"/>
      <c r="AP167" s="8"/>
      <c r="AQ167" s="8"/>
      <c r="AR167" s="8"/>
      <c r="AS167" s="8"/>
      <c r="AT167" s="8"/>
    </row>
    <row r="168" ht="15.75" customHeight="1">
      <c r="A168" s="23" t="s">
        <v>5</v>
      </c>
      <c r="B168" s="8">
        <f t="shared" si="1"/>
        <v>2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26"/>
      <c r="AF168" s="26"/>
      <c r="AG168" s="26"/>
      <c r="AH168" s="26"/>
      <c r="AI168" s="26"/>
      <c r="AJ168" s="27">
        <v>2.0</v>
      </c>
      <c r="AK168" s="26"/>
      <c r="AL168" s="26"/>
      <c r="AM168" s="26"/>
      <c r="AN168" s="26"/>
      <c r="AO168" s="26"/>
      <c r="AP168" s="8"/>
      <c r="AQ168" s="8"/>
      <c r="AR168" s="8"/>
      <c r="AS168" s="8"/>
      <c r="AT168" s="8"/>
    </row>
    <row r="169" ht="15.75" customHeight="1">
      <c r="A169" s="23" t="s">
        <v>207</v>
      </c>
      <c r="B169" s="8">
        <f t="shared" si="1"/>
        <v>0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26"/>
      <c r="AF169" s="26"/>
      <c r="AG169" s="26"/>
      <c r="AH169" s="26"/>
      <c r="AI169" s="26"/>
      <c r="AJ169" s="27"/>
      <c r="AK169" s="27"/>
      <c r="AL169" s="26"/>
      <c r="AM169" s="27"/>
      <c r="AN169" s="27"/>
      <c r="AO169" s="27"/>
      <c r="AP169" s="8"/>
      <c r="AQ169" s="8"/>
      <c r="AR169" s="8"/>
      <c r="AS169" s="8"/>
      <c r="AT169" s="8"/>
    </row>
    <row r="170" ht="15.75" customHeight="1">
      <c r="A170" s="23" t="s">
        <v>208</v>
      </c>
      <c r="B170" s="8">
        <f t="shared" si="1"/>
        <v>0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26"/>
      <c r="AF170" s="26"/>
      <c r="AG170" s="26"/>
      <c r="AH170" s="26"/>
      <c r="AI170" s="26"/>
      <c r="AJ170" s="26"/>
      <c r="AK170" s="27"/>
      <c r="AL170" s="26"/>
      <c r="AM170" s="27"/>
      <c r="AN170" s="26"/>
      <c r="AO170" s="27"/>
      <c r="AP170" s="8"/>
      <c r="AQ170" s="8"/>
      <c r="AR170" s="8"/>
      <c r="AS170" s="8"/>
      <c r="AT170" s="8"/>
    </row>
    <row r="171" ht="15.75" customHeight="1">
      <c r="A171" s="23" t="s">
        <v>209</v>
      </c>
      <c r="B171" s="8">
        <f t="shared" si="1"/>
        <v>1.25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26"/>
      <c r="AF171" s="26"/>
      <c r="AG171" s="26"/>
      <c r="AH171" s="26"/>
      <c r="AI171" s="26"/>
      <c r="AJ171" s="26"/>
      <c r="AK171" s="26"/>
      <c r="AL171" s="26"/>
      <c r="AM171" s="26"/>
      <c r="AN171" s="27">
        <v>1.25</v>
      </c>
      <c r="AO171" s="26"/>
      <c r="AP171" s="8"/>
      <c r="AQ171" s="8"/>
      <c r="AR171" s="8"/>
      <c r="AS171" s="8"/>
      <c r="AT171" s="8"/>
    </row>
    <row r="172" ht="15.75" customHeight="1">
      <c r="A172" s="23" t="s">
        <v>210</v>
      </c>
      <c r="B172" s="8">
        <f t="shared" si="1"/>
        <v>1.75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26"/>
      <c r="AF172" s="26"/>
      <c r="AG172" s="26"/>
      <c r="AH172" s="26"/>
      <c r="AI172" s="26"/>
      <c r="AJ172" s="26"/>
      <c r="AK172" s="27">
        <v>1.75</v>
      </c>
      <c r="AL172" s="26"/>
      <c r="AM172" s="26"/>
      <c r="AN172" s="26"/>
      <c r="AO172" s="26"/>
      <c r="AP172" s="8"/>
      <c r="AQ172" s="8"/>
      <c r="AR172" s="8"/>
      <c r="AS172" s="8"/>
      <c r="AT172" s="8"/>
    </row>
    <row r="173" ht="15.75" customHeight="1">
      <c r="A173" s="23" t="s">
        <v>211</v>
      </c>
      <c r="B173" s="8">
        <f t="shared" si="1"/>
        <v>3.75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26"/>
      <c r="AF173" s="26"/>
      <c r="AG173" s="26"/>
      <c r="AH173" s="26"/>
      <c r="AI173" s="26"/>
      <c r="AJ173" s="26"/>
      <c r="AK173" s="27">
        <v>1.75</v>
      </c>
      <c r="AL173" s="26"/>
      <c r="AM173" s="26"/>
      <c r="AN173" s="26"/>
      <c r="AO173" s="27">
        <v>2.0</v>
      </c>
      <c r="AP173" s="8"/>
      <c r="AQ173" s="8"/>
      <c r="AR173" s="8"/>
      <c r="AS173" s="8"/>
      <c r="AT173" s="8"/>
    </row>
    <row r="174" ht="15.75" customHeight="1">
      <c r="A174" s="23" t="s">
        <v>212</v>
      </c>
      <c r="B174" s="8">
        <f t="shared" si="1"/>
        <v>1.75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26"/>
      <c r="AF174" s="26"/>
      <c r="AG174" s="26"/>
      <c r="AH174" s="26"/>
      <c r="AI174" s="26"/>
      <c r="AJ174" s="26"/>
      <c r="AK174" s="27">
        <v>1.75</v>
      </c>
      <c r="AL174" s="26"/>
      <c r="AM174" s="26"/>
      <c r="AN174" s="26"/>
      <c r="AO174" s="26"/>
      <c r="AP174" s="8"/>
      <c r="AQ174" s="8"/>
      <c r="AR174" s="8"/>
      <c r="AS174" s="8"/>
      <c r="AT174" s="8"/>
    </row>
    <row r="175" ht="15.75" customHeight="1">
      <c r="A175" s="24" t="s">
        <v>213</v>
      </c>
      <c r="B175" s="8">
        <f t="shared" si="1"/>
        <v>2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26"/>
      <c r="AF175" s="26"/>
      <c r="AG175" s="26"/>
      <c r="AH175" s="26"/>
      <c r="AI175" s="26"/>
      <c r="AJ175" s="26"/>
      <c r="AK175" s="26"/>
      <c r="AL175" s="28">
        <v>2.0</v>
      </c>
      <c r="AM175" s="26"/>
      <c r="AN175" s="26"/>
      <c r="AO175" s="26"/>
      <c r="AP175" s="8"/>
      <c r="AQ175" s="8"/>
      <c r="AR175" s="8"/>
      <c r="AS175" s="8"/>
      <c r="AT175" s="8"/>
    </row>
    <row r="176" ht="15.75" customHeight="1">
      <c r="A176" s="24" t="s">
        <v>214</v>
      </c>
      <c r="B176" s="8">
        <f t="shared" si="1"/>
        <v>3.25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26"/>
      <c r="AF176" s="26"/>
      <c r="AG176" s="26"/>
      <c r="AH176" s="26"/>
      <c r="AI176" s="26"/>
      <c r="AJ176" s="26"/>
      <c r="AK176" s="26"/>
      <c r="AL176" s="28">
        <v>2.0</v>
      </c>
      <c r="AM176" s="26"/>
      <c r="AN176" s="27">
        <v>1.25</v>
      </c>
      <c r="AO176" s="26"/>
      <c r="AP176" s="8"/>
      <c r="AQ176" s="8"/>
      <c r="AR176" s="8"/>
      <c r="AS176" s="8"/>
      <c r="AT176" s="8"/>
    </row>
    <row r="177" ht="15.75" customHeight="1">
      <c r="A177" s="24" t="s">
        <v>215</v>
      </c>
      <c r="B177" s="8">
        <f t="shared" si="1"/>
        <v>2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26"/>
      <c r="AF177" s="26"/>
      <c r="AG177" s="26"/>
      <c r="AH177" s="26"/>
      <c r="AI177" s="26"/>
      <c r="AJ177" s="26"/>
      <c r="AK177" s="26"/>
      <c r="AL177" s="28">
        <v>2.0</v>
      </c>
      <c r="AM177" s="26"/>
      <c r="AN177" s="26"/>
      <c r="AO177" s="26"/>
      <c r="AP177" s="8"/>
      <c r="AQ177" s="8"/>
      <c r="AR177" s="8"/>
      <c r="AS177" s="8"/>
      <c r="AT177" s="8"/>
    </row>
    <row r="178" ht="15.75" customHeight="1">
      <c r="A178" s="24" t="s">
        <v>216</v>
      </c>
      <c r="B178" s="8">
        <f t="shared" si="1"/>
        <v>4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26"/>
      <c r="AF178" s="26"/>
      <c r="AG178" s="26"/>
      <c r="AH178" s="26"/>
      <c r="AI178" s="26"/>
      <c r="AJ178" s="26"/>
      <c r="AK178" s="26"/>
      <c r="AL178" s="28">
        <v>2.0</v>
      </c>
      <c r="AM178" s="27"/>
      <c r="AN178" s="27"/>
      <c r="AO178" s="27">
        <v>2.0</v>
      </c>
      <c r="AP178" s="8"/>
      <c r="AQ178" s="8"/>
      <c r="AR178" s="8"/>
      <c r="AS178" s="8"/>
      <c r="AT178" s="8"/>
    </row>
    <row r="179" ht="15.75" customHeight="1">
      <c r="A179" s="24" t="s">
        <v>217</v>
      </c>
      <c r="B179" s="8">
        <f t="shared" si="1"/>
        <v>1.75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26"/>
      <c r="AF179" s="26"/>
      <c r="AG179" s="26"/>
      <c r="AH179" s="26"/>
      <c r="AI179" s="26"/>
      <c r="AJ179" s="26"/>
      <c r="AK179" s="26"/>
      <c r="AL179" s="28">
        <v>1.75</v>
      </c>
      <c r="AM179" s="26"/>
      <c r="AN179" s="26"/>
      <c r="AO179" s="26"/>
      <c r="AP179" s="8"/>
      <c r="AQ179" s="8"/>
      <c r="AR179" s="8"/>
      <c r="AS179" s="8"/>
      <c r="AT179" s="8"/>
    </row>
    <row r="180" ht="15.75" customHeight="1">
      <c r="A180" s="24" t="s">
        <v>218</v>
      </c>
      <c r="B180" s="8">
        <f t="shared" si="1"/>
        <v>2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26"/>
      <c r="AF180" s="26"/>
      <c r="AG180" s="26"/>
      <c r="AH180" s="26"/>
      <c r="AI180" s="26"/>
      <c r="AJ180" s="26"/>
      <c r="AK180" s="26"/>
      <c r="AL180" s="27">
        <v>2.0</v>
      </c>
      <c r="AM180" s="26"/>
      <c r="AN180" s="26"/>
      <c r="AO180" s="26"/>
      <c r="AP180" s="8"/>
      <c r="AQ180" s="8"/>
      <c r="AR180" s="8"/>
      <c r="AS180" s="8"/>
      <c r="AT180" s="8"/>
    </row>
    <row r="181" ht="15.75" customHeight="1">
      <c r="A181" s="23" t="s">
        <v>219</v>
      </c>
      <c r="B181" s="8">
        <f t="shared" si="1"/>
        <v>5.25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26"/>
      <c r="AF181" s="26"/>
      <c r="AG181" s="26"/>
      <c r="AH181" s="26"/>
      <c r="AI181" s="26"/>
      <c r="AJ181" s="26"/>
      <c r="AK181" s="26"/>
      <c r="AL181" s="27"/>
      <c r="AM181" s="27">
        <v>2.0</v>
      </c>
      <c r="AN181" s="27">
        <v>1.25</v>
      </c>
      <c r="AO181" s="27">
        <v>2.0</v>
      </c>
      <c r="AP181" s="8"/>
      <c r="AQ181" s="8"/>
      <c r="AR181" s="8"/>
      <c r="AS181" s="8"/>
      <c r="AT181" s="8"/>
    </row>
    <row r="182" ht="15.75" customHeight="1">
      <c r="A182" s="23" t="s">
        <v>220</v>
      </c>
      <c r="B182" s="8">
        <f t="shared" si="1"/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26"/>
      <c r="AF182" s="26"/>
      <c r="AG182" s="26"/>
      <c r="AH182" s="26"/>
      <c r="AI182" s="26"/>
      <c r="AJ182" s="26"/>
      <c r="AK182" s="26"/>
      <c r="AL182" s="27"/>
      <c r="AM182" s="26"/>
      <c r="AN182" s="26"/>
      <c r="AO182" s="26"/>
      <c r="AP182" s="8"/>
      <c r="AQ182" s="8"/>
      <c r="AR182" s="8"/>
      <c r="AS182" s="8"/>
      <c r="AT182" s="8"/>
    </row>
    <row r="183" ht="15.75" customHeight="1">
      <c r="A183" s="23" t="s">
        <v>221</v>
      </c>
      <c r="B183" s="8">
        <f t="shared" si="1"/>
        <v>3.25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26"/>
      <c r="AF183" s="26"/>
      <c r="AG183" s="26"/>
      <c r="AH183" s="26"/>
      <c r="AI183" s="26"/>
      <c r="AJ183" s="26"/>
      <c r="AK183" s="26"/>
      <c r="AL183" s="26"/>
      <c r="AM183" s="27">
        <v>2.0</v>
      </c>
      <c r="AN183" s="27">
        <v>1.25</v>
      </c>
      <c r="AO183" s="26"/>
      <c r="AP183" s="8"/>
      <c r="AQ183" s="8"/>
      <c r="AR183" s="8"/>
      <c r="AS183" s="8"/>
      <c r="AT183" s="8"/>
    </row>
    <row r="184" ht="15.75" customHeight="1">
      <c r="A184" s="23" t="s">
        <v>222</v>
      </c>
      <c r="B184" s="8">
        <f t="shared" si="1"/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26"/>
      <c r="AF184" s="26"/>
      <c r="AG184" s="26"/>
      <c r="AH184" s="26"/>
      <c r="AI184" s="26"/>
      <c r="AJ184" s="26"/>
      <c r="AK184" s="26"/>
      <c r="AL184" s="26"/>
      <c r="AM184" s="27"/>
      <c r="AN184" s="26"/>
      <c r="AO184" s="27"/>
      <c r="AP184" s="8"/>
      <c r="AQ184" s="8"/>
      <c r="AR184" s="8"/>
      <c r="AS184" s="8"/>
      <c r="AT184" s="8"/>
    </row>
    <row r="185" ht="15.75" customHeight="1">
      <c r="A185" s="23" t="s">
        <v>223</v>
      </c>
      <c r="B185" s="8">
        <f t="shared" si="1"/>
        <v>1.5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26"/>
      <c r="AF185" s="26"/>
      <c r="AG185" s="26"/>
      <c r="AH185" s="26"/>
      <c r="AI185" s="26"/>
      <c r="AJ185" s="26"/>
      <c r="AK185" s="26"/>
      <c r="AL185" s="26"/>
      <c r="AM185" s="27">
        <v>1.5</v>
      </c>
      <c r="AN185" s="26"/>
      <c r="AO185" s="26"/>
      <c r="AP185" s="8"/>
      <c r="AQ185" s="8"/>
      <c r="AR185" s="8"/>
      <c r="AS185" s="8"/>
      <c r="AT185" s="8"/>
    </row>
    <row r="186" ht="15.75" customHeight="1">
      <c r="A186" s="23" t="s">
        <v>224</v>
      </c>
      <c r="B186" s="8">
        <f t="shared" si="1"/>
        <v>0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26"/>
      <c r="AF186" s="26"/>
      <c r="AG186" s="26"/>
      <c r="AH186" s="26"/>
      <c r="AI186" s="26"/>
      <c r="AJ186" s="26"/>
      <c r="AK186" s="26"/>
      <c r="AL186" s="26"/>
      <c r="AM186" s="26"/>
      <c r="AN186" s="27"/>
      <c r="AO186" s="26"/>
      <c r="AP186" s="8"/>
      <c r="AQ186" s="8"/>
      <c r="AR186" s="8"/>
      <c r="AS186" s="8"/>
      <c r="AT186" s="8"/>
    </row>
    <row r="187" ht="15.75" customHeight="1">
      <c r="A187" s="23" t="s">
        <v>225</v>
      </c>
      <c r="B187" s="8">
        <f t="shared" si="1"/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26"/>
      <c r="AF187" s="26"/>
      <c r="AG187" s="26"/>
      <c r="AH187" s="26"/>
      <c r="AI187" s="26"/>
      <c r="AJ187" s="26"/>
      <c r="AK187" s="26"/>
      <c r="AL187" s="26"/>
      <c r="AM187" s="26"/>
      <c r="AN187" s="27"/>
      <c r="AO187" s="26"/>
      <c r="AP187" s="8"/>
      <c r="AQ187" s="8"/>
      <c r="AR187" s="8"/>
      <c r="AS187" s="8"/>
      <c r="AT187" s="8"/>
    </row>
    <row r="188" ht="15.75" customHeight="1">
      <c r="A188" s="23" t="s">
        <v>226</v>
      </c>
      <c r="B188" s="8">
        <f t="shared" si="1"/>
        <v>1.25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26"/>
      <c r="AF188" s="26"/>
      <c r="AG188" s="26"/>
      <c r="AH188" s="26"/>
      <c r="AI188" s="26"/>
      <c r="AJ188" s="26"/>
      <c r="AK188" s="26"/>
      <c r="AL188" s="26"/>
      <c r="AM188" s="26"/>
      <c r="AN188" s="27">
        <v>1.25</v>
      </c>
      <c r="AO188" s="26"/>
      <c r="AP188" s="8"/>
      <c r="AQ188" s="8"/>
      <c r="AR188" s="8"/>
      <c r="AS188" s="8"/>
      <c r="AT188" s="8"/>
    </row>
    <row r="189" ht="15.75" customHeight="1">
      <c r="A189" s="23" t="s">
        <v>227</v>
      </c>
      <c r="B189" s="8">
        <f t="shared" si="1"/>
        <v>1.25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26"/>
      <c r="AF189" s="26"/>
      <c r="AG189" s="26"/>
      <c r="AH189" s="26"/>
      <c r="AI189" s="26"/>
      <c r="AJ189" s="26"/>
      <c r="AK189" s="26"/>
      <c r="AL189" s="26"/>
      <c r="AM189" s="26"/>
      <c r="AN189" s="27">
        <v>1.25</v>
      </c>
      <c r="AO189" s="26"/>
      <c r="AP189" s="8"/>
      <c r="AQ189" s="8"/>
      <c r="AR189" s="8"/>
      <c r="AS189" s="8"/>
      <c r="AT189" s="8"/>
    </row>
    <row r="190" ht="15.75" customHeight="1">
      <c r="A190" s="23" t="s">
        <v>228</v>
      </c>
      <c r="B190" s="8">
        <f t="shared" si="1"/>
        <v>1.25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26"/>
      <c r="AF190" s="26"/>
      <c r="AG190" s="26"/>
      <c r="AH190" s="26"/>
      <c r="AI190" s="26"/>
      <c r="AJ190" s="26"/>
      <c r="AK190" s="26"/>
      <c r="AL190" s="26"/>
      <c r="AM190" s="26"/>
      <c r="AN190" s="27">
        <v>1.25</v>
      </c>
      <c r="AO190" s="26"/>
      <c r="AP190" s="8"/>
      <c r="AQ190" s="8"/>
      <c r="AR190" s="8"/>
      <c r="AS190" s="8"/>
      <c r="AT190" s="8"/>
    </row>
    <row r="191" ht="15.75" customHeight="1">
      <c r="A191" s="23" t="s">
        <v>229</v>
      </c>
      <c r="B191" s="8">
        <f t="shared" si="1"/>
        <v>1.25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26"/>
      <c r="AF191" s="26"/>
      <c r="AG191" s="26"/>
      <c r="AH191" s="26"/>
      <c r="AI191" s="26"/>
      <c r="AJ191" s="26"/>
      <c r="AK191" s="26"/>
      <c r="AL191" s="26"/>
      <c r="AM191" s="26"/>
      <c r="AN191" s="27">
        <v>1.25</v>
      </c>
      <c r="AO191" s="26"/>
      <c r="AP191" s="8"/>
      <c r="AQ191" s="8"/>
      <c r="AR191" s="8"/>
      <c r="AS191" s="8"/>
      <c r="AT191" s="8"/>
    </row>
    <row r="192" ht="15.75" customHeight="1">
      <c r="A192" s="23" t="s">
        <v>60</v>
      </c>
      <c r="B192" s="8">
        <f t="shared" si="1"/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7"/>
      <c r="AP192" s="8"/>
      <c r="AQ192" s="8"/>
      <c r="AR192" s="8"/>
      <c r="AS192" s="8"/>
      <c r="AT192" s="8"/>
    </row>
    <row r="193" ht="15.75" customHeight="1">
      <c r="A193" s="23" t="s">
        <v>230</v>
      </c>
      <c r="B193" s="8">
        <f t="shared" si="1"/>
        <v>0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7"/>
      <c r="AP193" s="8"/>
      <c r="AQ193" s="8"/>
      <c r="AR193" s="8"/>
      <c r="AS193" s="8"/>
      <c r="AT193" s="8"/>
    </row>
    <row r="194" ht="15.75" customHeight="1">
      <c r="A194" s="23" t="s">
        <v>231</v>
      </c>
      <c r="B194" s="8">
        <f t="shared" si="1"/>
        <v>0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7"/>
      <c r="AP194" s="8"/>
      <c r="AQ194" s="8"/>
      <c r="AR194" s="8"/>
      <c r="AS194" s="8"/>
      <c r="AT194" s="8"/>
    </row>
    <row r="195" ht="15.75" customHeight="1">
      <c r="A195" s="23" t="s">
        <v>232</v>
      </c>
      <c r="B195" s="8">
        <f t="shared" si="1"/>
        <v>0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7"/>
      <c r="AP195" s="8"/>
      <c r="AQ195" s="8"/>
      <c r="AR195" s="8"/>
      <c r="AS195" s="8"/>
      <c r="AT195" s="8"/>
    </row>
    <row r="196" ht="15.75" customHeight="1">
      <c r="A196" s="23" t="s">
        <v>233</v>
      </c>
      <c r="B196" s="8">
        <f t="shared" si="1"/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7"/>
      <c r="AP196" s="8"/>
      <c r="AQ196" s="8"/>
      <c r="AR196" s="8"/>
      <c r="AS196" s="8"/>
      <c r="AT196" s="8"/>
    </row>
    <row r="197" ht="15.75" customHeight="1">
      <c r="A197" s="23" t="s">
        <v>234</v>
      </c>
      <c r="B197" s="8">
        <f t="shared" si="1"/>
        <v>2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7">
        <v>2.0</v>
      </c>
      <c r="AP197" s="8"/>
      <c r="AQ197" s="8"/>
      <c r="AR197" s="8"/>
      <c r="AS197" s="8"/>
      <c r="AT197" s="8"/>
    </row>
    <row r="198" ht="15.75" customHeight="1">
      <c r="A198" s="22"/>
      <c r="B198" s="8">
        <f t="shared" si="1"/>
        <v>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8"/>
      <c r="AQ198" s="8"/>
      <c r="AR198" s="8"/>
      <c r="AS198" s="8"/>
      <c r="AT198" s="8"/>
    </row>
    <row r="199" ht="15.75" customHeight="1">
      <c r="A199" s="22"/>
      <c r="B199" s="8">
        <f t="shared" si="1"/>
        <v>0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8"/>
      <c r="AQ199" s="8"/>
      <c r="AR199" s="8"/>
      <c r="AS199" s="8"/>
      <c r="AT199" s="8"/>
    </row>
    <row r="200" ht="15.75" customHeight="1">
      <c r="A200" s="22"/>
      <c r="B200" s="8">
        <f t="shared" si="1"/>
        <v>0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8"/>
      <c r="AQ200" s="8"/>
      <c r="AR200" s="8"/>
      <c r="AS200" s="8"/>
      <c r="AT200" s="8"/>
    </row>
    <row r="201" ht="15.75" customHeight="1"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</row>
    <row r="202" ht="15.75" customHeight="1"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</row>
    <row r="203" ht="15.75" customHeight="1"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</row>
    <row r="204" ht="15.75" customHeight="1"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</row>
    <row r="205" ht="15.75" customHeight="1"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</row>
    <row r="206" ht="15.75" customHeight="1"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</row>
    <row r="207" ht="15.75" customHeight="1"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</row>
    <row r="208" ht="15.75" customHeight="1"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</row>
    <row r="209" ht="15.75" customHeight="1"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</row>
    <row r="210" ht="15.75" customHeight="1"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</row>
    <row r="211" ht="15.75" customHeight="1"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</row>
    <row r="212" ht="15.75" customHeight="1"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</row>
    <row r="213" ht="15.75" customHeight="1"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</row>
    <row r="214" ht="15.75" customHeight="1"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</row>
    <row r="215" ht="15.75" customHeight="1"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</row>
    <row r="216" ht="15.75" customHeight="1"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</row>
    <row r="217" ht="15.75" customHeight="1"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</row>
    <row r="218" ht="15.75" customHeight="1"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</row>
    <row r="219" ht="15.75" customHeight="1"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</row>
    <row r="220" ht="15.75" customHeight="1"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</row>
    <row r="221" ht="15.75" customHeight="1"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</row>
    <row r="222" ht="15.75" customHeight="1"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</row>
    <row r="223" ht="15.75" customHeight="1"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</row>
    <row r="224" ht="15.75" customHeight="1"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</row>
    <row r="225" ht="15.75" customHeight="1"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</row>
    <row r="226" ht="15.75" customHeight="1"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</row>
    <row r="227" ht="15.75" customHeight="1"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</row>
    <row r="228" ht="15.75" customHeight="1"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</row>
    <row r="229" ht="15.75" customHeight="1"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</row>
    <row r="230" ht="15.75" customHeight="1"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</row>
    <row r="231" ht="15.75" customHeight="1"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</row>
    <row r="232" ht="15.75" customHeight="1"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</row>
    <row r="233" ht="15.75" customHeight="1"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</row>
    <row r="234" ht="15.75" customHeight="1"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</row>
    <row r="235" ht="15.75" customHeight="1"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</row>
    <row r="236" ht="15.75" customHeight="1"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</row>
    <row r="237" ht="15.75" customHeight="1"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</row>
    <row r="238" ht="15.75" customHeight="1"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</row>
    <row r="239" ht="15.75" customHeight="1"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</row>
    <row r="240" ht="15.75" customHeight="1"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</row>
    <row r="241" ht="15.75" customHeight="1"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</row>
    <row r="242" ht="15.75" customHeight="1"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</row>
    <row r="243" ht="15.75" customHeight="1"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</row>
    <row r="244" ht="15.75" customHeight="1"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</row>
    <row r="245" ht="15.75" customHeight="1"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</row>
    <row r="246" ht="15.75" customHeight="1"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</row>
    <row r="247" ht="15.75" customHeight="1"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</row>
    <row r="248" ht="15.75" customHeight="1"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</row>
    <row r="249" ht="15.75" customHeight="1"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</row>
    <row r="250" ht="15.75" customHeight="1"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</row>
    <row r="251" ht="15.75" customHeight="1"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</row>
    <row r="252" ht="15.75" customHeight="1"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</row>
    <row r="253" ht="15.75" customHeight="1"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</row>
    <row r="254" ht="15.75" customHeight="1"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</row>
    <row r="255" ht="15.75" customHeight="1"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</row>
    <row r="256" ht="15.75" customHeight="1"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</row>
    <row r="257" ht="15.75" customHeight="1"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</row>
    <row r="258" ht="15.75" customHeight="1"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</row>
    <row r="259" ht="15.75" customHeight="1"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</row>
    <row r="260" ht="15.75" customHeight="1"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</row>
    <row r="261" ht="15.75" customHeight="1"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</row>
    <row r="262" ht="15.75" customHeight="1"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</row>
    <row r="263" ht="15.75" customHeight="1"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</row>
    <row r="264" ht="15.75" customHeight="1"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</row>
    <row r="265" ht="15.75" customHeight="1"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</row>
    <row r="266" ht="15.75" customHeight="1"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</row>
    <row r="267" ht="15.75" customHeight="1"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</row>
    <row r="268" ht="15.75" customHeight="1"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</row>
    <row r="269" ht="15.75" customHeight="1"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</row>
    <row r="270" ht="15.75" customHeight="1"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</row>
    <row r="271" ht="15.75" customHeight="1"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</row>
    <row r="272" ht="15.75" customHeight="1"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</row>
    <row r="273" ht="15.75" customHeight="1"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</row>
    <row r="274" ht="15.75" customHeight="1"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</row>
    <row r="275" ht="15.75" customHeight="1"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</row>
    <row r="276" ht="15.75" customHeight="1"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</row>
    <row r="277" ht="15.75" customHeight="1"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</row>
    <row r="278" ht="15.75" customHeight="1"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</row>
    <row r="279" ht="15.75" customHeight="1"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</row>
    <row r="280" ht="15.75" customHeight="1"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</row>
    <row r="281" ht="15.75" customHeight="1"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</row>
    <row r="282" ht="15.75" customHeight="1"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</row>
    <row r="283" ht="15.75" customHeight="1"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</row>
    <row r="284" ht="15.75" customHeight="1"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</row>
    <row r="285" ht="15.75" customHeight="1"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</row>
    <row r="286" ht="15.75" customHeight="1"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</row>
    <row r="287" ht="15.75" customHeight="1"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</row>
    <row r="288" ht="15.75" customHeight="1"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</row>
    <row r="289" ht="15.75" customHeight="1"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</row>
    <row r="290" ht="15.75" customHeight="1"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</row>
    <row r="291" ht="15.75" customHeight="1"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</row>
    <row r="292" ht="15.75" customHeight="1"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</row>
    <row r="293" ht="15.75" customHeight="1"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</row>
    <row r="294" ht="15.75" customHeight="1"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</row>
    <row r="295" ht="15.75" customHeight="1"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</row>
    <row r="296" ht="15.75" customHeight="1"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</row>
    <row r="297" ht="15.75" customHeight="1"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</row>
    <row r="298" ht="15.75" customHeight="1"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</row>
    <row r="299" ht="15.75" customHeight="1"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</row>
    <row r="300" ht="15.75" customHeight="1"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</row>
    <row r="301" ht="15.75" customHeight="1"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</row>
    <row r="302" ht="15.75" customHeight="1"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</row>
    <row r="303" ht="15.75" customHeight="1"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</row>
    <row r="304" ht="15.75" customHeight="1"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</row>
    <row r="305" ht="15.75" customHeight="1"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</row>
    <row r="306" ht="15.75" customHeight="1"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</row>
    <row r="307" ht="15.75" customHeight="1"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</row>
    <row r="308" ht="15.75" customHeight="1"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</row>
    <row r="309" ht="15.75" customHeight="1"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</row>
    <row r="310" ht="15.75" customHeight="1"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</row>
    <row r="311" ht="15.75" customHeight="1"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</row>
    <row r="312" ht="15.75" customHeight="1"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</row>
    <row r="313" ht="15.75" customHeight="1"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</row>
    <row r="314" ht="15.75" customHeight="1"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</row>
    <row r="315" ht="15.75" customHeight="1"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</row>
    <row r="316" ht="15.75" customHeight="1"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</row>
    <row r="317" ht="15.75" customHeight="1"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</row>
    <row r="318" ht="15.75" customHeight="1"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</row>
    <row r="319" ht="15.75" customHeight="1"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</row>
    <row r="320" ht="15.75" customHeight="1"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</row>
    <row r="321" ht="15.75" customHeight="1"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</row>
    <row r="322" ht="15.75" customHeight="1"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</row>
    <row r="323" ht="15.75" customHeight="1"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</row>
    <row r="324" ht="15.75" customHeight="1"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</row>
    <row r="325" ht="15.75" customHeight="1"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</row>
    <row r="326" ht="15.75" customHeight="1"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</row>
    <row r="327" ht="15.75" customHeight="1"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</row>
    <row r="328" ht="15.75" customHeight="1"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</row>
    <row r="329" ht="15.75" customHeight="1"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</row>
    <row r="330" ht="15.75" customHeight="1"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</row>
    <row r="331" ht="15.75" customHeight="1"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</row>
    <row r="332" ht="15.75" customHeight="1"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</row>
    <row r="333" ht="15.75" customHeight="1"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</row>
    <row r="334" ht="15.75" customHeight="1"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</row>
    <row r="335" ht="15.75" customHeight="1"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</row>
    <row r="336" ht="15.75" customHeight="1"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</row>
    <row r="337" ht="15.75" customHeight="1"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</row>
    <row r="338" ht="15.75" customHeight="1"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</row>
    <row r="339" ht="15.75" customHeight="1"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</row>
    <row r="340" ht="15.75" customHeight="1"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</row>
    <row r="341" ht="15.75" customHeight="1"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</row>
    <row r="342" ht="15.75" customHeight="1"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</row>
    <row r="343" ht="15.75" customHeight="1"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</row>
    <row r="344" ht="15.75" customHeight="1"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</row>
    <row r="345" ht="15.75" customHeight="1"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</row>
    <row r="346" ht="15.75" customHeight="1"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</row>
    <row r="347" ht="15.75" customHeight="1"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</row>
    <row r="348" ht="15.75" customHeight="1"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</row>
    <row r="349" ht="15.75" customHeight="1"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</row>
    <row r="350" ht="15.75" customHeight="1"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</row>
    <row r="351" ht="15.75" customHeight="1"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</row>
    <row r="352" ht="15.75" customHeight="1"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</row>
    <row r="353" ht="15.75" customHeight="1"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</row>
    <row r="354" ht="15.75" customHeight="1"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</row>
    <row r="355" ht="15.75" customHeight="1"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</row>
    <row r="356" ht="15.75" customHeight="1"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</row>
    <row r="357" ht="15.75" customHeight="1"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</row>
    <row r="358" ht="15.75" customHeight="1"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</row>
    <row r="359" ht="15.75" customHeight="1"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</row>
    <row r="360" ht="15.75" customHeight="1"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</row>
    <row r="361" ht="15.75" customHeight="1"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</row>
    <row r="362" ht="15.75" customHeight="1"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</row>
    <row r="363" ht="15.75" customHeight="1"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</row>
    <row r="364" ht="15.75" customHeight="1"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</row>
    <row r="365" ht="15.75" customHeight="1"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</row>
    <row r="366" ht="15.75" customHeight="1"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</row>
    <row r="367" ht="15.75" customHeight="1"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</row>
    <row r="368" ht="15.75" customHeight="1"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</row>
    <row r="369" ht="15.75" customHeight="1"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</row>
    <row r="370" ht="15.75" customHeight="1"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</row>
    <row r="371" ht="15.75" customHeight="1"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</row>
    <row r="372" ht="15.75" customHeight="1"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</row>
    <row r="373" ht="15.75" customHeight="1"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</row>
    <row r="374" ht="15.75" customHeight="1"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</row>
    <row r="375" ht="15.75" customHeight="1"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</row>
    <row r="376" ht="15.75" customHeight="1"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</row>
    <row r="377" ht="15.75" customHeight="1"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</row>
    <row r="378" ht="15.75" customHeight="1"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</row>
    <row r="379" ht="15.75" customHeight="1"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</row>
    <row r="380" ht="15.75" customHeight="1"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</row>
    <row r="381" ht="15.75" customHeight="1"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</row>
    <row r="382" ht="15.75" customHeight="1"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</row>
    <row r="383" ht="15.75" customHeight="1"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</row>
    <row r="384" ht="15.75" customHeight="1"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</row>
    <row r="385" ht="15.75" customHeight="1"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</row>
    <row r="386" ht="15.75" customHeight="1"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</row>
    <row r="387" ht="15.75" customHeight="1"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</row>
    <row r="388" ht="15.75" customHeight="1"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</row>
    <row r="389" ht="15.75" customHeight="1"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</row>
    <row r="390" ht="15.75" customHeight="1"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</row>
    <row r="391" ht="15.75" customHeight="1"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</row>
    <row r="392" ht="15.75" customHeight="1"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</row>
    <row r="393" ht="15.75" customHeight="1"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</row>
    <row r="394" ht="15.75" customHeight="1"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</row>
    <row r="395" ht="15.75" customHeight="1"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</row>
    <row r="396" ht="15.75" customHeight="1"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</row>
    <row r="397" ht="15.75" customHeight="1"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</row>
    <row r="398" ht="15.75" customHeight="1"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</row>
    <row r="399" ht="15.75" customHeight="1"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</row>
    <row r="400" ht="15.75" customHeight="1"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</row>
    <row r="401" ht="15.75" customHeight="1"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</row>
    <row r="402" ht="15.75" customHeight="1"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</row>
    <row r="403" ht="15.75" customHeight="1"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</row>
    <row r="404" ht="15.75" customHeight="1"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</row>
    <row r="405" ht="15.75" customHeight="1"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</row>
    <row r="406" ht="15.75" customHeight="1"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</row>
    <row r="407" ht="15.75" customHeight="1"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</row>
    <row r="408" ht="15.75" customHeight="1"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</row>
    <row r="409" ht="15.75" customHeight="1"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</row>
    <row r="410" ht="15.75" customHeight="1"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</row>
    <row r="411" ht="15.75" customHeight="1"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</row>
    <row r="412" ht="15.75" customHeight="1"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</row>
    <row r="413" ht="15.75" customHeight="1"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</row>
    <row r="414" ht="15.75" customHeight="1"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</row>
    <row r="415" ht="15.75" customHeight="1"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</row>
    <row r="416" ht="15.75" customHeight="1"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</row>
    <row r="417" ht="15.75" customHeight="1"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</row>
    <row r="418" ht="15.75" customHeight="1"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</row>
    <row r="419" ht="15.75" customHeight="1"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</row>
    <row r="420" ht="15.75" customHeight="1"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</row>
    <row r="421" ht="15.75" customHeight="1"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</row>
    <row r="422" ht="15.75" customHeight="1"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</row>
    <row r="423" ht="15.75" customHeight="1"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</row>
    <row r="424" ht="15.75" customHeight="1"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</row>
    <row r="425" ht="15.75" customHeight="1"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</row>
    <row r="426" ht="15.75" customHeight="1"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</row>
    <row r="427" ht="15.75" customHeight="1"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</row>
    <row r="428" ht="15.75" customHeight="1"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</row>
    <row r="429" ht="15.75" customHeight="1"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</row>
    <row r="430" ht="15.75" customHeight="1"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</row>
    <row r="431" ht="15.75" customHeight="1"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</row>
    <row r="432" ht="15.75" customHeight="1"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</row>
    <row r="433" ht="15.75" customHeight="1"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</row>
    <row r="434" ht="15.75" customHeight="1"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</row>
    <row r="435" ht="15.75" customHeight="1"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</row>
    <row r="436" ht="15.75" customHeight="1"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</row>
    <row r="437" ht="15.75" customHeight="1"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</row>
    <row r="438" ht="15.75" customHeight="1"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</row>
    <row r="439" ht="15.75" customHeight="1"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</row>
    <row r="440" ht="15.75" customHeight="1"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</row>
    <row r="441" ht="15.75" customHeight="1"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</row>
    <row r="442" ht="15.75" customHeight="1"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</row>
    <row r="443" ht="15.75" customHeight="1"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</row>
    <row r="444" ht="15.75" customHeight="1"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</row>
    <row r="445" ht="15.75" customHeight="1"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</row>
    <row r="446" ht="15.75" customHeight="1"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</row>
    <row r="447" ht="15.75" customHeight="1"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</row>
    <row r="448" ht="15.75" customHeight="1"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</row>
    <row r="449" ht="15.75" customHeight="1"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</row>
    <row r="450" ht="15.75" customHeight="1"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</row>
    <row r="451" ht="15.75" customHeight="1"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</row>
    <row r="452" ht="15.75" customHeight="1"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</row>
    <row r="453" ht="15.75" customHeight="1"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</row>
    <row r="454" ht="15.75" customHeight="1"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</row>
    <row r="455" ht="15.75" customHeight="1"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</row>
    <row r="456" ht="15.75" customHeight="1"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</row>
    <row r="457" ht="15.75" customHeight="1"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</row>
    <row r="458" ht="15.75" customHeight="1"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</row>
    <row r="459" ht="15.75" customHeight="1"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</row>
    <row r="460" ht="15.75" customHeight="1"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</row>
    <row r="461" ht="15.75" customHeight="1"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</row>
    <row r="462" ht="15.75" customHeight="1"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</row>
    <row r="463" ht="15.75" customHeight="1"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</row>
    <row r="464" ht="15.75" customHeight="1"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</row>
    <row r="465" ht="15.75" customHeight="1"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</row>
    <row r="466" ht="15.75" customHeight="1"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</row>
    <row r="467" ht="15.75" customHeight="1"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</row>
    <row r="468" ht="15.75" customHeight="1"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</row>
    <row r="469" ht="15.75" customHeight="1"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</row>
    <row r="470" ht="15.75" customHeight="1"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</row>
    <row r="471" ht="15.75" customHeight="1"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</row>
    <row r="472" ht="15.75" customHeight="1"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</row>
    <row r="473" ht="15.75" customHeight="1"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</row>
    <row r="474" ht="15.75" customHeight="1"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</row>
    <row r="475" ht="15.75" customHeight="1"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</row>
    <row r="476" ht="15.75" customHeight="1"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</row>
    <row r="477" ht="15.75" customHeight="1"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</row>
    <row r="478" ht="15.75" customHeight="1"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</row>
    <row r="479" ht="15.75" customHeight="1"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</row>
    <row r="480" ht="15.75" customHeight="1"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</row>
    <row r="481" ht="15.75" customHeight="1"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</row>
    <row r="482" ht="15.75" customHeight="1"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</row>
    <row r="483" ht="15.75" customHeight="1"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</row>
    <row r="484" ht="15.75" customHeight="1"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</row>
    <row r="485" ht="15.75" customHeight="1"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</row>
    <row r="486" ht="15.75" customHeight="1"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</row>
    <row r="487" ht="15.75" customHeight="1"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</row>
    <row r="488" ht="15.75" customHeight="1"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</row>
    <row r="489" ht="15.75" customHeight="1"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</row>
    <row r="490" ht="15.75" customHeight="1"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</row>
    <row r="491" ht="15.75" customHeight="1"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</row>
    <row r="492" ht="15.75" customHeight="1"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</row>
    <row r="493" ht="15.75" customHeight="1"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</row>
    <row r="494" ht="15.75" customHeight="1"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</row>
    <row r="495" ht="15.75" customHeight="1"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</row>
    <row r="496" ht="15.75" customHeight="1"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</row>
    <row r="497" ht="15.75" customHeight="1"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</row>
    <row r="498" ht="15.75" customHeight="1"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</row>
    <row r="499" ht="15.75" customHeight="1"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</row>
    <row r="500" ht="15.75" customHeight="1"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</row>
    <row r="501" ht="15.75" customHeight="1"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</row>
    <row r="502" ht="15.75" customHeight="1"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</row>
    <row r="503" ht="15.75" customHeight="1"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</row>
    <row r="504" ht="15.75" customHeight="1"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</row>
    <row r="505" ht="15.75" customHeight="1"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</row>
    <row r="506" ht="15.75" customHeight="1"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</row>
    <row r="507" ht="15.75" customHeight="1"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</row>
    <row r="508" ht="15.75" customHeight="1"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</row>
    <row r="509" ht="15.75" customHeight="1"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</row>
    <row r="510" ht="15.75" customHeight="1"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</row>
    <row r="511" ht="15.75" customHeight="1"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</row>
    <row r="512" ht="15.75" customHeight="1"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</row>
    <row r="513" ht="15.75" customHeight="1"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</row>
    <row r="514" ht="15.75" customHeight="1"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</row>
    <row r="515" ht="15.75" customHeight="1"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</row>
    <row r="516" ht="15.75" customHeight="1"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</row>
    <row r="517" ht="15.75" customHeight="1"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</row>
    <row r="518" ht="15.75" customHeight="1"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</row>
    <row r="519" ht="15.75" customHeight="1"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</row>
    <row r="520" ht="15.75" customHeight="1"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</row>
    <row r="521" ht="15.75" customHeight="1"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</row>
    <row r="522" ht="15.75" customHeight="1"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</row>
    <row r="523" ht="15.75" customHeight="1"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</row>
    <row r="524" ht="15.75" customHeight="1"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</row>
    <row r="525" ht="15.75" customHeight="1"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</row>
    <row r="526" ht="15.75" customHeight="1"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</row>
    <row r="527" ht="15.75" customHeight="1"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</row>
    <row r="528" ht="15.75" customHeight="1"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</row>
    <row r="529" ht="15.75" customHeight="1"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</row>
    <row r="530" ht="15.75" customHeight="1"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</row>
    <row r="531" ht="15.75" customHeight="1"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</row>
    <row r="532" ht="15.75" customHeight="1"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</row>
    <row r="533" ht="15.75" customHeight="1"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</row>
    <row r="534" ht="15.75" customHeight="1"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</row>
    <row r="535" ht="15.75" customHeight="1"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</row>
    <row r="536" ht="15.75" customHeight="1"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</row>
    <row r="537" ht="15.75" customHeight="1"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</row>
    <row r="538" ht="15.75" customHeight="1"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</row>
    <row r="539" ht="15.75" customHeight="1"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</row>
    <row r="540" ht="15.75" customHeight="1"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</row>
    <row r="541" ht="15.75" customHeight="1"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</row>
    <row r="542" ht="15.75" customHeight="1"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</row>
    <row r="543" ht="15.75" customHeight="1"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</row>
    <row r="544" ht="15.75" customHeight="1"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</row>
    <row r="545" ht="15.75" customHeight="1"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</row>
    <row r="546" ht="15.75" customHeight="1"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</row>
    <row r="547" ht="15.75" customHeight="1"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</row>
    <row r="548" ht="15.75" customHeight="1"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</row>
    <row r="549" ht="15.75" customHeight="1"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</row>
    <row r="550" ht="15.75" customHeight="1"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</row>
    <row r="551" ht="15.75" customHeight="1"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</row>
    <row r="552" ht="15.75" customHeight="1"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</row>
    <row r="553" ht="15.75" customHeight="1"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</row>
    <row r="554" ht="15.75" customHeight="1"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</row>
    <row r="555" ht="15.75" customHeight="1"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</row>
    <row r="556" ht="15.75" customHeight="1"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</row>
    <row r="557" ht="15.75" customHeight="1"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</row>
    <row r="558" ht="15.75" customHeight="1"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</row>
    <row r="559" ht="15.75" customHeight="1"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</row>
    <row r="560" ht="15.75" customHeight="1"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</row>
    <row r="561" ht="15.75" customHeight="1"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</row>
    <row r="562" ht="15.75" customHeight="1"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</row>
    <row r="563" ht="15.75" customHeight="1"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</row>
    <row r="564" ht="15.75" customHeight="1"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</row>
    <row r="565" ht="15.75" customHeight="1"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</row>
    <row r="566" ht="15.75" customHeight="1"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</row>
    <row r="567" ht="15.75" customHeight="1"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</row>
    <row r="568" ht="15.75" customHeight="1"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</row>
    <row r="569" ht="15.75" customHeight="1"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</row>
    <row r="570" ht="15.75" customHeight="1"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</row>
    <row r="571" ht="15.75" customHeight="1"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</row>
    <row r="572" ht="15.75" customHeight="1"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</row>
    <row r="573" ht="15.75" customHeight="1"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</row>
    <row r="574" ht="15.75" customHeight="1"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</row>
    <row r="575" ht="15.75" customHeight="1"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</row>
    <row r="576" ht="15.75" customHeight="1"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</row>
    <row r="577" ht="15.75" customHeight="1"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</row>
    <row r="578" ht="15.75" customHeight="1"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</row>
    <row r="579" ht="15.75" customHeight="1"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</row>
    <row r="580" ht="15.75" customHeight="1"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</row>
    <row r="581" ht="15.75" customHeight="1"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</row>
    <row r="582" ht="15.75" customHeight="1"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</row>
    <row r="583" ht="15.75" customHeight="1"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</row>
    <row r="584" ht="15.75" customHeight="1"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</row>
    <row r="585" ht="15.75" customHeight="1"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</row>
    <row r="586" ht="15.75" customHeight="1"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</row>
    <row r="587" ht="15.75" customHeight="1"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</row>
    <row r="588" ht="15.75" customHeight="1"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</row>
    <row r="589" ht="15.75" customHeight="1"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</row>
    <row r="590" ht="15.75" customHeight="1"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</row>
    <row r="591" ht="15.75" customHeight="1"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</row>
    <row r="592" ht="15.75" customHeight="1"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</row>
    <row r="593" ht="15.75" customHeight="1"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</row>
    <row r="594" ht="15.75" customHeight="1"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</row>
    <row r="595" ht="15.75" customHeight="1"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</row>
    <row r="596" ht="15.75" customHeight="1"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</row>
    <row r="597" ht="15.75" customHeight="1"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</row>
    <row r="598" ht="15.75" customHeight="1"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</row>
    <row r="599" ht="15.75" customHeight="1"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</row>
    <row r="600" ht="15.75" customHeight="1"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</row>
    <row r="601" ht="15.75" customHeight="1"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</row>
    <row r="602" ht="15.75" customHeight="1"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</row>
    <row r="603" ht="15.75" customHeight="1"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</row>
    <row r="604" ht="15.75" customHeight="1"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</row>
    <row r="605" ht="15.75" customHeight="1"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</row>
    <row r="606" ht="15.75" customHeight="1"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</row>
    <row r="607" ht="15.75" customHeight="1"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</row>
    <row r="608" ht="15.75" customHeight="1"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</row>
    <row r="609" ht="15.75" customHeight="1"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</row>
    <row r="610" ht="15.75" customHeight="1"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</row>
    <row r="611" ht="15.75" customHeight="1"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</row>
    <row r="612" ht="15.75" customHeight="1"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</row>
    <row r="613" ht="15.75" customHeight="1"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</row>
    <row r="614" ht="15.75" customHeight="1"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</row>
    <row r="615" ht="15.75" customHeight="1"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</row>
    <row r="616" ht="15.75" customHeight="1"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</row>
    <row r="617" ht="15.75" customHeight="1"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</row>
    <row r="618" ht="15.75" customHeight="1"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</row>
    <row r="619" ht="15.75" customHeight="1"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</row>
    <row r="620" ht="15.75" customHeight="1"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</row>
    <row r="621" ht="15.75" customHeight="1"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</row>
    <row r="622" ht="15.75" customHeight="1"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</row>
    <row r="623" ht="15.75" customHeight="1"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</row>
    <row r="624" ht="15.75" customHeight="1"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</row>
    <row r="625" ht="15.75" customHeight="1"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</row>
    <row r="626" ht="15.75" customHeight="1"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</row>
    <row r="627" ht="15.75" customHeight="1"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</row>
    <row r="628" ht="15.75" customHeight="1"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</row>
    <row r="629" ht="15.75" customHeight="1"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</row>
    <row r="630" ht="15.75" customHeight="1"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</row>
    <row r="631" ht="15.75" customHeight="1"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</row>
    <row r="632" ht="15.75" customHeight="1"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</row>
    <row r="633" ht="15.75" customHeight="1"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</row>
    <row r="634" ht="15.75" customHeight="1"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</row>
    <row r="635" ht="15.75" customHeight="1"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</row>
    <row r="636" ht="15.75" customHeight="1"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</row>
    <row r="637" ht="15.75" customHeight="1"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</row>
    <row r="638" ht="15.75" customHeight="1"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</row>
    <row r="639" ht="15.75" customHeight="1"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</row>
    <row r="640" ht="15.75" customHeight="1"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</row>
    <row r="641" ht="15.75" customHeight="1"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</row>
    <row r="642" ht="15.75" customHeight="1"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</row>
    <row r="643" ht="15.75" customHeight="1"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</row>
    <row r="644" ht="15.75" customHeight="1"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</row>
    <row r="645" ht="15.75" customHeight="1"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</row>
    <row r="646" ht="15.75" customHeight="1"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</row>
    <row r="647" ht="15.75" customHeight="1"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</row>
    <row r="648" ht="15.75" customHeight="1"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</row>
    <row r="649" ht="15.75" customHeight="1"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</row>
    <row r="650" ht="15.75" customHeight="1"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</row>
    <row r="651" ht="15.75" customHeight="1"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</row>
    <row r="652" ht="15.75" customHeight="1"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</row>
    <row r="653" ht="15.75" customHeight="1"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</row>
    <row r="654" ht="15.75" customHeight="1"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</row>
    <row r="655" ht="15.75" customHeight="1"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</row>
    <row r="656" ht="15.75" customHeight="1"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</row>
    <row r="657" ht="15.75" customHeight="1"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</row>
    <row r="658" ht="15.75" customHeight="1"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</row>
    <row r="659" ht="15.75" customHeight="1"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</row>
    <row r="660" ht="15.75" customHeight="1"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</row>
    <row r="661" ht="15.75" customHeight="1"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</row>
    <row r="662" ht="15.75" customHeight="1"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</row>
    <row r="663" ht="15.75" customHeight="1"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</row>
    <row r="664" ht="15.75" customHeight="1"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</row>
    <row r="665" ht="15.75" customHeight="1"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</row>
    <row r="666" ht="15.75" customHeight="1"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</row>
    <row r="667" ht="15.75" customHeight="1"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</row>
    <row r="668" ht="15.75" customHeight="1"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</row>
    <row r="669" ht="15.75" customHeight="1"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</row>
    <row r="670" ht="15.75" customHeight="1"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</row>
    <row r="671" ht="15.75" customHeight="1"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</row>
    <row r="672" ht="15.75" customHeight="1"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</row>
    <row r="673" ht="15.75" customHeight="1"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</row>
    <row r="674" ht="15.75" customHeight="1"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</row>
    <row r="675" ht="15.75" customHeight="1"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</row>
    <row r="676" ht="15.75" customHeight="1"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</row>
    <row r="677" ht="15.75" customHeight="1"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</row>
    <row r="678" ht="15.75" customHeight="1"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</row>
    <row r="679" ht="15.75" customHeight="1"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</row>
    <row r="680" ht="15.75" customHeight="1"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</row>
    <row r="681" ht="15.75" customHeight="1"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</row>
    <row r="682" ht="15.75" customHeight="1"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</row>
    <row r="683" ht="15.75" customHeight="1"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</row>
    <row r="684" ht="15.75" customHeight="1"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</row>
    <row r="685" ht="15.75" customHeight="1"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</row>
    <row r="686" ht="15.75" customHeight="1"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</row>
    <row r="687" ht="15.75" customHeight="1"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</row>
    <row r="688" ht="15.75" customHeight="1"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</row>
    <row r="689" ht="15.75" customHeight="1"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</row>
    <row r="690" ht="15.75" customHeight="1"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</row>
    <row r="691" ht="15.75" customHeight="1"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</row>
    <row r="692" ht="15.75" customHeight="1"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</row>
    <row r="693" ht="15.75" customHeight="1"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</row>
    <row r="694" ht="15.75" customHeight="1"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</row>
    <row r="695" ht="15.75" customHeight="1"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</row>
    <row r="696" ht="15.75" customHeight="1"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</row>
    <row r="697" ht="15.75" customHeight="1"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</row>
    <row r="698" ht="15.75" customHeight="1"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</row>
    <row r="699" ht="15.75" customHeight="1"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</row>
    <row r="700" ht="15.75" customHeight="1"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</row>
    <row r="701" ht="15.75" customHeight="1"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</row>
    <row r="702" ht="15.75" customHeight="1"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</row>
    <row r="703" ht="15.75" customHeight="1"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</row>
    <row r="704" ht="15.75" customHeight="1"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</row>
    <row r="705" ht="15.75" customHeight="1"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</row>
    <row r="706" ht="15.75" customHeight="1"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</row>
    <row r="707" ht="15.75" customHeight="1"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</row>
    <row r="708" ht="15.75" customHeight="1"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</row>
    <row r="709" ht="15.75" customHeight="1"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</row>
    <row r="710" ht="15.75" customHeight="1"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</row>
    <row r="711" ht="15.75" customHeight="1"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</row>
    <row r="712" ht="15.75" customHeight="1"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</row>
    <row r="713" ht="15.75" customHeight="1"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</row>
    <row r="714" ht="15.75" customHeight="1"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</row>
    <row r="715" ht="15.75" customHeight="1"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</row>
    <row r="716" ht="15.75" customHeight="1"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</row>
    <row r="717" ht="15.75" customHeight="1"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</row>
    <row r="718" ht="15.75" customHeight="1"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</row>
    <row r="719" ht="15.75" customHeight="1"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</row>
    <row r="720" ht="15.75" customHeight="1"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</row>
    <row r="721" ht="15.75" customHeight="1"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</row>
    <row r="722" ht="15.75" customHeight="1"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</row>
    <row r="723" ht="15.75" customHeight="1"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</row>
    <row r="724" ht="15.75" customHeight="1"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</row>
    <row r="725" ht="15.75" customHeight="1"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</row>
    <row r="726" ht="15.75" customHeight="1"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</row>
    <row r="727" ht="15.75" customHeight="1"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</row>
    <row r="728" ht="15.75" customHeight="1"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</row>
    <row r="729" ht="15.75" customHeight="1"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</row>
    <row r="730" ht="15.75" customHeight="1"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</row>
    <row r="731" ht="15.75" customHeight="1"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</row>
    <row r="732" ht="15.75" customHeight="1"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</row>
    <row r="733" ht="15.75" customHeight="1"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</row>
    <row r="734" ht="15.75" customHeight="1"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</row>
    <row r="735" ht="15.75" customHeight="1"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</row>
    <row r="736" ht="15.75" customHeight="1"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</row>
    <row r="737" ht="15.75" customHeight="1"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</row>
    <row r="738" ht="15.75" customHeight="1"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</row>
    <row r="739" ht="15.75" customHeight="1"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</row>
    <row r="740" ht="15.75" customHeight="1"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</row>
    <row r="741" ht="15.75" customHeight="1"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</row>
    <row r="742" ht="15.75" customHeight="1"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</row>
    <row r="743" ht="15.75" customHeight="1"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</row>
    <row r="744" ht="15.75" customHeight="1"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</row>
    <row r="745" ht="15.75" customHeight="1"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</row>
    <row r="746" ht="15.75" customHeight="1"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</row>
    <row r="747" ht="15.75" customHeight="1"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</row>
    <row r="748" ht="15.75" customHeight="1"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</row>
    <row r="749" ht="15.75" customHeight="1"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</row>
    <row r="750" ht="15.75" customHeight="1"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</row>
    <row r="751" ht="15.75" customHeight="1"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</row>
    <row r="752" ht="15.75" customHeight="1"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</row>
    <row r="753" ht="15.75" customHeight="1"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</row>
    <row r="754" ht="15.75" customHeight="1"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</row>
    <row r="755" ht="15.75" customHeight="1"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</row>
    <row r="756" ht="15.75" customHeight="1"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</row>
    <row r="757" ht="15.75" customHeight="1"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</row>
    <row r="758" ht="15.75" customHeight="1"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</row>
    <row r="759" ht="15.75" customHeight="1"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</row>
    <row r="760" ht="15.75" customHeight="1"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</row>
    <row r="761" ht="15.75" customHeight="1"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</row>
    <row r="762" ht="15.75" customHeight="1"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</row>
    <row r="763" ht="15.75" customHeight="1"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</row>
    <row r="764" ht="15.75" customHeight="1"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</row>
    <row r="765" ht="15.75" customHeight="1"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</row>
    <row r="766" ht="15.75" customHeight="1"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</row>
    <row r="767" ht="15.75" customHeight="1"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</row>
    <row r="768" ht="15.75" customHeight="1"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</row>
    <row r="769" ht="15.75" customHeight="1"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</row>
    <row r="770" ht="15.75" customHeight="1"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</row>
    <row r="771" ht="15.75" customHeight="1"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</row>
    <row r="772" ht="15.75" customHeight="1"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</row>
    <row r="773" ht="15.75" customHeight="1"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</row>
    <row r="774" ht="15.75" customHeight="1"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</row>
    <row r="775" ht="15.75" customHeight="1"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</row>
    <row r="776" ht="15.75" customHeight="1"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</row>
    <row r="777" ht="15.75" customHeight="1"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</row>
    <row r="778" ht="15.75" customHeight="1"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</row>
    <row r="779" ht="15.75" customHeight="1"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</row>
    <row r="780" ht="15.75" customHeight="1"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</row>
    <row r="781" ht="15.75" customHeight="1"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</row>
    <row r="782" ht="15.75" customHeight="1"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</row>
    <row r="783" ht="15.75" customHeight="1"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</row>
    <row r="784" ht="15.75" customHeight="1"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</row>
    <row r="785" ht="15.75" customHeight="1"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</row>
    <row r="786" ht="15.75" customHeight="1"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</row>
    <row r="787" ht="15.75" customHeight="1"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</row>
    <row r="788" ht="15.75" customHeight="1"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</row>
    <row r="789" ht="15.75" customHeight="1"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</row>
    <row r="790" ht="15.75" customHeight="1"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</row>
    <row r="791" ht="15.75" customHeight="1"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</row>
    <row r="792" ht="15.75" customHeight="1"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</row>
    <row r="793" ht="15.75" customHeight="1"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</row>
    <row r="794" ht="15.75" customHeight="1"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</row>
    <row r="795" ht="15.75" customHeight="1"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</row>
    <row r="796" ht="15.75" customHeight="1"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</row>
    <row r="797" ht="15.75" customHeight="1"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</row>
    <row r="798" ht="15.75" customHeight="1"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</row>
    <row r="799" ht="15.75" customHeight="1"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</row>
    <row r="800" ht="15.75" customHeight="1"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</row>
    <row r="801" ht="15.75" customHeight="1"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</row>
    <row r="802" ht="15.75" customHeight="1"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</row>
    <row r="803" ht="15.75" customHeight="1"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</row>
    <row r="804" ht="15.75" customHeight="1"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</row>
    <row r="805" ht="15.75" customHeight="1"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</row>
    <row r="806" ht="15.75" customHeight="1"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</row>
    <row r="807" ht="15.75" customHeight="1"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</row>
    <row r="808" ht="15.75" customHeight="1"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</row>
    <row r="809" ht="15.75" customHeight="1"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</row>
    <row r="810" ht="15.75" customHeight="1"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</row>
    <row r="811" ht="15.75" customHeight="1"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</row>
    <row r="812" ht="15.75" customHeight="1"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</row>
    <row r="813" ht="15.75" customHeight="1"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</row>
    <row r="814" ht="15.75" customHeight="1"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</row>
    <row r="815" ht="15.75" customHeight="1"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</row>
    <row r="816" ht="15.75" customHeight="1"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</row>
    <row r="817" ht="15.75" customHeight="1"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</row>
    <row r="818" ht="15.75" customHeight="1"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</row>
    <row r="819" ht="15.75" customHeight="1"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</row>
    <row r="820" ht="15.75" customHeight="1"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</row>
    <row r="821" ht="15.75" customHeight="1"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</row>
    <row r="822" ht="15.75" customHeight="1"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</row>
    <row r="823" ht="15.75" customHeight="1"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</row>
    <row r="824" ht="15.75" customHeight="1"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</row>
    <row r="825" ht="15.75" customHeight="1"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</row>
    <row r="826" ht="15.75" customHeight="1"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</row>
    <row r="827" ht="15.75" customHeight="1"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</row>
    <row r="828" ht="15.75" customHeight="1"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</row>
    <row r="829" ht="15.75" customHeight="1"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</row>
    <row r="830" ht="15.75" customHeight="1"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</row>
    <row r="831" ht="15.75" customHeight="1"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</row>
    <row r="832" ht="15.75" customHeight="1"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</row>
    <row r="833" ht="15.75" customHeight="1"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</row>
    <row r="834" ht="15.75" customHeight="1"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</row>
    <row r="835" ht="15.75" customHeight="1"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</row>
    <row r="836" ht="15.75" customHeight="1"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</row>
    <row r="837" ht="15.75" customHeight="1"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</row>
    <row r="838" ht="15.75" customHeight="1"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</row>
    <row r="839" ht="15.75" customHeight="1"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</row>
    <row r="840" ht="15.75" customHeight="1"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</row>
    <row r="841" ht="15.75" customHeight="1"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</row>
    <row r="842" ht="15.75" customHeight="1"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</row>
    <row r="843" ht="15.75" customHeight="1"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</row>
    <row r="844" ht="15.75" customHeight="1"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</row>
    <row r="845" ht="15.75" customHeight="1"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</row>
    <row r="846" ht="15.75" customHeight="1"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</row>
    <row r="847" ht="15.75" customHeight="1"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</row>
    <row r="848" ht="15.75" customHeight="1"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</row>
    <row r="849" ht="15.75" customHeight="1"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</row>
    <row r="850" ht="15.75" customHeight="1"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</row>
    <row r="851" ht="15.75" customHeight="1"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</row>
    <row r="852" ht="15.75" customHeight="1"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</row>
    <row r="853" ht="15.75" customHeight="1"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</row>
    <row r="854" ht="15.75" customHeight="1"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</row>
    <row r="855" ht="15.75" customHeight="1"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</row>
    <row r="856" ht="15.75" customHeight="1"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</row>
    <row r="857" ht="15.75" customHeight="1"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</row>
    <row r="858" ht="15.75" customHeight="1"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</row>
    <row r="859" ht="15.75" customHeight="1"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</row>
    <row r="860" ht="15.75" customHeight="1"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</row>
    <row r="861" ht="15.75" customHeight="1"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</row>
    <row r="862" ht="15.75" customHeight="1"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</row>
    <row r="863" ht="15.75" customHeight="1"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</row>
    <row r="864" ht="15.75" customHeight="1"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</row>
    <row r="865" ht="15.75" customHeight="1"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</row>
    <row r="866" ht="15.75" customHeight="1"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</row>
    <row r="867" ht="15.75" customHeight="1"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</row>
    <row r="868" ht="15.75" customHeight="1"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</row>
    <row r="869" ht="15.75" customHeight="1"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</row>
    <row r="870" ht="15.75" customHeight="1"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</row>
    <row r="871" ht="15.75" customHeight="1"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</row>
    <row r="872" ht="15.75" customHeight="1"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</row>
    <row r="873" ht="15.75" customHeight="1"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</row>
    <row r="874" ht="15.75" customHeight="1"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</row>
    <row r="875" ht="15.75" customHeight="1"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</row>
    <row r="876" ht="15.75" customHeight="1"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</row>
    <row r="877" ht="15.75" customHeight="1"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</row>
    <row r="878" ht="15.75" customHeight="1"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</row>
    <row r="879" ht="15.75" customHeight="1"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</row>
    <row r="880" ht="15.75" customHeight="1"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</row>
    <row r="881" ht="15.75" customHeight="1"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</row>
    <row r="882" ht="15.75" customHeight="1"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</row>
    <row r="883" ht="15.75" customHeight="1"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</row>
    <row r="884" ht="15.75" customHeight="1"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</row>
    <row r="885" ht="15.75" customHeight="1"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</row>
    <row r="886" ht="15.75" customHeight="1"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</row>
    <row r="887" ht="15.75" customHeight="1"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</row>
    <row r="888" ht="15.75" customHeight="1"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</row>
    <row r="889" ht="15.75" customHeight="1"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</row>
    <row r="890" ht="15.75" customHeight="1"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</row>
    <row r="891" ht="15.75" customHeight="1"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</row>
    <row r="892" ht="15.75" customHeight="1"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</row>
    <row r="893" ht="15.75" customHeight="1"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</row>
    <row r="894" ht="15.75" customHeight="1"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</row>
    <row r="895" ht="15.75" customHeight="1"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</row>
    <row r="896" ht="15.75" customHeight="1"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</row>
    <row r="897" ht="15.75" customHeight="1"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</row>
    <row r="898" ht="15.75" customHeight="1"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</row>
    <row r="899" ht="15.75" customHeight="1"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</row>
    <row r="900" ht="15.75" customHeight="1"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</row>
    <row r="901" ht="15.75" customHeight="1"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</row>
    <row r="902" ht="15.75" customHeight="1"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</row>
    <row r="903" ht="15.75" customHeight="1"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</row>
    <row r="904" ht="15.75" customHeight="1"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</row>
    <row r="905" ht="15.75" customHeight="1"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</row>
    <row r="906" ht="15.75" customHeight="1"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</row>
    <row r="907" ht="15.75" customHeight="1"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</row>
    <row r="908" ht="15.75" customHeight="1"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</row>
    <row r="909" ht="15.75" customHeight="1"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</row>
    <row r="910" ht="15.75" customHeight="1"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</row>
    <row r="911" ht="15.75" customHeight="1"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</row>
    <row r="912" ht="15.75" customHeight="1"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</row>
    <row r="913" ht="15.75" customHeight="1"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</row>
    <row r="914" ht="15.75" customHeight="1"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</row>
    <row r="915" ht="15.75" customHeight="1"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</row>
    <row r="916" ht="15.75" customHeight="1"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</row>
    <row r="917" ht="15.75" customHeight="1"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</row>
    <row r="918" ht="15.75" customHeight="1"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</row>
    <row r="919" ht="15.75" customHeight="1"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</row>
    <row r="920" ht="15.75" customHeight="1"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</row>
    <row r="921" ht="15.75" customHeight="1"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</row>
    <row r="922" ht="15.75" customHeight="1"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</row>
    <row r="923" ht="15.75" customHeight="1"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</row>
    <row r="924" ht="15.75" customHeight="1"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</row>
    <row r="925" ht="15.75" customHeight="1"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</row>
    <row r="926" ht="15.75" customHeight="1"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</row>
    <row r="927" ht="15.75" customHeight="1"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</row>
    <row r="928" ht="15.75" customHeight="1"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</row>
    <row r="929" ht="15.75" customHeight="1"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</row>
    <row r="930" ht="15.75" customHeight="1"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</row>
    <row r="931" ht="15.75" customHeight="1"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</row>
    <row r="932" ht="15.75" customHeight="1"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</row>
    <row r="933" ht="15.75" customHeight="1"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</row>
    <row r="934" ht="15.75" customHeight="1"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</row>
    <row r="935" ht="15.75" customHeight="1"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</row>
    <row r="936" ht="15.75" customHeight="1"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</row>
    <row r="937" ht="15.75" customHeight="1"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</row>
    <row r="938" ht="15.75" customHeight="1"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</row>
    <row r="939" ht="15.75" customHeight="1"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</row>
    <row r="940" ht="15.75" customHeight="1"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</row>
    <row r="941" ht="15.75" customHeight="1"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</row>
    <row r="942" ht="15.75" customHeight="1"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</row>
    <row r="943" ht="15.75" customHeight="1"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</row>
    <row r="944" ht="15.75" customHeight="1"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</row>
    <row r="945" ht="15.75" customHeight="1"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</row>
    <row r="946" ht="15.75" customHeight="1"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</row>
    <row r="947" ht="15.75" customHeight="1"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</row>
    <row r="948" ht="15.75" customHeight="1"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</row>
    <row r="949" ht="15.75" customHeight="1"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</row>
    <row r="950" ht="15.75" customHeight="1"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</row>
    <row r="951" ht="15.75" customHeight="1"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</row>
    <row r="952" ht="15.75" customHeight="1"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</row>
    <row r="953" ht="15.75" customHeight="1"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</row>
    <row r="954" ht="15.75" customHeight="1"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</row>
    <row r="955" ht="15.75" customHeight="1"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</row>
    <row r="956" ht="15.75" customHeight="1"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</row>
    <row r="957" ht="15.75" customHeight="1"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</row>
    <row r="958" ht="15.75" customHeight="1"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</row>
    <row r="959" ht="15.75" customHeight="1"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</row>
    <row r="960" ht="15.75" customHeight="1"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</row>
    <row r="961" ht="15.75" customHeight="1"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</row>
    <row r="962" ht="15.75" customHeight="1"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</row>
    <row r="963" ht="15.75" customHeight="1"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</row>
    <row r="964" ht="15.75" customHeight="1"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</row>
    <row r="965" ht="15.75" customHeight="1"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</row>
    <row r="966" ht="15.75" customHeight="1"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</row>
    <row r="967" ht="15.75" customHeight="1"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</row>
    <row r="968" ht="15.75" customHeight="1"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</row>
    <row r="969" ht="15.75" customHeight="1"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</row>
    <row r="970" ht="15.75" customHeight="1"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</row>
    <row r="971" ht="15.75" customHeight="1"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</row>
    <row r="972" ht="15.75" customHeight="1"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</row>
    <row r="973" ht="15.75" customHeight="1"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</row>
    <row r="974" ht="15.75" customHeight="1"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</row>
    <row r="975" ht="15.75" customHeight="1"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</row>
    <row r="976" ht="15.75" customHeight="1"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</row>
    <row r="977" ht="15.75" customHeight="1"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</row>
    <row r="978" ht="15.75" customHeight="1"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</row>
    <row r="979" ht="15.75" customHeight="1"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</row>
    <row r="980" ht="15.75" customHeight="1"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</row>
    <row r="981" ht="15.75" customHeight="1"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</row>
    <row r="982" ht="15.75" customHeight="1"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</row>
    <row r="983" ht="15.75" customHeight="1"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</row>
    <row r="984" ht="15.75" customHeight="1"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</row>
    <row r="985" ht="15.75" customHeight="1"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</row>
    <row r="986" ht="15.75" customHeight="1"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</row>
    <row r="987" ht="15.75" customHeight="1"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</row>
    <row r="988" ht="15.75" customHeight="1"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</row>
    <row r="989" ht="15.75" customHeight="1"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</row>
    <row r="990" ht="15.75" customHeight="1"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</row>
    <row r="991" ht="15.75" customHeight="1"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</row>
    <row r="992" ht="15.75" customHeight="1"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</row>
    <row r="993" ht="15.75" customHeight="1"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</row>
    <row r="994" ht="15.75" customHeight="1"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</row>
    <row r="995" ht="15.75" customHeight="1"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</row>
    <row r="996" ht="15.75" customHeight="1"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</row>
    <row r="997" ht="15.75" customHeight="1"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</row>
    <row r="998" ht="15.75" customHeight="1"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</row>
    <row r="999" ht="15.75" customHeight="1"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</row>
    <row r="1000" ht="15.75" customHeight="1"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5.75"/>
    <col customWidth="1" min="2" max="2" width="18.63"/>
    <col customWidth="1" min="3" max="3" width="14.75"/>
    <col customWidth="1" min="4" max="6" width="9.38"/>
    <col customWidth="1" min="7" max="26" width="8.63"/>
    <col customWidth="1" min="27" max="29" width="10.25"/>
    <col customWidth="1" min="30" max="30" width="8.63"/>
    <col customWidth="1" min="31" max="33" width="10.25"/>
    <col customWidth="1" min="34" max="35" width="8.63"/>
    <col customWidth="1" min="36" max="38" width="10.25"/>
    <col customWidth="1" min="39" max="42" width="8.63"/>
    <col customWidth="1" min="43" max="45" width="10.25"/>
    <col customWidth="1" min="46" max="47" width="9.38"/>
    <col customWidth="1" min="48" max="50" width="10.38"/>
    <col customWidth="1" min="51" max="51" width="8.63"/>
    <col customWidth="1" min="52" max="54" width="10.38"/>
  </cols>
  <sheetData>
    <row r="1">
      <c r="A1" s="1" t="s">
        <v>0</v>
      </c>
      <c r="B1" s="2" t="s">
        <v>1</v>
      </c>
      <c r="C1" s="4">
        <v>45662.0</v>
      </c>
      <c r="D1" s="4">
        <v>45669.0</v>
      </c>
      <c r="E1" s="4">
        <v>45676.0</v>
      </c>
      <c r="F1" s="4">
        <v>45683.0</v>
      </c>
      <c r="G1" s="4">
        <v>45690.0</v>
      </c>
      <c r="H1" s="4">
        <v>45697.0</v>
      </c>
      <c r="I1" s="4">
        <v>45704.0</v>
      </c>
      <c r="J1" s="4">
        <v>45711.0</v>
      </c>
      <c r="K1" s="4">
        <v>45718.0</v>
      </c>
      <c r="L1" s="4">
        <v>45725.0</v>
      </c>
      <c r="M1" s="4">
        <v>45732.0</v>
      </c>
      <c r="N1" s="4">
        <v>45739.0</v>
      </c>
      <c r="O1" s="4">
        <v>45746.0</v>
      </c>
      <c r="P1" s="4">
        <v>45753.0</v>
      </c>
      <c r="Q1" s="4">
        <v>45760.0</v>
      </c>
      <c r="R1" s="4">
        <v>45767.0</v>
      </c>
      <c r="S1" s="4">
        <v>45774.0</v>
      </c>
      <c r="T1" s="4">
        <v>45781.0</v>
      </c>
      <c r="U1" s="4">
        <v>45788.0</v>
      </c>
      <c r="V1" s="4">
        <v>45795.0</v>
      </c>
      <c r="W1" s="4">
        <v>45802.0</v>
      </c>
      <c r="X1" s="4">
        <v>45809.0</v>
      </c>
      <c r="Y1" s="4">
        <v>45816.0</v>
      </c>
      <c r="Z1" s="4">
        <v>45823.0</v>
      </c>
      <c r="AA1" s="4">
        <v>45830.0</v>
      </c>
      <c r="AB1" s="4">
        <v>45837.0</v>
      </c>
      <c r="AC1" s="4">
        <v>45844.0</v>
      </c>
      <c r="AD1" s="4">
        <v>45851.0</v>
      </c>
      <c r="AE1" s="4">
        <v>45858.0</v>
      </c>
      <c r="AF1" s="4">
        <v>45865.0</v>
      </c>
      <c r="AG1" s="4">
        <v>45872.0</v>
      </c>
      <c r="AH1" s="4">
        <v>45879.0</v>
      </c>
      <c r="AI1" s="4">
        <v>45886.0</v>
      </c>
      <c r="AJ1" s="4">
        <v>45893.0</v>
      </c>
      <c r="AK1" s="4">
        <v>45900.0</v>
      </c>
      <c r="AL1" s="4">
        <v>45907.0</v>
      </c>
      <c r="AM1" s="4">
        <v>45914.0</v>
      </c>
      <c r="AN1" s="4">
        <v>45921.0</v>
      </c>
      <c r="AO1" s="4">
        <v>45928.0</v>
      </c>
      <c r="AP1" s="4">
        <v>45935.0</v>
      </c>
      <c r="AQ1" s="4">
        <v>45942.0</v>
      </c>
      <c r="AR1" s="9">
        <v>45949.0</v>
      </c>
      <c r="AS1" s="9">
        <v>45956.0</v>
      </c>
      <c r="AT1" s="9">
        <v>45963.0</v>
      </c>
      <c r="AU1" s="9">
        <v>45970.0</v>
      </c>
      <c r="AV1" s="9">
        <v>45977.0</v>
      </c>
      <c r="AW1" s="9">
        <v>45984.0</v>
      </c>
      <c r="AX1" s="9">
        <v>45991.0</v>
      </c>
      <c r="AY1" s="9">
        <v>45998.0</v>
      </c>
      <c r="AZ1" s="9">
        <v>46005.0</v>
      </c>
      <c r="BA1" s="9">
        <v>46012.0</v>
      </c>
      <c r="BB1" s="9">
        <v>46019.0</v>
      </c>
    </row>
    <row r="2">
      <c r="A2" s="1">
        <v>16.0</v>
      </c>
      <c r="B2" s="7">
        <f>SUM(B3:B317)</f>
        <v>1042.75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>
      <c r="A3" s="11" t="s">
        <v>3</v>
      </c>
      <c r="B3" s="8">
        <f t="shared" ref="B3:B28" si="1">SUM(C3:CA3)</f>
        <v>84</v>
      </c>
      <c r="C3" s="8"/>
      <c r="D3" s="8">
        <v>2.0</v>
      </c>
      <c r="E3" s="8">
        <v>3.0</v>
      </c>
      <c r="F3" s="8">
        <v>3.0</v>
      </c>
      <c r="G3" s="8">
        <v>3.0</v>
      </c>
      <c r="H3" s="8">
        <v>3.0</v>
      </c>
      <c r="I3" s="8">
        <v>3.0</v>
      </c>
      <c r="J3" s="8"/>
      <c r="K3" s="8">
        <v>3.0</v>
      </c>
      <c r="L3" s="8">
        <v>3.0</v>
      </c>
      <c r="M3" s="8">
        <v>3.0</v>
      </c>
      <c r="N3" s="8">
        <v>3.0</v>
      </c>
      <c r="O3" s="8">
        <v>3.0</v>
      </c>
      <c r="P3" s="8"/>
      <c r="Q3" s="8"/>
      <c r="R3" s="8">
        <v>2.5</v>
      </c>
      <c r="S3" s="8">
        <v>3.0</v>
      </c>
      <c r="T3" s="8">
        <v>3.5</v>
      </c>
      <c r="U3" s="8">
        <v>5.0</v>
      </c>
      <c r="V3" s="8">
        <v>4.0</v>
      </c>
      <c r="W3" s="8">
        <v>2.0</v>
      </c>
      <c r="X3" s="8">
        <v>2.5</v>
      </c>
      <c r="Y3" s="8">
        <v>2.25</v>
      </c>
      <c r="Z3" s="8">
        <v>2.5</v>
      </c>
      <c r="AA3" s="8"/>
      <c r="AB3" s="8">
        <v>2.0</v>
      </c>
      <c r="AC3" s="8"/>
      <c r="AD3" s="8">
        <v>2.0</v>
      </c>
      <c r="AE3" s="8"/>
      <c r="AF3" s="8"/>
      <c r="AG3" s="8">
        <v>2.5</v>
      </c>
      <c r="AH3" s="8">
        <v>1.0</v>
      </c>
      <c r="AI3" s="8"/>
      <c r="AJ3" s="8">
        <v>1.5</v>
      </c>
      <c r="AK3" s="8">
        <v>3.0</v>
      </c>
      <c r="AL3" s="8">
        <v>2.0</v>
      </c>
      <c r="AM3" s="8">
        <v>1.0</v>
      </c>
      <c r="AN3" s="8">
        <v>2.0</v>
      </c>
      <c r="AO3" s="8">
        <v>2.75</v>
      </c>
      <c r="AP3" s="8"/>
      <c r="AQ3" s="20">
        <v>2.5</v>
      </c>
      <c r="AR3" s="8"/>
      <c r="AS3" s="8"/>
      <c r="AT3" s="8"/>
      <c r="AU3" s="8"/>
      <c r="AV3" s="8"/>
      <c r="AW3" s="8"/>
      <c r="AX3" s="20">
        <v>2.5</v>
      </c>
      <c r="AY3" s="8"/>
      <c r="AZ3" s="8"/>
      <c r="BA3" s="20" t="s">
        <v>236</v>
      </c>
      <c r="BB3" s="8"/>
    </row>
    <row r="4">
      <c r="A4" s="11" t="s">
        <v>6</v>
      </c>
      <c r="B4" s="8">
        <f t="shared" si="1"/>
        <v>45</v>
      </c>
      <c r="C4" s="8">
        <v>3.0</v>
      </c>
      <c r="D4" s="8">
        <v>3.0</v>
      </c>
      <c r="E4" s="8">
        <v>3.0</v>
      </c>
      <c r="F4" s="8">
        <v>3.0</v>
      </c>
      <c r="G4" s="8">
        <v>3.0</v>
      </c>
      <c r="H4" s="8"/>
      <c r="I4" s="8">
        <v>3.0</v>
      </c>
      <c r="J4" s="8">
        <v>3.0</v>
      </c>
      <c r="K4" s="8">
        <v>3.0</v>
      </c>
      <c r="L4" s="8">
        <v>3.0</v>
      </c>
      <c r="M4" s="8">
        <v>3.0</v>
      </c>
      <c r="N4" s="8">
        <v>3.0</v>
      </c>
      <c r="O4" s="8"/>
      <c r="P4" s="8">
        <v>3.0</v>
      </c>
      <c r="Q4" s="8">
        <v>3.0</v>
      </c>
      <c r="R4" s="8"/>
      <c r="S4" s="8"/>
      <c r="T4" s="8"/>
      <c r="U4" s="8">
        <v>5.0</v>
      </c>
      <c r="V4" s="8"/>
      <c r="W4" s="8"/>
      <c r="X4" s="8"/>
      <c r="Y4" s="8"/>
      <c r="Z4" s="8">
        <v>1.0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20"/>
      <c r="BA4" s="20"/>
      <c r="BB4" s="8"/>
    </row>
    <row r="5">
      <c r="A5" s="11" t="s">
        <v>7</v>
      </c>
      <c r="B5" s="8">
        <f t="shared" si="1"/>
        <v>39.75</v>
      </c>
      <c r="C5" s="8">
        <v>3.0</v>
      </c>
      <c r="D5" s="8">
        <v>3.0</v>
      </c>
      <c r="E5" s="8">
        <v>2.0</v>
      </c>
      <c r="F5" s="8">
        <v>2.0</v>
      </c>
      <c r="G5" s="8">
        <v>3.0</v>
      </c>
      <c r="H5" s="8"/>
      <c r="I5" s="8">
        <v>2.0</v>
      </c>
      <c r="J5" s="8">
        <v>3.0</v>
      </c>
      <c r="K5" s="8">
        <v>2.0</v>
      </c>
      <c r="L5" s="8">
        <v>2.0</v>
      </c>
      <c r="M5" s="8">
        <v>2.0</v>
      </c>
      <c r="N5" s="8"/>
      <c r="O5" s="8"/>
      <c r="P5" s="8">
        <v>3.0</v>
      </c>
      <c r="Q5" s="8">
        <v>2.0</v>
      </c>
      <c r="R5" s="8"/>
      <c r="S5" s="8"/>
      <c r="T5" s="8">
        <v>3.0</v>
      </c>
      <c r="U5" s="8"/>
      <c r="V5" s="8"/>
      <c r="W5" s="8">
        <v>2.0</v>
      </c>
      <c r="X5" s="8">
        <v>1.75</v>
      </c>
      <c r="Y5" s="8"/>
      <c r="Z5" s="8">
        <v>1.0</v>
      </c>
      <c r="AA5" s="8"/>
      <c r="AB5" s="8"/>
      <c r="AC5" s="8"/>
      <c r="AD5" s="8"/>
      <c r="AE5" s="8">
        <v>1.0</v>
      </c>
      <c r="AF5" s="8"/>
      <c r="AG5" s="8"/>
      <c r="AH5" s="8"/>
      <c r="AI5" s="8"/>
      <c r="AJ5" s="8">
        <v>2.0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>
      <c r="A6" s="11" t="s">
        <v>51</v>
      </c>
      <c r="B6" s="8">
        <f t="shared" si="1"/>
        <v>14</v>
      </c>
      <c r="C6" s="8">
        <v>2.0</v>
      </c>
      <c r="D6" s="8">
        <v>2.0</v>
      </c>
      <c r="E6" s="8">
        <v>2.0</v>
      </c>
      <c r="F6" s="8"/>
      <c r="G6" s="8"/>
      <c r="H6" s="8"/>
      <c r="I6" s="8"/>
      <c r="J6" s="8"/>
      <c r="K6" s="8"/>
      <c r="L6" s="8"/>
      <c r="M6" s="8"/>
      <c r="N6" s="8"/>
      <c r="O6" s="8"/>
      <c r="P6" s="8">
        <v>2.0</v>
      </c>
      <c r="Q6" s="8"/>
      <c r="R6" s="8"/>
      <c r="S6" s="8"/>
      <c r="T6" s="8"/>
      <c r="U6" s="8"/>
      <c r="V6" s="8">
        <v>2.0</v>
      </c>
      <c r="W6" s="8"/>
      <c r="X6" s="8">
        <v>2.5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20">
        <v>1.5</v>
      </c>
      <c r="BA6" s="8"/>
      <c r="BB6" s="8"/>
    </row>
    <row r="7">
      <c r="A7" s="11" t="s">
        <v>13</v>
      </c>
      <c r="B7" s="8">
        <f t="shared" si="1"/>
        <v>2</v>
      </c>
      <c r="C7" s="8"/>
      <c r="D7" s="8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</row>
    <row r="8">
      <c r="A8" s="11" t="s">
        <v>55</v>
      </c>
      <c r="B8" s="8">
        <f t="shared" si="1"/>
        <v>2</v>
      </c>
      <c r="C8" s="8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</row>
    <row r="9">
      <c r="A9" s="11" t="s">
        <v>17</v>
      </c>
      <c r="B9" s="8">
        <f t="shared" si="1"/>
        <v>2</v>
      </c>
      <c r="C9" s="8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</row>
    <row r="10">
      <c r="A10" s="11" t="s">
        <v>64</v>
      </c>
      <c r="B10" s="8">
        <f t="shared" si="1"/>
        <v>2</v>
      </c>
      <c r="C10" s="8">
        <v>2.0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</row>
    <row r="11">
      <c r="A11" s="11" t="s">
        <v>65</v>
      </c>
      <c r="B11" s="8">
        <f t="shared" si="1"/>
        <v>2</v>
      </c>
      <c r="C11" s="8">
        <v>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>
      <c r="A12" s="11" t="s">
        <v>66</v>
      </c>
      <c r="B12" s="8">
        <f t="shared" si="1"/>
        <v>2</v>
      </c>
      <c r="C12" s="8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>
      <c r="A13" s="11" t="s">
        <v>23</v>
      </c>
      <c r="B13" s="8">
        <f t="shared" si="1"/>
        <v>100.25</v>
      </c>
      <c r="C13" s="8"/>
      <c r="D13" s="8">
        <v>2.0</v>
      </c>
      <c r="E13" s="8"/>
      <c r="F13" s="8">
        <v>2.0</v>
      </c>
      <c r="G13" s="8">
        <v>2.0</v>
      </c>
      <c r="H13" s="8">
        <v>2.0</v>
      </c>
      <c r="I13" s="8">
        <v>2.0</v>
      </c>
      <c r="J13" s="8">
        <v>2.0</v>
      </c>
      <c r="K13" s="8">
        <v>2.0</v>
      </c>
      <c r="L13" s="8">
        <v>2.0</v>
      </c>
      <c r="M13" s="8">
        <v>2.0</v>
      </c>
      <c r="N13" s="8">
        <v>2.0</v>
      </c>
      <c r="O13" s="8">
        <v>2.0</v>
      </c>
      <c r="P13" s="8">
        <v>2.0</v>
      </c>
      <c r="Q13" s="8">
        <v>2.0</v>
      </c>
      <c r="R13" s="8">
        <v>2.5</v>
      </c>
      <c r="S13" s="8">
        <v>2.5</v>
      </c>
      <c r="T13" s="8">
        <v>3.0</v>
      </c>
      <c r="U13" s="8">
        <v>2.5</v>
      </c>
      <c r="V13" s="8">
        <v>4.0</v>
      </c>
      <c r="W13" s="8"/>
      <c r="X13" s="8"/>
      <c r="Y13" s="8">
        <v>2.25</v>
      </c>
      <c r="Z13" s="8">
        <v>2.5</v>
      </c>
      <c r="AA13" s="8">
        <v>2.0</v>
      </c>
      <c r="AB13" s="8">
        <v>2.0</v>
      </c>
      <c r="AC13" s="8">
        <v>1.75</v>
      </c>
      <c r="AD13" s="8">
        <v>2.0</v>
      </c>
      <c r="AE13" s="8">
        <v>2.0</v>
      </c>
      <c r="AF13" s="8">
        <v>2.5</v>
      </c>
      <c r="AG13" s="8">
        <v>2.5</v>
      </c>
      <c r="AH13" s="8">
        <v>2.5</v>
      </c>
      <c r="AI13" s="8">
        <v>2.0</v>
      </c>
      <c r="AJ13" s="8">
        <v>2.0</v>
      </c>
      <c r="AK13" s="8"/>
      <c r="AL13" s="8">
        <v>1.5</v>
      </c>
      <c r="AM13" s="8">
        <v>2.0</v>
      </c>
      <c r="AN13" s="8">
        <v>2.0</v>
      </c>
      <c r="AO13" s="8">
        <v>2.25</v>
      </c>
      <c r="AP13" s="8">
        <v>2.5</v>
      </c>
      <c r="AQ13" s="20">
        <v>2.5</v>
      </c>
      <c r="AR13" s="20">
        <v>2.0</v>
      </c>
      <c r="AS13" s="20">
        <v>2.0</v>
      </c>
      <c r="AT13" s="20">
        <v>2.5</v>
      </c>
      <c r="AU13" s="20">
        <v>2.25</v>
      </c>
      <c r="AV13" s="8"/>
      <c r="AW13" s="20">
        <v>1.0</v>
      </c>
      <c r="AX13" s="20">
        <v>2.5</v>
      </c>
      <c r="AY13" s="21">
        <v>2.5</v>
      </c>
      <c r="AZ13" s="20">
        <v>2.25</v>
      </c>
      <c r="BA13" s="20">
        <v>2.0</v>
      </c>
      <c r="BB13" s="20">
        <v>2.0</v>
      </c>
    </row>
    <row r="14">
      <c r="A14" s="11" t="s">
        <v>24</v>
      </c>
      <c r="B14" s="8">
        <f t="shared" si="1"/>
        <v>6</v>
      </c>
      <c r="C14" s="8"/>
      <c r="D14" s="8">
        <v>2.0</v>
      </c>
      <c r="E14" s="8">
        <v>2.0</v>
      </c>
      <c r="F14" s="8">
        <v>2.0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</row>
    <row r="15">
      <c r="A15" s="11" t="s">
        <v>33</v>
      </c>
      <c r="B15" s="8">
        <f t="shared" si="1"/>
        <v>4</v>
      </c>
      <c r="C15" s="8"/>
      <c r="D15" s="8"/>
      <c r="E15" s="8">
        <v>2.0</v>
      </c>
      <c r="F15" s="8"/>
      <c r="G15" s="8"/>
      <c r="H15" s="8">
        <v>2.0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>
      <c r="A16" s="11" t="s">
        <v>61</v>
      </c>
      <c r="B16" s="8">
        <f t="shared" si="1"/>
        <v>2</v>
      </c>
      <c r="C16" s="8"/>
      <c r="D16" s="8"/>
      <c r="E16" s="8">
        <v>2.0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</row>
    <row r="17">
      <c r="A17" s="11" t="s">
        <v>67</v>
      </c>
      <c r="B17" s="8">
        <f t="shared" si="1"/>
        <v>2</v>
      </c>
      <c r="C17" s="8"/>
      <c r="D17" s="8"/>
      <c r="E17" s="8">
        <v>2.0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>
      <c r="A18" s="11" t="s">
        <v>68</v>
      </c>
      <c r="B18" s="8">
        <f t="shared" si="1"/>
        <v>2</v>
      </c>
      <c r="C18" s="8"/>
      <c r="D18" s="8"/>
      <c r="E18" s="8">
        <v>2.0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</row>
    <row r="19">
      <c r="A19" s="11" t="s">
        <v>69</v>
      </c>
      <c r="B19" s="8">
        <f t="shared" si="1"/>
        <v>8.5</v>
      </c>
      <c r="C19" s="8"/>
      <c r="D19" s="8"/>
      <c r="E19" s="8"/>
      <c r="F19" s="8"/>
      <c r="G19" s="8">
        <v>2.0</v>
      </c>
      <c r="H19" s="8">
        <v>2.0</v>
      </c>
      <c r="I19" s="8"/>
      <c r="J19" s="8"/>
      <c r="K19" s="8"/>
      <c r="L19" s="8"/>
      <c r="M19" s="8"/>
      <c r="N19" s="8"/>
      <c r="O19" s="8">
        <v>2.0</v>
      </c>
      <c r="P19" s="8"/>
      <c r="Q19" s="8"/>
      <c r="R19" s="8">
        <v>2.5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</row>
    <row r="20">
      <c r="A20" s="11" t="s">
        <v>70</v>
      </c>
      <c r="B20" s="8">
        <f t="shared" si="1"/>
        <v>10.25</v>
      </c>
      <c r="C20" s="8"/>
      <c r="D20" s="8"/>
      <c r="E20" s="8"/>
      <c r="F20" s="8"/>
      <c r="G20" s="8">
        <v>2.0</v>
      </c>
      <c r="H20" s="8"/>
      <c r="I20" s="8">
        <v>2.0</v>
      </c>
      <c r="J20" s="8"/>
      <c r="K20" s="8"/>
      <c r="L20" s="8">
        <v>2.0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>
        <v>2.0</v>
      </c>
      <c r="AI20" s="8"/>
      <c r="AJ20" s="8"/>
      <c r="AK20" s="8"/>
      <c r="AL20" s="8"/>
      <c r="AM20" s="8">
        <v>2.25</v>
      </c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</row>
    <row r="21" ht="15.75" customHeight="1">
      <c r="A21" s="11" t="s">
        <v>52</v>
      </c>
      <c r="B21" s="8">
        <f t="shared" si="1"/>
        <v>19.75</v>
      </c>
      <c r="C21" s="8"/>
      <c r="D21" s="8"/>
      <c r="E21" s="8"/>
      <c r="F21" s="8"/>
      <c r="G21" s="8">
        <v>2.0</v>
      </c>
      <c r="H21" s="8"/>
      <c r="I21" s="8"/>
      <c r="J21" s="8">
        <v>2.0</v>
      </c>
      <c r="K21" s="8"/>
      <c r="L21" s="8">
        <v>2.0</v>
      </c>
      <c r="M21" s="8">
        <v>2.0</v>
      </c>
      <c r="N21" s="8"/>
      <c r="O21" s="8"/>
      <c r="P21" s="8"/>
      <c r="Q21" s="8">
        <v>2.0</v>
      </c>
      <c r="R21" s="8">
        <v>2.5</v>
      </c>
      <c r="S21" s="8">
        <v>2.5</v>
      </c>
      <c r="T21" s="8"/>
      <c r="U21" s="8"/>
      <c r="V21" s="8"/>
      <c r="W21" s="8"/>
      <c r="X21" s="8"/>
      <c r="Y21" s="8"/>
      <c r="Z21" s="8"/>
      <c r="AA21" s="8"/>
      <c r="AB21" s="8">
        <v>2.0</v>
      </c>
      <c r="AC21" s="8">
        <v>1.75</v>
      </c>
      <c r="AD21" s="8"/>
      <c r="AE21" s="8">
        <v>1.0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 ht="15.75" customHeight="1">
      <c r="A22" s="11" t="s">
        <v>16</v>
      </c>
      <c r="B22" s="8">
        <f t="shared" si="1"/>
        <v>5.5</v>
      </c>
      <c r="C22" s="8"/>
      <c r="D22" s="8"/>
      <c r="E22" s="8"/>
      <c r="F22" s="8"/>
      <c r="G22" s="8"/>
      <c r="H22" s="8">
        <v>2.0</v>
      </c>
      <c r="I22" s="8"/>
      <c r="J22" s="8"/>
      <c r="K22" s="8"/>
      <c r="L22" s="8"/>
      <c r="M22" s="8"/>
      <c r="N22" s="8"/>
      <c r="O22" s="8"/>
      <c r="P22" s="8"/>
      <c r="Q22" s="8"/>
      <c r="R22" s="8">
        <v>1.5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>
        <v>2.0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</row>
    <row r="23" ht="15.75" customHeight="1">
      <c r="A23" s="11" t="s">
        <v>46</v>
      </c>
      <c r="B23" s="8">
        <f t="shared" si="1"/>
        <v>2</v>
      </c>
      <c r="C23" s="8"/>
      <c r="D23" s="8"/>
      <c r="E23" s="8"/>
      <c r="F23" s="8"/>
      <c r="G23" s="8"/>
      <c r="H23" s="8">
        <v>2.0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</row>
    <row r="24" ht="15.75" customHeight="1">
      <c r="A24" s="11" t="s">
        <v>71</v>
      </c>
      <c r="B24" s="8">
        <f t="shared" si="1"/>
        <v>3</v>
      </c>
      <c r="C24" s="8"/>
      <c r="D24" s="8"/>
      <c r="E24" s="8"/>
      <c r="F24" s="8"/>
      <c r="G24" s="8"/>
      <c r="H24" s="8"/>
      <c r="I24" s="8">
        <v>3.0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</row>
    <row r="25" ht="15.75" customHeight="1">
      <c r="A25" s="11" t="s">
        <v>72</v>
      </c>
      <c r="B25" s="8">
        <f t="shared" si="1"/>
        <v>2</v>
      </c>
      <c r="C25" s="8"/>
      <c r="D25" s="8"/>
      <c r="E25" s="8"/>
      <c r="F25" s="8"/>
      <c r="G25" s="8"/>
      <c r="H25" s="8"/>
      <c r="I25" s="8">
        <v>2.0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 ht="15.75" customHeight="1">
      <c r="A26" s="11" t="s">
        <v>48</v>
      </c>
      <c r="B26" s="8">
        <f t="shared" si="1"/>
        <v>47.25</v>
      </c>
      <c r="C26" s="8"/>
      <c r="D26" s="8"/>
      <c r="E26" s="8"/>
      <c r="F26" s="8"/>
      <c r="G26" s="8"/>
      <c r="H26" s="8"/>
      <c r="I26" s="8">
        <v>2.0</v>
      </c>
      <c r="J26" s="8">
        <v>2.0</v>
      </c>
      <c r="K26" s="8"/>
      <c r="L26" s="8"/>
      <c r="M26" s="8"/>
      <c r="N26" s="8"/>
      <c r="O26" s="8"/>
      <c r="P26" s="8">
        <v>2.0</v>
      </c>
      <c r="Q26" s="8"/>
      <c r="R26" s="8"/>
      <c r="S26" s="8"/>
      <c r="T26" s="8"/>
      <c r="U26" s="8"/>
      <c r="V26" s="8"/>
      <c r="W26" s="8"/>
      <c r="X26" s="8"/>
      <c r="Y26" s="8">
        <v>2.25</v>
      </c>
      <c r="Z26" s="8"/>
      <c r="AA26" s="8">
        <v>2.0</v>
      </c>
      <c r="AB26" s="8"/>
      <c r="AC26" s="8"/>
      <c r="AD26" s="8"/>
      <c r="AE26" s="8"/>
      <c r="AF26" s="8">
        <v>2.5</v>
      </c>
      <c r="AG26" s="8"/>
      <c r="AH26" s="8"/>
      <c r="AI26" s="8">
        <v>2.0</v>
      </c>
      <c r="AJ26" s="8">
        <v>2.0</v>
      </c>
      <c r="AK26" s="8"/>
      <c r="AL26" s="8">
        <v>2.0</v>
      </c>
      <c r="AM26" s="8">
        <v>2.25</v>
      </c>
      <c r="AN26" s="8">
        <v>2.0</v>
      </c>
      <c r="AO26" s="8">
        <v>2.75</v>
      </c>
      <c r="AP26" s="8">
        <v>2.0</v>
      </c>
      <c r="AQ26" s="20">
        <v>2.5</v>
      </c>
      <c r="AR26" s="20">
        <v>2.0</v>
      </c>
      <c r="AS26" s="20">
        <v>2.0</v>
      </c>
      <c r="AT26" s="20">
        <v>2.25</v>
      </c>
      <c r="AU26" s="20">
        <v>1.0</v>
      </c>
      <c r="AV26" s="21">
        <v>2.5</v>
      </c>
      <c r="AW26" s="20">
        <v>2.5</v>
      </c>
      <c r="AX26" s="8"/>
      <c r="AY26" s="21">
        <v>2.5</v>
      </c>
      <c r="AZ26" s="20">
        <v>2.25</v>
      </c>
      <c r="BA26" s="8"/>
      <c r="BB26" s="8"/>
    </row>
    <row r="27" ht="15.75" customHeight="1">
      <c r="A27" s="11" t="s">
        <v>41</v>
      </c>
      <c r="B27" s="8">
        <f t="shared" si="1"/>
        <v>4.5</v>
      </c>
      <c r="C27" s="8"/>
      <c r="D27" s="8"/>
      <c r="E27" s="8"/>
      <c r="F27" s="8"/>
      <c r="G27" s="8"/>
      <c r="H27" s="8"/>
      <c r="I27" s="8">
        <v>2.0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>
        <v>2.5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</row>
    <row r="28" ht="15.75" customHeight="1">
      <c r="A28" s="11" t="s">
        <v>40</v>
      </c>
      <c r="B28" s="8">
        <f t="shared" si="1"/>
        <v>2</v>
      </c>
      <c r="C28" s="8"/>
      <c r="D28" s="8"/>
      <c r="E28" s="8"/>
      <c r="F28" s="8"/>
      <c r="G28" s="8"/>
      <c r="H28" s="8"/>
      <c r="I28" s="8"/>
      <c r="J28" s="8"/>
      <c r="K28" s="8">
        <v>2.0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</row>
    <row r="29" ht="15.75" customHeight="1">
      <c r="A29" s="11" t="s">
        <v>237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>
        <v>2.0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</row>
    <row r="30" ht="15.75" customHeight="1">
      <c r="A30" s="11" t="s">
        <v>10</v>
      </c>
      <c r="B30" s="8">
        <f t="shared" ref="B30:B162" si="2">SUM(C30:CA30)</f>
        <v>35.5</v>
      </c>
      <c r="C30" s="8"/>
      <c r="D30" s="8"/>
      <c r="E30" s="8"/>
      <c r="F30" s="8"/>
      <c r="G30" s="8"/>
      <c r="H30" s="8"/>
      <c r="I30" s="8"/>
      <c r="J30" s="8">
        <v>2.0</v>
      </c>
      <c r="K30" s="8"/>
      <c r="L30" s="8"/>
      <c r="M30" s="8"/>
      <c r="N30" s="8"/>
      <c r="O30" s="8"/>
      <c r="P30" s="8"/>
      <c r="Q30" s="8">
        <v>2.0</v>
      </c>
      <c r="R30" s="8"/>
      <c r="S30" s="8">
        <v>2.5</v>
      </c>
      <c r="T30" s="8">
        <v>3.0</v>
      </c>
      <c r="U30" s="8"/>
      <c r="V30" s="8"/>
      <c r="W30" s="8"/>
      <c r="X30" s="8"/>
      <c r="Y30" s="8"/>
      <c r="Z30" s="8"/>
      <c r="AA30" s="8"/>
      <c r="AB30" s="8"/>
      <c r="AC30" s="8">
        <v>1.75</v>
      </c>
      <c r="AD30" s="8">
        <v>2.0</v>
      </c>
      <c r="AE30" s="8">
        <v>2.0</v>
      </c>
      <c r="AF30" s="8">
        <v>2.5</v>
      </c>
      <c r="AG30" s="8">
        <v>2.5</v>
      </c>
      <c r="AH30" s="8">
        <v>2.5</v>
      </c>
      <c r="AI30" s="8">
        <v>2.0</v>
      </c>
      <c r="AJ30" s="8"/>
      <c r="AK30" s="8">
        <v>3.0</v>
      </c>
      <c r="AL30" s="8">
        <v>2.0</v>
      </c>
      <c r="AM30" s="8">
        <v>2.25</v>
      </c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20">
        <v>2.5</v>
      </c>
      <c r="AY30" s="8"/>
      <c r="AZ30" s="8"/>
      <c r="BA30" s="20">
        <v>1.0</v>
      </c>
      <c r="BB30" s="8"/>
    </row>
    <row r="31" ht="15.75" customHeight="1">
      <c r="A31" s="11" t="s">
        <v>9</v>
      </c>
      <c r="B31" s="8">
        <f t="shared" si="2"/>
        <v>16.5</v>
      </c>
      <c r="C31" s="8"/>
      <c r="D31" s="8"/>
      <c r="E31" s="8"/>
      <c r="F31" s="8"/>
      <c r="G31" s="8"/>
      <c r="H31" s="8"/>
      <c r="I31" s="8"/>
      <c r="J31" s="8">
        <v>2.0</v>
      </c>
      <c r="K31" s="8"/>
      <c r="L31" s="8"/>
      <c r="M31" s="8"/>
      <c r="N31" s="8"/>
      <c r="O31" s="8"/>
      <c r="P31" s="8"/>
      <c r="Q31" s="8">
        <v>2.0</v>
      </c>
      <c r="R31" s="8">
        <v>2.5</v>
      </c>
      <c r="S31" s="8">
        <v>2.5</v>
      </c>
      <c r="T31" s="8">
        <v>3.0</v>
      </c>
      <c r="U31" s="8">
        <v>2.0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>
        <v>2.5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</row>
    <row r="32" ht="15.75" customHeight="1">
      <c r="A32" s="11" t="s">
        <v>73</v>
      </c>
      <c r="B32" s="8">
        <f t="shared" si="2"/>
        <v>5</v>
      </c>
      <c r="C32" s="8"/>
      <c r="D32" s="8"/>
      <c r="E32" s="8"/>
      <c r="F32" s="8"/>
      <c r="G32" s="8"/>
      <c r="H32" s="8"/>
      <c r="I32" s="8"/>
      <c r="J32" s="8">
        <v>2.0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>
        <v>3.0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</row>
    <row r="33" ht="15.75" customHeight="1">
      <c r="A33" s="11" t="s">
        <v>31</v>
      </c>
      <c r="B33" s="8">
        <f t="shared" si="2"/>
        <v>4.25</v>
      </c>
      <c r="C33" s="8"/>
      <c r="D33" s="8"/>
      <c r="E33" s="8"/>
      <c r="F33" s="8"/>
      <c r="G33" s="8"/>
      <c r="H33" s="8"/>
      <c r="I33" s="8"/>
      <c r="J33" s="8"/>
      <c r="K33" s="8">
        <v>2.0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>
        <v>2.25</v>
      </c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</row>
    <row r="34" ht="15.75" customHeight="1">
      <c r="A34" s="11" t="s">
        <v>74</v>
      </c>
      <c r="B34" s="8">
        <f t="shared" si="2"/>
        <v>6.5</v>
      </c>
      <c r="C34" s="8"/>
      <c r="D34" s="8"/>
      <c r="E34" s="8"/>
      <c r="F34" s="8"/>
      <c r="G34" s="8"/>
      <c r="H34" s="8"/>
      <c r="I34" s="8"/>
      <c r="J34" s="8"/>
      <c r="K34" s="8">
        <v>2.0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>
        <v>2.5</v>
      </c>
      <c r="AI34" s="8">
        <v>2.0</v>
      </c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</row>
    <row r="35" ht="15.75" customHeight="1">
      <c r="A35" s="11" t="s">
        <v>75</v>
      </c>
      <c r="B35" s="8">
        <f t="shared" si="2"/>
        <v>2</v>
      </c>
      <c r="C35" s="8"/>
      <c r="D35" s="8"/>
      <c r="E35" s="8"/>
      <c r="F35" s="8"/>
      <c r="G35" s="8"/>
      <c r="H35" s="8"/>
      <c r="I35" s="8"/>
      <c r="J35" s="8"/>
      <c r="K35" s="8">
        <v>2.0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</row>
    <row r="36" ht="15.75" customHeight="1">
      <c r="A36" s="11" t="s">
        <v>15</v>
      </c>
      <c r="B36" s="8">
        <f t="shared" si="2"/>
        <v>7.75</v>
      </c>
      <c r="C36" s="8"/>
      <c r="D36" s="8"/>
      <c r="E36" s="8"/>
      <c r="F36" s="8"/>
      <c r="G36" s="8"/>
      <c r="H36" s="8"/>
      <c r="I36" s="8"/>
      <c r="J36" s="8"/>
      <c r="K36" s="8">
        <v>2.0</v>
      </c>
      <c r="L36" s="8">
        <v>2.0</v>
      </c>
      <c r="M36" s="8"/>
      <c r="N36" s="8">
        <v>2.0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>
        <v>1.75</v>
      </c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</row>
    <row r="37" ht="15.75" customHeight="1">
      <c r="A37" s="11" t="s">
        <v>12</v>
      </c>
      <c r="B37" s="8">
        <f t="shared" si="2"/>
        <v>18.5</v>
      </c>
      <c r="C37" s="8"/>
      <c r="D37" s="8"/>
      <c r="E37" s="8"/>
      <c r="F37" s="8"/>
      <c r="G37" s="8"/>
      <c r="H37" s="8"/>
      <c r="I37" s="8"/>
      <c r="J37" s="8"/>
      <c r="K37" s="8"/>
      <c r="L37" s="8">
        <v>2.0</v>
      </c>
      <c r="M37" s="8"/>
      <c r="N37" s="8">
        <v>2.0</v>
      </c>
      <c r="O37" s="8"/>
      <c r="P37" s="8">
        <v>2.0</v>
      </c>
      <c r="Q37" s="8"/>
      <c r="R37" s="8"/>
      <c r="S37" s="8">
        <v>2.5</v>
      </c>
      <c r="T37" s="8"/>
      <c r="U37" s="8"/>
      <c r="V37" s="8">
        <v>2.0</v>
      </c>
      <c r="W37" s="8">
        <v>2.0</v>
      </c>
      <c r="X37" s="8"/>
      <c r="Y37" s="8"/>
      <c r="Z37" s="8"/>
      <c r="AA37" s="8">
        <v>2.0</v>
      </c>
      <c r="AB37" s="8"/>
      <c r="AC37" s="8"/>
      <c r="AD37" s="8">
        <v>2.0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20">
        <v>2.0</v>
      </c>
      <c r="AV37" s="8"/>
      <c r="AW37" s="8"/>
      <c r="AX37" s="8"/>
      <c r="AY37" s="8"/>
      <c r="AZ37" s="8"/>
      <c r="BA37" s="8"/>
      <c r="BB37" s="8"/>
    </row>
    <row r="38" ht="15.75" customHeight="1">
      <c r="A38" s="11" t="s">
        <v>76</v>
      </c>
      <c r="B38" s="8">
        <f t="shared" si="2"/>
        <v>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>
        <v>2.0</v>
      </c>
      <c r="N38" s="8"/>
      <c r="O38" s="8">
        <v>2.0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</row>
    <row r="39" ht="15.75" customHeight="1">
      <c r="A39" s="11" t="s">
        <v>77</v>
      </c>
      <c r="B39" s="8">
        <f t="shared" si="2"/>
        <v>12.5</v>
      </c>
      <c r="C39" s="8"/>
      <c r="D39" s="8"/>
      <c r="E39" s="8"/>
      <c r="F39" s="8"/>
      <c r="G39" s="8"/>
      <c r="H39" s="8"/>
      <c r="I39" s="8"/>
      <c r="J39" s="8"/>
      <c r="K39" s="8"/>
      <c r="L39" s="8">
        <v>2.0</v>
      </c>
      <c r="M39" s="8">
        <v>2.0</v>
      </c>
      <c r="N39" s="8"/>
      <c r="O39" s="8"/>
      <c r="P39" s="8">
        <v>2.0</v>
      </c>
      <c r="Q39" s="8">
        <v>2.0</v>
      </c>
      <c r="R39" s="8">
        <v>2.5</v>
      </c>
      <c r="S39" s="8"/>
      <c r="T39" s="8"/>
      <c r="U39" s="8"/>
      <c r="V39" s="8">
        <v>2.0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</row>
    <row r="40" ht="15.75" customHeight="1">
      <c r="A40" s="11" t="s">
        <v>78</v>
      </c>
      <c r="B40" s="8">
        <f t="shared" si="2"/>
        <v>6.5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>
        <v>2.0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>
        <v>2.5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20">
        <v>2.0</v>
      </c>
      <c r="AS40" s="8"/>
      <c r="AT40" s="8"/>
      <c r="AU40" s="8"/>
      <c r="AV40" s="8"/>
      <c r="AW40" s="8"/>
      <c r="AX40" s="8"/>
      <c r="AY40" s="8"/>
      <c r="AZ40" s="8"/>
      <c r="BA40" s="8"/>
      <c r="BB40" s="8"/>
    </row>
    <row r="41" ht="15.75" customHeight="1">
      <c r="A41" s="11" t="s">
        <v>79</v>
      </c>
      <c r="B41" s="8">
        <f t="shared" si="2"/>
        <v>6.5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>
        <v>2.0</v>
      </c>
      <c r="N41" s="8"/>
      <c r="O41" s="8">
        <v>2.0</v>
      </c>
      <c r="P41" s="8"/>
      <c r="Q41" s="8"/>
      <c r="R41" s="8"/>
      <c r="S41" s="8">
        <v>2.5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</row>
    <row r="42" ht="15.75" customHeight="1">
      <c r="A42" s="11" t="s">
        <v>80</v>
      </c>
      <c r="B42" s="8">
        <f t="shared" si="2"/>
        <v>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>
        <v>2.0</v>
      </c>
      <c r="O42" s="8"/>
      <c r="P42" s="8"/>
      <c r="Q42" s="8"/>
      <c r="R42" s="8"/>
      <c r="S42" s="8"/>
      <c r="T42" s="8"/>
      <c r="U42" s="8"/>
      <c r="V42" s="8">
        <v>2.0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</row>
    <row r="43" ht="15.75" customHeight="1">
      <c r="A43" s="11" t="s">
        <v>81</v>
      </c>
      <c r="B43" s="8">
        <f t="shared" si="2"/>
        <v>2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>
        <v>2.0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</row>
    <row r="44" ht="15.75" customHeight="1">
      <c r="A44" s="11" t="s">
        <v>82</v>
      </c>
      <c r="B44" s="8">
        <f t="shared" si="2"/>
        <v>2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>
        <v>2.0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</row>
    <row r="45" ht="15.75" customHeight="1">
      <c r="A45" s="11" t="s">
        <v>238</v>
      </c>
      <c r="B45" s="8">
        <f t="shared" si="2"/>
        <v>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>
        <v>2.0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</row>
    <row r="46" ht="15.75" customHeight="1">
      <c r="A46" s="11" t="s">
        <v>96</v>
      </c>
      <c r="B46" s="8">
        <f t="shared" si="2"/>
        <v>8.5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>
        <v>2.0</v>
      </c>
      <c r="Q46" s="8"/>
      <c r="R46" s="8"/>
      <c r="S46" s="8"/>
      <c r="T46" s="8"/>
      <c r="U46" s="8"/>
      <c r="V46" s="8"/>
      <c r="W46" s="8">
        <v>2.0</v>
      </c>
      <c r="X46" s="8"/>
      <c r="Y46" s="8"/>
      <c r="Z46" s="8"/>
      <c r="AA46" s="8"/>
      <c r="AB46" s="8">
        <v>2.0</v>
      </c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20">
        <v>2.5</v>
      </c>
      <c r="AU46" s="8"/>
      <c r="AV46" s="8"/>
      <c r="AW46" s="8"/>
      <c r="AX46" s="8"/>
      <c r="AY46" s="8"/>
      <c r="AZ46" s="8"/>
      <c r="BA46" s="8"/>
      <c r="BB46" s="8"/>
    </row>
    <row r="47" ht="15.75" customHeight="1">
      <c r="A47" s="11" t="s">
        <v>239</v>
      </c>
      <c r="B47" s="8">
        <f t="shared" si="2"/>
        <v>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>
        <v>2.0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</row>
    <row r="48" ht="15.75" customHeight="1">
      <c r="A48" s="11" t="s">
        <v>240</v>
      </c>
      <c r="B48" s="8">
        <f t="shared" si="2"/>
        <v>4.75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>
        <v>2.5</v>
      </c>
      <c r="S48" s="8"/>
      <c r="T48" s="8"/>
      <c r="U48" s="8"/>
      <c r="V48" s="8"/>
      <c r="W48" s="8"/>
      <c r="X48" s="8"/>
      <c r="Y48" s="8">
        <v>2.25</v>
      </c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</row>
    <row r="49" ht="15.75" customHeight="1">
      <c r="A49" s="11" t="s">
        <v>37</v>
      </c>
      <c r="B49" s="8">
        <f t="shared" si="2"/>
        <v>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>
        <v>3.0</v>
      </c>
      <c r="U49" s="8">
        <v>1.5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20">
        <v>2.5</v>
      </c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</row>
    <row r="50" ht="15.75" customHeight="1">
      <c r="A50" s="11" t="s">
        <v>83</v>
      </c>
      <c r="B50" s="8">
        <f t="shared" si="2"/>
        <v>2.5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>
        <v>2.5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</row>
    <row r="51" ht="15.75" customHeight="1">
      <c r="A51" s="11" t="s">
        <v>109</v>
      </c>
      <c r="B51" s="8">
        <f t="shared" si="2"/>
        <v>21.75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>
        <v>2.5</v>
      </c>
      <c r="V51" s="8">
        <v>2.0</v>
      </c>
      <c r="W51" s="8"/>
      <c r="X51" s="8">
        <v>2.5</v>
      </c>
      <c r="Y51" s="8"/>
      <c r="Z51" s="8">
        <v>2.5</v>
      </c>
      <c r="AA51" s="8">
        <v>2.0</v>
      </c>
      <c r="AB51" s="8">
        <v>2.0</v>
      </c>
      <c r="AC51" s="8"/>
      <c r="AD51" s="8"/>
      <c r="AE51" s="8">
        <v>2.0</v>
      </c>
      <c r="AF51" s="8"/>
      <c r="AG51" s="8"/>
      <c r="AH51" s="8"/>
      <c r="AI51" s="8"/>
      <c r="AJ51" s="8">
        <v>2.0</v>
      </c>
      <c r="AK51" s="8"/>
      <c r="AL51" s="8"/>
      <c r="AM51" s="8"/>
      <c r="AN51" s="8"/>
      <c r="AO51" s="8"/>
      <c r="AP51" s="8">
        <v>2.0</v>
      </c>
      <c r="AQ51" s="8"/>
      <c r="AR51" s="8"/>
      <c r="AS51" s="8"/>
      <c r="AT51" s="8"/>
      <c r="AU51" s="8"/>
      <c r="AV51" s="8"/>
      <c r="AW51" s="8"/>
      <c r="AX51" s="8"/>
      <c r="AY51" s="21">
        <v>2.25</v>
      </c>
      <c r="AZ51" s="8"/>
      <c r="BA51" s="8"/>
      <c r="BB51" s="8"/>
    </row>
    <row r="52" ht="15.75" customHeight="1">
      <c r="A52" s="11" t="s">
        <v>90</v>
      </c>
      <c r="B52" s="8">
        <f t="shared" si="2"/>
        <v>11.25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>
        <v>2.5</v>
      </c>
      <c r="V52" s="8"/>
      <c r="W52" s="8">
        <v>2.0</v>
      </c>
      <c r="X52" s="8">
        <v>2.5</v>
      </c>
      <c r="Y52" s="8"/>
      <c r="Z52" s="8">
        <v>2.5</v>
      </c>
      <c r="AA52" s="8"/>
      <c r="AB52" s="8"/>
      <c r="AC52" s="8">
        <v>1.75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</row>
    <row r="53" ht="15.75" customHeight="1">
      <c r="A53" s="11" t="s">
        <v>241</v>
      </c>
      <c r="B53" s="8">
        <f t="shared" si="2"/>
        <v>2.5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>
        <v>2.5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</row>
    <row r="54" ht="15.75" customHeight="1">
      <c r="A54" s="11" t="s">
        <v>119</v>
      </c>
      <c r="B54" s="8">
        <f t="shared" si="2"/>
        <v>27.75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>
        <v>2.5</v>
      </c>
      <c r="V54" s="8"/>
      <c r="W54" s="8">
        <v>2.0</v>
      </c>
      <c r="X54" s="8">
        <v>2.5</v>
      </c>
      <c r="Y54" s="8">
        <v>2.25</v>
      </c>
      <c r="Z54" s="8">
        <v>2.5</v>
      </c>
      <c r="AA54" s="8">
        <v>2.0</v>
      </c>
      <c r="AB54" s="8">
        <v>2.0</v>
      </c>
      <c r="AC54" s="8">
        <v>1.75</v>
      </c>
      <c r="AD54" s="8">
        <v>2.0</v>
      </c>
      <c r="AE54" s="8">
        <v>2.0</v>
      </c>
      <c r="AF54" s="8"/>
      <c r="AG54" s="8"/>
      <c r="AH54" s="8"/>
      <c r="AI54" s="8">
        <v>2.0</v>
      </c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20">
        <v>2.25</v>
      </c>
      <c r="BA54" s="20">
        <v>2.0</v>
      </c>
      <c r="BB54" s="8"/>
    </row>
    <row r="55" ht="15.75" customHeight="1">
      <c r="A55" s="11" t="s">
        <v>117</v>
      </c>
      <c r="B55" s="8">
        <f t="shared" si="2"/>
        <v>23.5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>
        <v>4.0</v>
      </c>
      <c r="W55" s="8"/>
      <c r="X55" s="8"/>
      <c r="Y55" s="8"/>
      <c r="Z55" s="8"/>
      <c r="AA55" s="8"/>
      <c r="AB55" s="8"/>
      <c r="AC55" s="8">
        <v>1.75</v>
      </c>
      <c r="AD55" s="8"/>
      <c r="AE55" s="8"/>
      <c r="AF55" s="8">
        <v>2.5</v>
      </c>
      <c r="AG55" s="8"/>
      <c r="AH55" s="8">
        <v>2.5</v>
      </c>
      <c r="AI55" s="8">
        <v>2.0</v>
      </c>
      <c r="AJ55" s="8"/>
      <c r="AK55" s="8">
        <v>3.0</v>
      </c>
      <c r="AL55" s="8">
        <v>2.0</v>
      </c>
      <c r="AM55" s="8">
        <v>2.25</v>
      </c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20">
        <v>2.5</v>
      </c>
      <c r="AY55" s="8"/>
      <c r="AZ55" s="8"/>
      <c r="BA55" s="20">
        <v>1.0</v>
      </c>
      <c r="BB55" s="8"/>
    </row>
    <row r="56" ht="15.75" customHeight="1">
      <c r="A56" s="11" t="s">
        <v>32</v>
      </c>
      <c r="B56" s="8">
        <f t="shared" si="2"/>
        <v>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>
        <v>2.0</v>
      </c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</row>
    <row r="57" ht="15.75" customHeight="1">
      <c r="A57" s="11" t="s">
        <v>29</v>
      </c>
      <c r="B57" s="8">
        <f t="shared" si="2"/>
        <v>9.75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>
        <v>2.5</v>
      </c>
      <c r="Y57" s="8">
        <v>2.25</v>
      </c>
      <c r="Z57" s="8"/>
      <c r="AA57" s="8">
        <v>2.0</v>
      </c>
      <c r="AB57" s="8">
        <v>2.0</v>
      </c>
      <c r="AC57" s="8"/>
      <c r="AD57" s="8"/>
      <c r="AE57" s="8">
        <v>1.0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</row>
    <row r="58" ht="15.75" customHeight="1">
      <c r="A58" s="11" t="s">
        <v>242</v>
      </c>
      <c r="B58" s="8">
        <f t="shared" si="2"/>
        <v>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>
        <v>1.0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</row>
    <row r="59" ht="15.75" customHeight="1">
      <c r="A59" s="11" t="s">
        <v>243</v>
      </c>
      <c r="B59" s="8">
        <f t="shared" si="2"/>
        <v>4.25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>
        <v>2.25</v>
      </c>
      <c r="Z59" s="8"/>
      <c r="AA59" s="8">
        <v>2.0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</row>
    <row r="60" ht="15.75" customHeight="1">
      <c r="A60" s="11" t="s">
        <v>100</v>
      </c>
      <c r="B60" s="8">
        <f t="shared" si="2"/>
        <v>7.25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>
        <v>2.25</v>
      </c>
      <c r="Z60" s="8"/>
      <c r="AA60" s="8"/>
      <c r="AB60" s="8"/>
      <c r="AC60" s="8"/>
      <c r="AD60" s="8"/>
      <c r="AE60" s="8"/>
      <c r="AF60" s="8"/>
      <c r="AG60" s="8">
        <v>1.0</v>
      </c>
      <c r="AH60" s="8"/>
      <c r="AI60" s="8"/>
      <c r="AJ60" s="8"/>
      <c r="AK60" s="8"/>
      <c r="AL60" s="8"/>
      <c r="AM60" s="8">
        <v>2.25</v>
      </c>
      <c r="AN60" s="8"/>
      <c r="AO60" s="8"/>
      <c r="AP60" s="8"/>
      <c r="AQ60" s="8"/>
      <c r="AR60" s="20">
        <v>1.75</v>
      </c>
      <c r="AS60" s="8"/>
      <c r="AT60" s="8"/>
      <c r="AU60" s="8"/>
      <c r="AV60" s="8"/>
      <c r="AW60" s="8"/>
      <c r="AX60" s="8"/>
      <c r="AY60" s="8"/>
      <c r="AZ60" s="8"/>
      <c r="BA60" s="8"/>
      <c r="BB60" s="8"/>
    </row>
    <row r="61" ht="15.75" customHeight="1">
      <c r="A61" s="11" t="s">
        <v>110</v>
      </c>
      <c r="B61" s="8">
        <f t="shared" si="2"/>
        <v>6.5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>
        <v>2.5</v>
      </c>
      <c r="AA61" s="8">
        <v>2.0</v>
      </c>
      <c r="AB61" s="8"/>
      <c r="AC61" s="8"/>
      <c r="AD61" s="8">
        <v>2.0</v>
      </c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</row>
    <row r="62" ht="15.75" customHeight="1">
      <c r="A62" s="11" t="s">
        <v>244</v>
      </c>
      <c r="B62" s="8">
        <f t="shared" si="2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</row>
    <row r="63" ht="15.75" customHeight="1">
      <c r="A63" s="11" t="s">
        <v>245</v>
      </c>
      <c r="B63" s="8">
        <f t="shared" si="2"/>
        <v>25.25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>
        <v>2.0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>
        <v>2.5</v>
      </c>
      <c r="AQ63" s="20">
        <v>2.5</v>
      </c>
      <c r="AR63" s="20">
        <v>2.0</v>
      </c>
      <c r="AS63" s="8"/>
      <c r="AT63" s="8"/>
      <c r="AU63" s="8"/>
      <c r="AV63" s="21">
        <v>2.5</v>
      </c>
      <c r="AW63" s="20">
        <v>2.5</v>
      </c>
      <c r="AX63" s="20">
        <v>2.5</v>
      </c>
      <c r="AY63" s="21">
        <v>2.5</v>
      </c>
      <c r="AZ63" s="20">
        <v>2.25</v>
      </c>
      <c r="BA63" s="20">
        <v>2.0</v>
      </c>
      <c r="BB63" s="20">
        <v>2.0</v>
      </c>
    </row>
    <row r="64" ht="15.75" customHeight="1">
      <c r="A64" s="11" t="s">
        <v>246</v>
      </c>
      <c r="B64" s="8">
        <f t="shared" si="2"/>
        <v>2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>
        <v>2.0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</row>
    <row r="65" ht="15.75" customHeight="1">
      <c r="A65" s="11" t="s">
        <v>142</v>
      </c>
      <c r="B65" s="8">
        <f t="shared" si="2"/>
        <v>12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>
        <v>2.0</v>
      </c>
      <c r="AC65" s="8">
        <v>1.75</v>
      </c>
      <c r="AD65" s="8"/>
      <c r="AE65" s="8"/>
      <c r="AF65" s="8"/>
      <c r="AG65" s="8">
        <v>2.25</v>
      </c>
      <c r="AH65" s="8">
        <v>2.5</v>
      </c>
      <c r="AI65" s="8"/>
      <c r="AJ65" s="8"/>
      <c r="AK65" s="8">
        <v>1.5</v>
      </c>
      <c r="AL65" s="8"/>
      <c r="AM65" s="8"/>
      <c r="AN65" s="8"/>
      <c r="AO65" s="8"/>
      <c r="AP65" s="8">
        <v>2.0</v>
      </c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</row>
    <row r="66" ht="15.75" customHeight="1">
      <c r="A66" s="11" t="s">
        <v>247</v>
      </c>
      <c r="B66" s="8">
        <f t="shared" si="2"/>
        <v>2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>
        <v>2.0</v>
      </c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</row>
    <row r="67" ht="15.75" customHeight="1">
      <c r="A67" s="11" t="s">
        <v>248</v>
      </c>
      <c r="B67" s="8">
        <f t="shared" si="2"/>
        <v>1.75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>
        <v>1.75</v>
      </c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</row>
    <row r="68" ht="15.75" customHeight="1">
      <c r="A68" s="11" t="s">
        <v>249</v>
      </c>
      <c r="B68" s="8">
        <f t="shared" si="2"/>
        <v>4.25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>
        <v>1.75</v>
      </c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21">
        <v>2.5</v>
      </c>
      <c r="AW68" s="8"/>
      <c r="AX68" s="8"/>
      <c r="AY68" s="8"/>
      <c r="AZ68" s="8"/>
      <c r="BA68" s="8"/>
      <c r="BB68" s="8"/>
    </row>
    <row r="69" ht="15.75" customHeight="1">
      <c r="A69" s="11" t="s">
        <v>250</v>
      </c>
      <c r="B69" s="8">
        <f t="shared" si="2"/>
        <v>26.25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>
        <v>2.0</v>
      </c>
      <c r="AE69" s="8">
        <v>2.0</v>
      </c>
      <c r="AF69" s="8">
        <v>2.5</v>
      </c>
      <c r="AG69" s="8">
        <v>2.25</v>
      </c>
      <c r="AH69" s="8">
        <v>2.0</v>
      </c>
      <c r="AI69" s="8">
        <v>2.0</v>
      </c>
      <c r="AJ69" s="8"/>
      <c r="AK69" s="8"/>
      <c r="AL69" s="8">
        <v>2.0</v>
      </c>
      <c r="AM69" s="8">
        <v>2.25</v>
      </c>
      <c r="AN69" s="8">
        <v>2.0</v>
      </c>
      <c r="AO69" s="8">
        <v>2.75</v>
      </c>
      <c r="AP69" s="8">
        <v>2.5</v>
      </c>
      <c r="AQ69" s="8"/>
      <c r="AR69" s="8"/>
      <c r="AS69" s="20">
        <v>2.0</v>
      </c>
      <c r="AT69" s="20"/>
      <c r="AU69" s="8"/>
      <c r="AV69" s="8"/>
      <c r="AW69" s="8"/>
      <c r="AX69" s="8"/>
      <c r="AY69" s="8"/>
      <c r="AZ69" s="8"/>
      <c r="BA69" s="8"/>
      <c r="BB69" s="8"/>
    </row>
    <row r="70" ht="15.75" customHeight="1">
      <c r="A70" s="11" t="s">
        <v>91</v>
      </c>
      <c r="B70" s="8">
        <f t="shared" si="2"/>
        <v>2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>
        <v>2.0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</row>
    <row r="71" ht="15.75" customHeight="1">
      <c r="A71" s="11" t="s">
        <v>99</v>
      </c>
      <c r="B71" s="8">
        <f t="shared" si="2"/>
        <v>8.25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>
        <v>2.0</v>
      </c>
      <c r="AF71" s="8"/>
      <c r="AG71" s="8"/>
      <c r="AH71" s="8"/>
      <c r="AI71" s="8"/>
      <c r="AJ71" s="8"/>
      <c r="AK71" s="8"/>
      <c r="AL71" s="8">
        <v>2.0</v>
      </c>
      <c r="AM71" s="8">
        <v>2.25</v>
      </c>
      <c r="AN71" s="8"/>
      <c r="AO71" s="8"/>
      <c r="AP71" s="8"/>
      <c r="AQ71" s="8"/>
      <c r="AR71" s="8"/>
      <c r="AS71" s="20">
        <v>2.0</v>
      </c>
      <c r="AT71" s="20"/>
      <c r="AU71" s="8"/>
      <c r="AV71" s="8"/>
      <c r="AW71" s="8"/>
      <c r="AX71" s="8"/>
      <c r="AY71" s="8"/>
      <c r="AZ71" s="8"/>
      <c r="BA71" s="8"/>
      <c r="BB71" s="8"/>
    </row>
    <row r="72" ht="15.75" customHeight="1">
      <c r="A72" s="11" t="s">
        <v>251</v>
      </c>
      <c r="B72" s="8">
        <f t="shared" si="2"/>
        <v>2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>
        <v>2.0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</row>
    <row r="73" ht="15.75" customHeight="1">
      <c r="A73" s="11" t="s">
        <v>150</v>
      </c>
      <c r="B73" s="8">
        <f t="shared" si="2"/>
        <v>9.25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>
        <v>2.5</v>
      </c>
      <c r="AH73" s="8"/>
      <c r="AI73" s="8"/>
      <c r="AJ73" s="8"/>
      <c r="AK73" s="8"/>
      <c r="AL73" s="8"/>
      <c r="AM73" s="8"/>
      <c r="AN73" s="8">
        <v>2.0</v>
      </c>
      <c r="AO73" s="8">
        <v>2.75</v>
      </c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20">
        <v>2.0</v>
      </c>
    </row>
    <row r="74" ht="15.75" customHeight="1">
      <c r="A74" s="11" t="s">
        <v>252</v>
      </c>
      <c r="B74" s="8">
        <f t="shared" si="2"/>
        <v>3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>
        <v>1.0</v>
      </c>
      <c r="AH74" s="8"/>
      <c r="AI74" s="8"/>
      <c r="AJ74" s="8">
        <v>2.0</v>
      </c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</row>
    <row r="75" ht="15.75" customHeight="1">
      <c r="A75" s="11" t="s">
        <v>253</v>
      </c>
      <c r="B75" s="8">
        <f t="shared" si="2"/>
        <v>2.5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>
        <v>2.5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</row>
    <row r="76" ht="15.75" customHeight="1">
      <c r="A76" s="11" t="s">
        <v>254</v>
      </c>
      <c r="B76" s="8">
        <f t="shared" si="2"/>
        <v>7.5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>
        <v>2.5</v>
      </c>
      <c r="AH76" s="8">
        <v>2.5</v>
      </c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20">
        <v>2.5</v>
      </c>
      <c r="AY76" s="8"/>
      <c r="AZ76" s="8"/>
      <c r="BA76" s="8"/>
      <c r="BB76" s="8"/>
    </row>
    <row r="77" ht="15.75" customHeight="1">
      <c r="A77" s="11" t="s">
        <v>255</v>
      </c>
      <c r="B77" s="8">
        <f t="shared" si="2"/>
        <v>2.5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>
        <v>2.5</v>
      </c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</row>
    <row r="78" ht="15.75" customHeight="1">
      <c r="A78" s="11" t="s">
        <v>256</v>
      </c>
      <c r="B78" s="8">
        <f t="shared" si="2"/>
        <v>3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>
        <v>2.0</v>
      </c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20">
        <v>1.0</v>
      </c>
      <c r="BA78" s="8"/>
      <c r="BB78" s="8"/>
    </row>
    <row r="79" ht="15.75" customHeight="1">
      <c r="A79" s="11" t="s">
        <v>257</v>
      </c>
      <c r="B79" s="8">
        <f t="shared" si="2"/>
        <v>2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>
        <v>2.0</v>
      </c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</row>
    <row r="80" ht="15.75" customHeight="1">
      <c r="A80" s="11" t="s">
        <v>258</v>
      </c>
      <c r="B80" s="8">
        <f t="shared" si="2"/>
        <v>7.5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>
        <v>2.0</v>
      </c>
      <c r="AK80" s="8">
        <v>3.0</v>
      </c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21">
        <v>2.5</v>
      </c>
      <c r="AW80" s="8"/>
      <c r="AX80" s="8"/>
      <c r="AY80" s="8"/>
      <c r="AZ80" s="8"/>
      <c r="BA80" s="8"/>
      <c r="BB80" s="8"/>
    </row>
    <row r="81" ht="15.75" customHeight="1">
      <c r="A81" s="11" t="s">
        <v>259</v>
      </c>
      <c r="B81" s="8">
        <f t="shared" si="2"/>
        <v>3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>
        <v>3.0</v>
      </c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</row>
    <row r="82" ht="15.75" customHeight="1">
      <c r="A82" s="11" t="s">
        <v>167</v>
      </c>
      <c r="B82" s="8">
        <f t="shared" si="2"/>
        <v>29.25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L82" s="8">
        <v>2.0</v>
      </c>
      <c r="AM82" s="8">
        <v>2.25</v>
      </c>
      <c r="AN82" s="8">
        <v>2.0</v>
      </c>
      <c r="AO82" s="8">
        <v>2.75</v>
      </c>
      <c r="AP82" s="8">
        <v>2.5</v>
      </c>
      <c r="AQ82" s="20">
        <v>2.5</v>
      </c>
      <c r="AR82" s="8"/>
      <c r="AS82" s="20">
        <v>2.0</v>
      </c>
      <c r="AT82" s="20"/>
      <c r="AU82" s="8"/>
      <c r="AV82" s="8"/>
      <c r="AW82" s="20">
        <v>2.5</v>
      </c>
      <c r="AX82" s="20">
        <v>2.5</v>
      </c>
      <c r="AY82" s="21">
        <v>2.0</v>
      </c>
      <c r="AZ82" s="20">
        <v>2.25</v>
      </c>
      <c r="BA82" s="20">
        <v>2.0</v>
      </c>
      <c r="BB82" s="20">
        <v>2.0</v>
      </c>
    </row>
    <row r="83" ht="15.75" customHeight="1">
      <c r="A83" s="11" t="s">
        <v>151</v>
      </c>
      <c r="B83" s="8">
        <f t="shared" si="2"/>
        <v>2.25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>
        <v>2.25</v>
      </c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</row>
    <row r="84" ht="15.75" customHeight="1">
      <c r="A84" s="11" t="s">
        <v>260</v>
      </c>
      <c r="B84" s="8">
        <f t="shared" si="2"/>
        <v>2.25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>
        <v>2.25</v>
      </c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</row>
    <row r="85" ht="15.75" customHeight="1">
      <c r="A85" s="11" t="s">
        <v>261</v>
      </c>
      <c r="B85" s="8">
        <f t="shared" si="2"/>
        <v>2.25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>
        <v>2.25</v>
      </c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</row>
    <row r="86" ht="15.75" customHeight="1">
      <c r="A86" s="11" t="s">
        <v>262</v>
      </c>
      <c r="B86" s="8">
        <f t="shared" si="2"/>
        <v>9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>
        <v>2.0</v>
      </c>
      <c r="AO86" s="8">
        <v>2.25</v>
      </c>
      <c r="AP86" s="8">
        <v>2.25</v>
      </c>
      <c r="AQ86" s="8"/>
      <c r="AR86" s="8"/>
      <c r="AS86" s="8"/>
      <c r="AT86" s="8"/>
      <c r="AU86" s="8"/>
      <c r="AV86" s="21">
        <v>2.5</v>
      </c>
      <c r="AW86" s="8"/>
      <c r="AX86" s="8"/>
      <c r="AY86" s="8"/>
      <c r="AZ86" s="8"/>
      <c r="BA86" s="8"/>
      <c r="BB86" s="8"/>
    </row>
    <row r="87" ht="15.75" customHeight="1">
      <c r="A87" s="11" t="s">
        <v>188</v>
      </c>
      <c r="B87" s="8">
        <f t="shared" si="2"/>
        <v>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>
        <v>2.0</v>
      </c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</row>
    <row r="88" ht="15.75" customHeight="1">
      <c r="A88" s="11" t="s">
        <v>263</v>
      </c>
      <c r="B88" s="8">
        <f t="shared" si="2"/>
        <v>6.25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>
        <v>2.0</v>
      </c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20">
        <v>2.25</v>
      </c>
      <c r="BA88" s="20">
        <v>2.0</v>
      </c>
      <c r="BB88" s="8"/>
    </row>
    <row r="89" ht="15.75" customHeight="1">
      <c r="A89" s="11" t="s">
        <v>264</v>
      </c>
      <c r="B89" s="8">
        <f t="shared" si="2"/>
        <v>4.5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>
        <v>2.0</v>
      </c>
      <c r="AO89" s="8"/>
      <c r="AP89" s="8"/>
      <c r="AQ89" s="8"/>
      <c r="AR89" s="8"/>
      <c r="AS89" s="8"/>
      <c r="AT89" s="8"/>
      <c r="AU89" s="8"/>
      <c r="AV89" s="21">
        <v>2.5</v>
      </c>
      <c r="AW89" s="8"/>
      <c r="AX89" s="8"/>
      <c r="AY89" s="8"/>
      <c r="AZ89" s="8"/>
      <c r="BA89" s="8"/>
      <c r="BB89" s="8"/>
    </row>
    <row r="90" ht="15.75" customHeight="1">
      <c r="A90" s="11" t="s">
        <v>265</v>
      </c>
      <c r="B90" s="8">
        <f t="shared" si="2"/>
        <v>2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>
        <v>2.0</v>
      </c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</row>
    <row r="91" ht="15.75" customHeight="1">
      <c r="A91" s="11" t="s">
        <v>266</v>
      </c>
      <c r="B91" s="8">
        <f t="shared" si="2"/>
        <v>2.75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>
        <v>2.75</v>
      </c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20"/>
      <c r="BA91" s="8"/>
      <c r="BB91" s="8"/>
    </row>
    <row r="92" ht="15.75" customHeight="1">
      <c r="A92" s="11" t="s">
        <v>149</v>
      </c>
      <c r="B92" s="8">
        <f t="shared" si="2"/>
        <v>16.5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>
        <v>2.75</v>
      </c>
      <c r="AP92" s="8"/>
      <c r="AQ92" s="8"/>
      <c r="AR92" s="8"/>
      <c r="AS92" s="8"/>
      <c r="AT92" s="20">
        <v>2.5</v>
      </c>
      <c r="AU92" s="20">
        <v>2.25</v>
      </c>
      <c r="AV92" s="21">
        <v>2.5</v>
      </c>
      <c r="AW92" s="20">
        <v>2.5</v>
      </c>
      <c r="AX92" s="8"/>
      <c r="AY92" s="21">
        <v>2.0</v>
      </c>
      <c r="AZ92" s="8"/>
      <c r="BA92" s="8"/>
      <c r="BB92" s="20">
        <v>2.0</v>
      </c>
    </row>
    <row r="93" ht="15.75" customHeight="1">
      <c r="A93" s="11" t="s">
        <v>267</v>
      </c>
      <c r="B93" s="8">
        <f t="shared" si="2"/>
        <v>2.75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>
        <v>2.75</v>
      </c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</row>
    <row r="94" ht="15.75" customHeight="1">
      <c r="A94" s="11" t="s">
        <v>268</v>
      </c>
      <c r="B94" s="8">
        <f t="shared" si="2"/>
        <v>2.25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>
        <v>2.25</v>
      </c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</row>
    <row r="95" ht="15.75" customHeight="1">
      <c r="A95" s="11" t="s">
        <v>269</v>
      </c>
      <c r="B95" s="8">
        <f t="shared" si="2"/>
        <v>2.25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>
        <v>2.25</v>
      </c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</row>
    <row r="96" ht="15.75" customHeight="1">
      <c r="A96" s="11" t="s">
        <v>270</v>
      </c>
      <c r="B96" s="8">
        <f t="shared" si="2"/>
        <v>2.5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>
        <v>2.5</v>
      </c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</row>
    <row r="97" ht="15.75" customHeight="1">
      <c r="A97" s="11" t="s">
        <v>271</v>
      </c>
      <c r="B97" s="8">
        <f t="shared" si="2"/>
        <v>2.25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>
        <v>2.25</v>
      </c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</row>
    <row r="98" ht="15.75" customHeight="1">
      <c r="A98" s="12" t="s">
        <v>272</v>
      </c>
      <c r="B98" s="8">
        <f t="shared" si="2"/>
        <v>4.5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20">
        <v>2.5</v>
      </c>
      <c r="AR98" s="20">
        <v>2.0</v>
      </c>
      <c r="AS98" s="8"/>
      <c r="AT98" s="8"/>
      <c r="AU98" s="8"/>
      <c r="AV98" s="8"/>
      <c r="AW98" s="8"/>
      <c r="AX98" s="8"/>
      <c r="AY98" s="8"/>
      <c r="AZ98" s="8"/>
      <c r="BA98" s="8"/>
      <c r="BB98" s="8"/>
    </row>
    <row r="99" ht="15.75" customHeight="1">
      <c r="A99" s="12" t="s">
        <v>170</v>
      </c>
      <c r="B99" s="8">
        <f t="shared" si="2"/>
        <v>2.5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20">
        <v>2.5</v>
      </c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</row>
    <row r="100" ht="15.75" customHeight="1">
      <c r="A100" s="12" t="s">
        <v>273</v>
      </c>
      <c r="B100" s="8">
        <f t="shared" si="2"/>
        <v>4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20">
        <v>2.0</v>
      </c>
      <c r="AS100" s="20">
        <v>2.0</v>
      </c>
      <c r="AT100" s="20"/>
      <c r="AU100" s="8"/>
      <c r="AV100" s="8"/>
      <c r="AW100" s="8"/>
      <c r="AX100" s="8"/>
      <c r="AY100" s="8"/>
      <c r="AZ100" s="8"/>
      <c r="BA100" s="8"/>
      <c r="BB100" s="8"/>
    </row>
    <row r="101" ht="15.75" customHeight="1">
      <c r="A101" s="12" t="s">
        <v>274</v>
      </c>
      <c r="B101" s="8">
        <f t="shared" si="2"/>
        <v>2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20">
        <v>2.0</v>
      </c>
      <c r="AS101" s="8"/>
      <c r="AT101" s="8"/>
      <c r="AU101" s="8"/>
      <c r="AV101" s="8"/>
      <c r="AW101" s="8"/>
      <c r="AX101" s="8"/>
      <c r="AY101" s="8"/>
      <c r="AZ101" s="8"/>
      <c r="BA101" s="8"/>
      <c r="BB101" s="8"/>
    </row>
    <row r="102" ht="15.75" customHeight="1">
      <c r="A102" s="12" t="s">
        <v>275</v>
      </c>
      <c r="B102" s="8">
        <f t="shared" si="2"/>
        <v>1.25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20">
        <v>1.25</v>
      </c>
      <c r="AS102" s="8"/>
      <c r="AT102" s="8"/>
      <c r="AU102" s="8"/>
      <c r="AV102" s="8"/>
      <c r="AW102" s="8"/>
      <c r="AX102" s="8"/>
      <c r="AY102" s="8"/>
      <c r="AZ102" s="8"/>
      <c r="BA102" s="8"/>
      <c r="BB102" s="8"/>
    </row>
    <row r="103" ht="15.75" customHeight="1">
      <c r="A103" s="12" t="s">
        <v>276</v>
      </c>
      <c r="B103" s="8">
        <f t="shared" si="2"/>
        <v>2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20">
        <v>2.0</v>
      </c>
      <c r="AT103" s="20"/>
      <c r="AU103" s="8"/>
      <c r="AV103" s="8"/>
      <c r="AW103" s="8"/>
      <c r="AX103" s="8"/>
      <c r="AY103" s="8"/>
      <c r="AZ103" s="8"/>
      <c r="BA103" s="8"/>
      <c r="BB103" s="8"/>
    </row>
    <row r="104" ht="15.75" customHeight="1">
      <c r="A104" s="12" t="s">
        <v>171</v>
      </c>
      <c r="B104" s="8">
        <f t="shared" si="2"/>
        <v>2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20">
        <v>2.0</v>
      </c>
      <c r="AT104" s="20"/>
      <c r="AU104" s="8"/>
      <c r="AV104" s="8"/>
      <c r="AW104" s="8"/>
      <c r="AX104" s="8"/>
      <c r="AY104" s="8"/>
      <c r="AZ104" s="8"/>
      <c r="BA104" s="8"/>
      <c r="BB104" s="8"/>
    </row>
    <row r="105" ht="15.75" customHeight="1">
      <c r="A105" s="12" t="s">
        <v>277</v>
      </c>
      <c r="B105" s="8">
        <f t="shared" si="2"/>
        <v>2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20">
        <v>2.0</v>
      </c>
      <c r="AT105" s="20"/>
      <c r="AU105" s="8"/>
      <c r="AV105" s="8"/>
      <c r="AW105" s="8"/>
      <c r="AX105" s="8"/>
      <c r="AY105" s="8"/>
      <c r="AZ105" s="8"/>
      <c r="BA105" s="8"/>
      <c r="BB105" s="8"/>
    </row>
    <row r="106" ht="15.75" customHeight="1">
      <c r="A106" s="12" t="s">
        <v>278</v>
      </c>
      <c r="B106" s="8">
        <f t="shared" si="2"/>
        <v>2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20">
        <v>2.0</v>
      </c>
      <c r="AT106" s="20"/>
      <c r="AU106" s="8"/>
      <c r="AV106" s="8"/>
      <c r="AW106" s="8"/>
      <c r="AX106" s="8"/>
      <c r="AY106" s="8"/>
      <c r="AZ106" s="8"/>
      <c r="BA106" s="8"/>
      <c r="BB106" s="8"/>
    </row>
    <row r="107" ht="15.75" customHeight="1">
      <c r="A107" s="12" t="s">
        <v>162</v>
      </c>
      <c r="B107" s="8">
        <f t="shared" si="2"/>
        <v>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20">
        <v>2.0</v>
      </c>
      <c r="AT107" s="20"/>
      <c r="AU107" s="8"/>
      <c r="AV107" s="8"/>
      <c r="AW107" s="8"/>
      <c r="AX107" s="8"/>
      <c r="AY107" s="8"/>
      <c r="AZ107" s="8"/>
      <c r="BA107" s="8"/>
      <c r="BB107" s="8"/>
    </row>
    <row r="108" ht="15.75" customHeight="1">
      <c r="A108" s="12" t="s">
        <v>164</v>
      </c>
      <c r="B108" s="8">
        <f t="shared" si="2"/>
        <v>2.5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20"/>
      <c r="AT108" s="20">
        <v>2.5</v>
      </c>
      <c r="AU108" s="8"/>
      <c r="AV108" s="8"/>
      <c r="AW108" s="8"/>
      <c r="AX108" s="8"/>
      <c r="AY108" s="8"/>
      <c r="AZ108" s="8"/>
      <c r="BA108" s="8"/>
      <c r="BB108" s="8"/>
    </row>
    <row r="109" ht="15.75" customHeight="1">
      <c r="A109" s="12" t="s">
        <v>279</v>
      </c>
      <c r="B109" s="8">
        <f t="shared" si="2"/>
        <v>1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20">
        <v>1.0</v>
      </c>
      <c r="AU109" s="8"/>
      <c r="AV109" s="8"/>
      <c r="AW109" s="8"/>
      <c r="AX109" s="8"/>
      <c r="AY109" s="8"/>
      <c r="AZ109" s="8"/>
      <c r="BA109" s="8"/>
      <c r="BB109" s="8"/>
    </row>
    <row r="110" ht="15.75" customHeight="1">
      <c r="A110" s="12" t="s">
        <v>280</v>
      </c>
      <c r="B110" s="8">
        <f t="shared" si="2"/>
        <v>1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20">
        <v>1.0</v>
      </c>
      <c r="AU110" s="8"/>
      <c r="AV110" s="8"/>
      <c r="AW110" s="8"/>
      <c r="AX110" s="8"/>
      <c r="AY110" s="8"/>
      <c r="AZ110" s="8"/>
      <c r="BA110" s="8"/>
      <c r="BB110" s="8"/>
    </row>
    <row r="111" ht="15.75" customHeight="1">
      <c r="A111" s="12" t="s">
        <v>155</v>
      </c>
      <c r="B111" s="8">
        <f t="shared" si="2"/>
        <v>2.5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20">
        <v>2.5</v>
      </c>
      <c r="AU111" s="8"/>
      <c r="AV111" s="8"/>
      <c r="AW111" s="8"/>
      <c r="AX111" s="8"/>
      <c r="AY111" s="8"/>
      <c r="AZ111" s="8"/>
      <c r="BA111" s="8"/>
      <c r="BB111" s="8"/>
    </row>
    <row r="112" ht="15.75" customHeight="1">
      <c r="A112" s="12" t="s">
        <v>281</v>
      </c>
      <c r="B112" s="8">
        <f t="shared" si="2"/>
        <v>2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20">
        <v>2.0</v>
      </c>
      <c r="AV112" s="8"/>
      <c r="AW112" s="8"/>
      <c r="AX112" s="8"/>
      <c r="AY112" s="8"/>
      <c r="AZ112" s="8"/>
      <c r="BA112" s="8"/>
      <c r="BB112" s="8"/>
    </row>
    <row r="113" ht="15.75" customHeight="1">
      <c r="A113" s="12" t="s">
        <v>282</v>
      </c>
      <c r="B113" s="8">
        <f t="shared" si="2"/>
        <v>2.25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20">
        <v>2.25</v>
      </c>
      <c r="AV113" s="8"/>
      <c r="AW113" s="8"/>
      <c r="AX113" s="8"/>
      <c r="AY113" s="8"/>
      <c r="AZ113" s="8"/>
      <c r="BA113" s="8"/>
      <c r="BB113" s="8"/>
    </row>
    <row r="114" ht="15.75" customHeight="1">
      <c r="A114" s="12" t="s">
        <v>283</v>
      </c>
      <c r="B114" s="8">
        <f t="shared" si="2"/>
        <v>6.75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20">
        <v>2.25</v>
      </c>
      <c r="AV114" s="8"/>
      <c r="AW114" s="8"/>
      <c r="AX114" s="20">
        <v>2.5</v>
      </c>
      <c r="AY114" s="21">
        <v>2.0</v>
      </c>
      <c r="AZ114" s="8"/>
      <c r="BA114" s="8"/>
      <c r="BB114" s="8"/>
    </row>
    <row r="115" ht="15.75" customHeight="1">
      <c r="A115" s="12" t="s">
        <v>284</v>
      </c>
      <c r="B115" s="8">
        <f t="shared" si="2"/>
        <v>6.75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20">
        <v>2.25</v>
      </c>
      <c r="AV115" s="8"/>
      <c r="AW115" s="8"/>
      <c r="AX115" s="20">
        <v>2.5</v>
      </c>
      <c r="AY115" s="21">
        <v>2.0</v>
      </c>
      <c r="AZ115" s="8"/>
      <c r="BA115" s="8"/>
      <c r="BB115" s="8"/>
    </row>
    <row r="116" ht="15.75" customHeight="1">
      <c r="A116" s="12" t="s">
        <v>285</v>
      </c>
      <c r="B116" s="8">
        <f t="shared" si="2"/>
        <v>2.25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20">
        <v>2.25</v>
      </c>
      <c r="AV116" s="8"/>
      <c r="AW116" s="8"/>
      <c r="AX116" s="8"/>
      <c r="AY116" s="8"/>
      <c r="AZ116" s="8"/>
      <c r="BA116" s="8"/>
      <c r="BB116" s="8"/>
    </row>
    <row r="117" ht="15.75" customHeight="1">
      <c r="A117" s="12" t="s">
        <v>286</v>
      </c>
      <c r="B117" s="8">
        <f t="shared" si="2"/>
        <v>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20">
        <v>2.0</v>
      </c>
      <c r="AV117" s="8"/>
      <c r="AW117" s="8"/>
      <c r="AX117" s="8"/>
      <c r="AY117" s="8"/>
      <c r="AZ117" s="8"/>
      <c r="BA117" s="8"/>
      <c r="BB117" s="8"/>
    </row>
    <row r="118" ht="15.75" customHeight="1">
      <c r="A118" s="12" t="s">
        <v>287</v>
      </c>
      <c r="B118" s="8">
        <f t="shared" si="2"/>
        <v>2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20">
        <v>2.0</v>
      </c>
      <c r="AV118" s="8"/>
      <c r="AW118" s="8"/>
      <c r="AX118" s="8"/>
      <c r="AY118" s="8"/>
      <c r="AZ118" s="8"/>
      <c r="BA118" s="8"/>
      <c r="BB118" s="8"/>
    </row>
    <row r="119" ht="15.75" customHeight="1">
      <c r="A119" s="12" t="s">
        <v>288</v>
      </c>
      <c r="B119" s="8">
        <f t="shared" si="2"/>
        <v>1.75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20">
        <v>1.75</v>
      </c>
      <c r="AV119" s="8"/>
      <c r="AW119" s="8"/>
      <c r="AX119" s="8"/>
      <c r="AY119" s="8"/>
      <c r="AZ119" s="8"/>
      <c r="BA119" s="8"/>
      <c r="BB119" s="8"/>
    </row>
    <row r="120" ht="15.75" customHeight="1">
      <c r="A120" s="12" t="s">
        <v>289</v>
      </c>
      <c r="B120" s="8">
        <f t="shared" si="2"/>
        <v>1.75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20">
        <v>1.75</v>
      </c>
      <c r="AV120" s="8"/>
      <c r="AW120" s="8"/>
      <c r="AX120" s="8"/>
      <c r="AY120" s="8"/>
      <c r="AZ120" s="8"/>
      <c r="BA120" s="8"/>
      <c r="BB120" s="8"/>
    </row>
    <row r="121" ht="15.75" customHeight="1">
      <c r="A121" s="12" t="s">
        <v>290</v>
      </c>
      <c r="B121" s="8">
        <f t="shared" si="2"/>
        <v>1.75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20">
        <v>1.75</v>
      </c>
      <c r="AV121" s="8"/>
      <c r="AW121" s="8"/>
      <c r="AX121" s="8"/>
      <c r="AY121" s="8"/>
      <c r="AZ121" s="8"/>
      <c r="BA121" s="8"/>
      <c r="BB121" s="8"/>
    </row>
    <row r="122" ht="15.75" customHeight="1">
      <c r="A122" s="30" t="s">
        <v>291</v>
      </c>
      <c r="B122" s="8">
        <f t="shared" si="2"/>
        <v>2.5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21">
        <v>2.5</v>
      </c>
      <c r="AW122" s="8"/>
      <c r="AX122" s="8"/>
      <c r="AY122" s="8"/>
      <c r="AZ122" s="8"/>
      <c r="BA122" s="8"/>
      <c r="BB122" s="8"/>
    </row>
    <row r="123" ht="15.75" customHeight="1">
      <c r="A123" s="30" t="s">
        <v>292</v>
      </c>
      <c r="B123" s="8">
        <f t="shared" si="2"/>
        <v>2.5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21">
        <v>2.5</v>
      </c>
      <c r="AW123" s="8"/>
      <c r="AX123" s="8"/>
      <c r="AY123" s="8"/>
      <c r="AZ123" s="8"/>
      <c r="BA123" s="8"/>
      <c r="BB123" s="8"/>
    </row>
    <row r="124" ht="15.75" customHeight="1">
      <c r="A124" s="30" t="s">
        <v>169</v>
      </c>
      <c r="B124" s="8">
        <f t="shared" si="2"/>
        <v>2.5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21">
        <v>2.5</v>
      </c>
      <c r="AW124" s="8"/>
      <c r="AX124" s="8"/>
      <c r="AY124" s="8"/>
      <c r="AZ124" s="8"/>
      <c r="BA124" s="8"/>
      <c r="BB124" s="8"/>
    </row>
    <row r="125" ht="15.75" customHeight="1">
      <c r="A125" s="30" t="s">
        <v>293</v>
      </c>
      <c r="B125" s="8">
        <f t="shared" si="2"/>
        <v>4.5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21">
        <v>2.0</v>
      </c>
      <c r="AW125" s="20">
        <v>2.5</v>
      </c>
      <c r="AX125" s="8"/>
      <c r="AY125" s="8"/>
      <c r="AZ125" s="8"/>
      <c r="BA125" s="8"/>
      <c r="BB125" s="8"/>
    </row>
    <row r="126" ht="15.75" customHeight="1">
      <c r="A126" s="12" t="s">
        <v>294</v>
      </c>
      <c r="B126" s="8">
        <f t="shared" si="2"/>
        <v>2.5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20">
        <v>2.5</v>
      </c>
      <c r="AX126" s="8"/>
      <c r="AY126" s="8"/>
      <c r="AZ126" s="8"/>
      <c r="BA126" s="8"/>
      <c r="BB126" s="8"/>
    </row>
    <row r="127" ht="15.75" customHeight="1">
      <c r="A127" s="12" t="s">
        <v>295</v>
      </c>
      <c r="B127" s="8">
        <f t="shared" si="2"/>
        <v>2.5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20">
        <v>2.5</v>
      </c>
      <c r="AX127" s="8"/>
      <c r="AY127" s="8"/>
      <c r="AZ127" s="8"/>
      <c r="BA127" s="8"/>
      <c r="BB127" s="8"/>
    </row>
    <row r="128" ht="15.75" customHeight="1">
      <c r="A128" s="12" t="s">
        <v>216</v>
      </c>
      <c r="B128" s="8">
        <f t="shared" si="2"/>
        <v>5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20">
        <v>2.5</v>
      </c>
      <c r="AX128" s="20">
        <v>2.5</v>
      </c>
      <c r="AY128" s="8"/>
      <c r="AZ128" s="8"/>
      <c r="BA128" s="8"/>
      <c r="BB128" s="8"/>
    </row>
    <row r="129" ht="15.75" customHeight="1">
      <c r="A129" s="12" t="s">
        <v>296</v>
      </c>
      <c r="B129" s="8">
        <f t="shared" si="2"/>
        <v>2.5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20">
        <v>2.5</v>
      </c>
      <c r="AX129" s="8"/>
      <c r="AY129" s="8"/>
      <c r="AZ129" s="8"/>
      <c r="BA129" s="8"/>
      <c r="BB129" s="8"/>
    </row>
    <row r="130" ht="15.75" customHeight="1">
      <c r="A130" s="12" t="s">
        <v>204</v>
      </c>
      <c r="B130" s="8">
        <f t="shared" si="2"/>
        <v>6.5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20">
        <v>2.5</v>
      </c>
      <c r="AX130" s="8"/>
      <c r="AY130" s="8"/>
      <c r="AZ130" s="8"/>
      <c r="BA130" s="20">
        <v>2.0</v>
      </c>
      <c r="BB130" s="20">
        <v>2.0</v>
      </c>
    </row>
    <row r="131" ht="15.75" customHeight="1">
      <c r="A131" s="12" t="s">
        <v>211</v>
      </c>
      <c r="B131" s="8">
        <f t="shared" si="2"/>
        <v>4.5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20">
        <v>2.5</v>
      </c>
      <c r="AX131" s="8"/>
      <c r="AY131" s="8"/>
      <c r="AZ131" s="8"/>
      <c r="BA131" s="8"/>
      <c r="BB131" s="20">
        <v>2.0</v>
      </c>
    </row>
    <row r="132" ht="15.75" customHeight="1">
      <c r="A132" s="12" t="s">
        <v>297</v>
      </c>
      <c r="B132" s="8">
        <f t="shared" si="2"/>
        <v>4.5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20">
        <v>2.5</v>
      </c>
      <c r="AX132" s="8"/>
      <c r="AY132" s="8"/>
      <c r="AZ132" s="8"/>
      <c r="BA132" s="8"/>
      <c r="BB132" s="20">
        <v>2.0</v>
      </c>
    </row>
    <row r="133" ht="15.75" customHeight="1">
      <c r="A133" s="12" t="s">
        <v>298</v>
      </c>
      <c r="B133" s="8">
        <f t="shared" si="2"/>
        <v>2.5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20">
        <v>2.5</v>
      </c>
      <c r="AY133" s="8"/>
      <c r="AZ133" s="8"/>
      <c r="BA133" s="8"/>
      <c r="BB133" s="8"/>
    </row>
    <row r="134" ht="15.75" customHeight="1">
      <c r="A134" s="12" t="s">
        <v>299</v>
      </c>
      <c r="B134" s="8">
        <f t="shared" si="2"/>
        <v>2.25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20">
        <v>2.25</v>
      </c>
      <c r="AY134" s="8"/>
      <c r="AZ134" s="8"/>
      <c r="BA134" s="8"/>
      <c r="BB134" s="8"/>
    </row>
    <row r="135" ht="15.75" customHeight="1">
      <c r="A135" s="12" t="s">
        <v>300</v>
      </c>
      <c r="B135" s="8">
        <f t="shared" si="2"/>
        <v>2.25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20">
        <v>2.25</v>
      </c>
      <c r="AY135" s="8"/>
      <c r="AZ135" s="8"/>
      <c r="BA135" s="8"/>
      <c r="BB135" s="8"/>
    </row>
    <row r="136" ht="15.75" customHeight="1">
      <c r="A136" s="12" t="s">
        <v>301</v>
      </c>
      <c r="B136" s="8">
        <f t="shared" si="2"/>
        <v>2.5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20">
        <v>2.5</v>
      </c>
      <c r="AY136" s="8"/>
      <c r="AZ136" s="8"/>
      <c r="BA136" s="8"/>
      <c r="BB136" s="8"/>
    </row>
    <row r="137" ht="15.75" customHeight="1">
      <c r="A137" s="30" t="s">
        <v>302</v>
      </c>
      <c r="B137" s="8">
        <f t="shared" si="2"/>
        <v>2.25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21">
        <v>2.25</v>
      </c>
      <c r="AZ137" s="8"/>
      <c r="BA137" s="8"/>
      <c r="BB137" s="8"/>
    </row>
    <row r="138" ht="15.75" customHeight="1">
      <c r="A138" s="30" t="s">
        <v>303</v>
      </c>
      <c r="B138" s="8">
        <f t="shared" si="2"/>
        <v>2.25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21">
        <v>2.25</v>
      </c>
      <c r="AZ138" s="8"/>
      <c r="BA138" s="8"/>
      <c r="BB138" s="8"/>
    </row>
    <row r="139" ht="15.75" customHeight="1">
      <c r="A139" s="30" t="s">
        <v>229</v>
      </c>
      <c r="B139" s="8">
        <f t="shared" si="2"/>
        <v>4.25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21">
        <v>2.25</v>
      </c>
      <c r="AZ139" s="8"/>
      <c r="BA139" s="20">
        <v>2.0</v>
      </c>
      <c r="BB139" s="8"/>
    </row>
    <row r="140" ht="15.75" customHeight="1">
      <c r="A140" s="30" t="s">
        <v>304</v>
      </c>
      <c r="B140" s="8">
        <f t="shared" si="2"/>
        <v>2.25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21">
        <v>2.25</v>
      </c>
      <c r="AZ140" s="8"/>
      <c r="BA140" s="8"/>
      <c r="BB140" s="8"/>
    </row>
    <row r="141" ht="15.75" customHeight="1">
      <c r="A141" s="12" t="s">
        <v>305</v>
      </c>
      <c r="B141" s="8">
        <f t="shared" si="2"/>
        <v>2.25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20">
        <v>2.25</v>
      </c>
      <c r="BA141" s="8"/>
      <c r="BB141" s="8"/>
    </row>
    <row r="142" ht="15.75" customHeight="1">
      <c r="A142" s="12" t="s">
        <v>306</v>
      </c>
      <c r="B142" s="8">
        <f t="shared" si="2"/>
        <v>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20"/>
      <c r="BA142" s="20">
        <v>2.0</v>
      </c>
      <c r="BB142" s="8"/>
    </row>
    <row r="143" ht="15.75" customHeight="1">
      <c r="A143" s="12" t="s">
        <v>60</v>
      </c>
      <c r="B143" s="8">
        <f t="shared" si="2"/>
        <v>1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20">
        <v>1.0</v>
      </c>
      <c r="BB143" s="8"/>
    </row>
    <row r="144" ht="15.75" customHeight="1">
      <c r="A144" s="12" t="s">
        <v>307</v>
      </c>
      <c r="B144" s="8">
        <f t="shared" si="2"/>
        <v>2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20"/>
      <c r="BB144" s="20">
        <v>2.0</v>
      </c>
    </row>
    <row r="145" ht="15.75" customHeight="1">
      <c r="A145" s="12" t="s">
        <v>308</v>
      </c>
      <c r="B145" s="8">
        <f t="shared" si="2"/>
        <v>2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20">
        <v>2.0</v>
      </c>
    </row>
    <row r="146" ht="15.75" customHeight="1">
      <c r="A146" s="12" t="s">
        <v>309</v>
      </c>
      <c r="B146" s="8">
        <f t="shared" si="2"/>
        <v>2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20">
        <v>2.0</v>
      </c>
    </row>
    <row r="147" ht="15.75" customHeight="1">
      <c r="A147" s="11"/>
      <c r="B147" s="8">
        <f t="shared" si="2"/>
        <v>0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</row>
    <row r="148" ht="15.75" customHeight="1">
      <c r="A148" s="11"/>
      <c r="B148" s="8">
        <f t="shared" si="2"/>
        <v>0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</row>
    <row r="149" ht="15.75" customHeight="1">
      <c r="A149" s="11"/>
      <c r="B149" s="8">
        <f t="shared" si="2"/>
        <v>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</row>
    <row r="150" ht="15.75" customHeight="1">
      <c r="A150" s="11"/>
      <c r="B150" s="8">
        <f t="shared" si="2"/>
        <v>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</row>
    <row r="151" ht="15.75" customHeight="1">
      <c r="A151" s="11"/>
      <c r="B151" s="8">
        <f t="shared" si="2"/>
        <v>0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</row>
    <row r="152" ht="15.75" customHeight="1">
      <c r="A152" s="11"/>
      <c r="B152" s="8">
        <f t="shared" si="2"/>
        <v>0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</row>
    <row r="153" ht="15.75" customHeight="1">
      <c r="A153" s="11"/>
      <c r="B153" s="8">
        <f t="shared" si="2"/>
        <v>0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</row>
    <row r="154" ht="15.75" customHeight="1">
      <c r="A154" s="11"/>
      <c r="B154" s="8">
        <f t="shared" si="2"/>
        <v>0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</row>
    <row r="155" ht="15.75" customHeight="1">
      <c r="A155" s="11"/>
      <c r="B155" s="8">
        <f t="shared" si="2"/>
        <v>0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</row>
    <row r="156" ht="15.75" customHeight="1">
      <c r="A156" s="11"/>
      <c r="B156" s="8">
        <f t="shared" si="2"/>
        <v>0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</row>
    <row r="157" ht="15.75" customHeight="1">
      <c r="A157" s="11"/>
      <c r="B157" s="8">
        <f t="shared" si="2"/>
        <v>0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</row>
    <row r="158" ht="15.75" customHeight="1">
      <c r="A158" s="11"/>
      <c r="B158" s="8">
        <f t="shared" si="2"/>
        <v>0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</row>
    <row r="159" ht="15.75" customHeight="1">
      <c r="A159" s="11"/>
      <c r="B159" s="8">
        <f t="shared" si="2"/>
        <v>0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</row>
    <row r="160" ht="15.75" customHeight="1">
      <c r="A160" s="11"/>
      <c r="B160" s="8">
        <f t="shared" si="2"/>
        <v>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</row>
    <row r="161" ht="15.75" customHeight="1">
      <c r="A161" s="11"/>
      <c r="B161" s="8">
        <f t="shared" si="2"/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</row>
    <row r="162" ht="15.75" customHeight="1">
      <c r="A162" s="11"/>
      <c r="B162" s="8">
        <f t="shared" si="2"/>
        <v>0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8.63"/>
    <col customWidth="1" min="3" max="3" width="14.75"/>
    <col customWidth="1" min="4" max="4" width="9.38"/>
    <col customWidth="1" min="5" max="7" width="10.25"/>
    <col customWidth="1" min="8" max="42" width="8.63"/>
    <col customWidth="1" min="43" max="45" width="10.25"/>
    <col customWidth="1" min="46" max="47" width="8.63"/>
    <col customWidth="1" min="48" max="50" width="10.38"/>
    <col customWidth="1" min="51" max="51" width="8.63"/>
    <col customWidth="1" min="52" max="54" width="10.38"/>
  </cols>
  <sheetData>
    <row r="1">
      <c r="A1" s="31" t="s">
        <v>0</v>
      </c>
      <c r="B1" s="32" t="s">
        <v>1</v>
      </c>
      <c r="C1" s="4">
        <v>45661.0</v>
      </c>
      <c r="D1" s="4">
        <v>45668.0</v>
      </c>
      <c r="E1" s="4">
        <v>45675.0</v>
      </c>
      <c r="F1" s="4">
        <v>45682.0</v>
      </c>
      <c r="G1" s="4">
        <v>45689.0</v>
      </c>
      <c r="H1" s="4">
        <v>45696.0</v>
      </c>
      <c r="I1" s="4">
        <v>45703.0</v>
      </c>
      <c r="J1" s="4">
        <v>45710.0</v>
      </c>
      <c r="K1" s="4">
        <v>45717.0</v>
      </c>
      <c r="L1" s="4">
        <v>45724.0</v>
      </c>
      <c r="M1" s="4">
        <v>45731.0</v>
      </c>
      <c r="N1" s="4">
        <v>45738.0</v>
      </c>
      <c r="O1" s="4">
        <v>45745.0</v>
      </c>
      <c r="P1" s="4">
        <v>45752.0</v>
      </c>
      <c r="Q1" s="4">
        <v>45759.0</v>
      </c>
      <c r="R1" s="4">
        <v>45766.0</v>
      </c>
      <c r="S1" s="4">
        <v>45773.0</v>
      </c>
      <c r="T1" s="4">
        <v>45780.0</v>
      </c>
      <c r="U1" s="4">
        <v>45787.0</v>
      </c>
      <c r="V1" s="4">
        <v>45794.0</v>
      </c>
      <c r="W1" s="4">
        <v>45801.0</v>
      </c>
      <c r="X1" s="4">
        <v>45808.0</v>
      </c>
      <c r="Y1" s="4">
        <v>45815.0</v>
      </c>
      <c r="Z1" s="4">
        <v>45822.0</v>
      </c>
      <c r="AA1" s="4">
        <v>45829.0</v>
      </c>
      <c r="AB1" s="4">
        <v>45836.0</v>
      </c>
      <c r="AC1" s="4">
        <v>45843.0</v>
      </c>
      <c r="AD1" s="4">
        <v>45850.0</v>
      </c>
      <c r="AE1" s="4">
        <v>45857.0</v>
      </c>
      <c r="AF1" s="4">
        <v>45864.0</v>
      </c>
      <c r="AG1" s="4">
        <v>45871.0</v>
      </c>
      <c r="AH1" s="4">
        <v>45878.0</v>
      </c>
      <c r="AI1" s="4">
        <v>45885.0</v>
      </c>
      <c r="AJ1" s="4">
        <v>45892.0</v>
      </c>
      <c r="AK1" s="4">
        <v>45899.0</v>
      </c>
      <c r="AL1" s="4">
        <v>45906.0</v>
      </c>
      <c r="AM1" s="4">
        <v>45913.0</v>
      </c>
      <c r="AN1" s="4">
        <v>45920.0</v>
      </c>
      <c r="AO1" s="4">
        <v>45927.0</v>
      </c>
      <c r="AP1" s="4">
        <v>45934.0</v>
      </c>
      <c r="AQ1" s="4">
        <v>45941.0</v>
      </c>
      <c r="AR1" s="4">
        <v>45948.0</v>
      </c>
      <c r="AS1" s="6">
        <v>45955.0</v>
      </c>
      <c r="AT1" s="4">
        <v>45962.0</v>
      </c>
      <c r="AU1" s="4">
        <v>45969.0</v>
      </c>
      <c r="AV1" s="6">
        <v>45976.0</v>
      </c>
      <c r="AW1" s="4">
        <v>45983.0</v>
      </c>
      <c r="AX1" s="4">
        <v>45990.0</v>
      </c>
      <c r="AY1" s="6">
        <v>45997.0</v>
      </c>
      <c r="AZ1" s="4">
        <v>46004.0</v>
      </c>
      <c r="BA1" s="4">
        <v>46011.0</v>
      </c>
      <c r="BB1" s="6">
        <v>46018.0</v>
      </c>
    </row>
    <row r="2">
      <c r="A2" s="33">
        <v>5.0</v>
      </c>
      <c r="B2" s="34">
        <f>SUM(B3:B335)</f>
        <v>1081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10"/>
      <c r="AT2" s="8"/>
      <c r="AU2" s="8"/>
      <c r="AV2" s="10"/>
      <c r="AW2" s="8"/>
      <c r="AX2" s="8"/>
      <c r="AY2" s="10"/>
      <c r="AZ2" s="8"/>
      <c r="BA2" s="8"/>
      <c r="BB2" s="10"/>
    </row>
    <row r="3">
      <c r="A3" s="35" t="s">
        <v>3</v>
      </c>
      <c r="B3" s="36">
        <f t="shared" ref="B3:B244" si="1">SUM(C3:CA3)</f>
        <v>176</v>
      </c>
      <c r="C3" s="8"/>
      <c r="D3" s="8">
        <v>3.0</v>
      </c>
      <c r="E3" s="8">
        <v>3.0</v>
      </c>
      <c r="F3" s="8">
        <v>3.0</v>
      </c>
      <c r="G3" s="8">
        <v>4.0</v>
      </c>
      <c r="H3" s="8">
        <v>3.0</v>
      </c>
      <c r="I3" s="8">
        <v>3.0</v>
      </c>
      <c r="J3" s="8"/>
      <c r="K3" s="8">
        <v>4.0</v>
      </c>
      <c r="L3" s="8">
        <v>5.0</v>
      </c>
      <c r="M3" s="8">
        <v>5.0</v>
      </c>
      <c r="N3" s="8">
        <v>5.0</v>
      </c>
      <c r="O3" s="8">
        <v>3.0</v>
      </c>
      <c r="P3" s="8">
        <v>4.0</v>
      </c>
      <c r="Q3" s="8">
        <v>4.0</v>
      </c>
      <c r="R3" s="8">
        <v>4.5</v>
      </c>
      <c r="S3" s="8">
        <v>4.5</v>
      </c>
      <c r="T3" s="8">
        <v>5.5</v>
      </c>
      <c r="U3" s="8">
        <v>4.0</v>
      </c>
      <c r="V3" s="8">
        <v>4.0</v>
      </c>
      <c r="W3" s="8">
        <v>4.0</v>
      </c>
      <c r="X3" s="8">
        <v>5.0</v>
      </c>
      <c r="Y3" s="8">
        <v>4.25</v>
      </c>
      <c r="Z3" s="8">
        <v>4.5</v>
      </c>
      <c r="AA3" s="8"/>
      <c r="AB3" s="8">
        <v>3.75</v>
      </c>
      <c r="AC3" s="8">
        <v>4.75</v>
      </c>
      <c r="AD3" s="8">
        <v>3.0</v>
      </c>
      <c r="AE3" s="8">
        <v>4.5</v>
      </c>
      <c r="AF3" s="8">
        <v>2.5</v>
      </c>
      <c r="AG3" s="8">
        <v>4.25</v>
      </c>
      <c r="AH3" s="8">
        <v>4.0</v>
      </c>
      <c r="AI3" s="8">
        <v>4.0</v>
      </c>
      <c r="AJ3" s="8"/>
      <c r="AK3" s="8">
        <v>4.5</v>
      </c>
      <c r="AL3" s="8">
        <v>1.75</v>
      </c>
      <c r="AM3" s="8">
        <v>4.5</v>
      </c>
      <c r="AN3" s="8">
        <v>4.5</v>
      </c>
      <c r="AO3" s="8">
        <v>3.0</v>
      </c>
      <c r="AP3" s="8">
        <v>4.5</v>
      </c>
      <c r="AQ3" s="20">
        <v>3.75</v>
      </c>
      <c r="AR3" s="20">
        <v>4.75</v>
      </c>
      <c r="AS3" s="37">
        <v>4.25</v>
      </c>
      <c r="AT3" s="20">
        <v>5.0</v>
      </c>
      <c r="AU3" s="20">
        <v>4.5</v>
      </c>
      <c r="AV3" s="38">
        <v>2.0</v>
      </c>
      <c r="AW3" s="20">
        <v>4.5</v>
      </c>
      <c r="AX3" s="20">
        <v>4.5</v>
      </c>
      <c r="AY3" s="37" t="s">
        <v>310</v>
      </c>
      <c r="AZ3" s="20" t="s">
        <v>311</v>
      </c>
      <c r="BA3" s="20" t="s">
        <v>63</v>
      </c>
      <c r="BB3" s="37" t="s">
        <v>312</v>
      </c>
    </row>
    <row r="4">
      <c r="A4" s="35" t="s">
        <v>6</v>
      </c>
      <c r="B4" s="36">
        <f t="shared" si="1"/>
        <v>21</v>
      </c>
      <c r="C4" s="8"/>
      <c r="D4" s="8"/>
      <c r="E4" s="8">
        <v>3.0</v>
      </c>
      <c r="F4" s="8"/>
      <c r="G4" s="8"/>
      <c r="H4" s="8"/>
      <c r="I4" s="8"/>
      <c r="J4" s="8">
        <v>3.0</v>
      </c>
      <c r="K4" s="8"/>
      <c r="L4" s="8"/>
      <c r="M4" s="8"/>
      <c r="N4" s="8"/>
      <c r="O4" s="8"/>
      <c r="P4" s="8"/>
      <c r="Q4" s="8">
        <v>4.0</v>
      </c>
      <c r="R4" s="8"/>
      <c r="S4" s="8"/>
      <c r="T4" s="8"/>
      <c r="U4" s="8">
        <v>4.0</v>
      </c>
      <c r="V4" s="8"/>
      <c r="W4" s="8">
        <v>4.0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10"/>
      <c r="AT4" s="8"/>
      <c r="AU4" s="8"/>
      <c r="AV4" s="38">
        <v>3.0</v>
      </c>
      <c r="AW4" s="8"/>
      <c r="AX4" s="8"/>
      <c r="AY4" s="10"/>
      <c r="AZ4" s="8"/>
      <c r="BA4" s="8"/>
      <c r="BB4" s="10"/>
    </row>
    <row r="5">
      <c r="A5" s="35" t="s">
        <v>7</v>
      </c>
      <c r="B5" s="36">
        <f t="shared" si="1"/>
        <v>66.25</v>
      </c>
      <c r="C5" s="8">
        <v>3.0</v>
      </c>
      <c r="D5" s="8"/>
      <c r="E5" s="8"/>
      <c r="F5" s="8">
        <v>1.0</v>
      </c>
      <c r="G5" s="8"/>
      <c r="H5" s="8"/>
      <c r="I5" s="8"/>
      <c r="J5" s="8"/>
      <c r="K5" s="8"/>
      <c r="L5" s="8"/>
      <c r="M5" s="8"/>
      <c r="N5" s="8"/>
      <c r="O5" s="8"/>
      <c r="P5" s="8">
        <v>6.0</v>
      </c>
      <c r="Q5" s="8">
        <v>3.0</v>
      </c>
      <c r="R5" s="8">
        <v>3.5</v>
      </c>
      <c r="S5" s="8">
        <v>4.5</v>
      </c>
      <c r="T5" s="8">
        <v>3.0</v>
      </c>
      <c r="U5" s="8"/>
      <c r="V5" s="8"/>
      <c r="W5" s="8">
        <v>2.0</v>
      </c>
      <c r="X5" s="8">
        <v>4.5</v>
      </c>
      <c r="Y5" s="8">
        <v>2.5</v>
      </c>
      <c r="Z5" s="8"/>
      <c r="AA5" s="8"/>
      <c r="AB5" s="8">
        <v>3.25</v>
      </c>
      <c r="AC5" s="8"/>
      <c r="AD5" s="8">
        <v>3.0</v>
      </c>
      <c r="AE5" s="8">
        <v>3.0</v>
      </c>
      <c r="AF5" s="8"/>
      <c r="AG5" s="8"/>
      <c r="AH5" s="8">
        <v>2.5</v>
      </c>
      <c r="AI5" s="8"/>
      <c r="AJ5" s="8">
        <v>2.75</v>
      </c>
      <c r="AK5" s="8"/>
      <c r="AL5" s="8">
        <v>2.75</v>
      </c>
      <c r="AM5" s="8"/>
      <c r="AN5" s="8"/>
      <c r="AO5" s="8"/>
      <c r="AP5" s="8"/>
      <c r="AQ5" s="20">
        <v>2.0</v>
      </c>
      <c r="AR5" s="20">
        <v>2.75</v>
      </c>
      <c r="AS5" s="37">
        <v>2.0</v>
      </c>
      <c r="AT5" s="8"/>
      <c r="AU5" s="8"/>
      <c r="AV5" s="38">
        <v>2.5</v>
      </c>
      <c r="AW5" s="20">
        <v>3.0</v>
      </c>
      <c r="AX5" s="8"/>
      <c r="AY5" s="10"/>
      <c r="AZ5" s="8"/>
      <c r="BA5" s="20">
        <v>2.5</v>
      </c>
      <c r="BB5" s="37">
        <v>1.25</v>
      </c>
    </row>
    <row r="6">
      <c r="A6" s="35" t="s">
        <v>55</v>
      </c>
      <c r="B6" s="36">
        <f t="shared" si="1"/>
        <v>19.5</v>
      </c>
      <c r="C6" s="8">
        <v>2.0</v>
      </c>
      <c r="D6" s="8"/>
      <c r="E6" s="8"/>
      <c r="F6" s="8"/>
      <c r="G6" s="8"/>
      <c r="H6" s="8">
        <v>3.0</v>
      </c>
      <c r="I6" s="8"/>
      <c r="J6" s="8"/>
      <c r="K6" s="8">
        <v>4.0</v>
      </c>
      <c r="L6" s="8">
        <v>4.0</v>
      </c>
      <c r="M6" s="8">
        <v>4.0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20">
        <v>2.5</v>
      </c>
      <c r="AS6" s="10"/>
      <c r="AT6" s="8"/>
      <c r="AU6" s="8"/>
      <c r="AV6" s="10"/>
      <c r="AW6" s="8"/>
      <c r="AX6" s="8"/>
      <c r="AY6" s="10"/>
      <c r="AZ6" s="8"/>
      <c r="BA6" s="8"/>
      <c r="BB6" s="10"/>
    </row>
    <row r="7">
      <c r="A7" s="35" t="s">
        <v>17</v>
      </c>
      <c r="B7" s="36">
        <f t="shared" si="1"/>
        <v>6.5</v>
      </c>
      <c r="C7" s="8">
        <v>2.0</v>
      </c>
      <c r="D7" s="8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20">
        <v>2.5</v>
      </c>
      <c r="AS7" s="10"/>
      <c r="AT7" s="8"/>
      <c r="AU7" s="8"/>
      <c r="AV7" s="10"/>
      <c r="AW7" s="8"/>
      <c r="AX7" s="8"/>
      <c r="AY7" s="10"/>
      <c r="AZ7" s="8"/>
      <c r="BA7" s="8"/>
      <c r="BB7" s="10"/>
    </row>
    <row r="8">
      <c r="A8" s="35" t="s">
        <v>52</v>
      </c>
      <c r="B8" s="36">
        <f t="shared" si="1"/>
        <v>5</v>
      </c>
      <c r="C8" s="8"/>
      <c r="D8" s="8"/>
      <c r="E8" s="8"/>
      <c r="F8" s="8"/>
      <c r="G8" s="8">
        <v>2.0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>
        <v>3.0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10"/>
      <c r="AT8" s="8"/>
      <c r="AU8" s="8"/>
      <c r="AV8" s="10"/>
      <c r="AW8" s="8"/>
      <c r="AX8" s="8"/>
      <c r="AY8" s="10"/>
      <c r="AZ8" s="8"/>
      <c r="BA8" s="8"/>
      <c r="BB8" s="10"/>
    </row>
    <row r="9">
      <c r="A9" s="35" t="s">
        <v>46</v>
      </c>
      <c r="B9" s="36">
        <f t="shared" si="1"/>
        <v>15.25</v>
      </c>
      <c r="C9" s="8"/>
      <c r="D9" s="8"/>
      <c r="E9" s="8"/>
      <c r="F9" s="8"/>
      <c r="G9" s="8"/>
      <c r="H9" s="8">
        <v>3.0</v>
      </c>
      <c r="I9" s="8">
        <v>3.0</v>
      </c>
      <c r="J9" s="8"/>
      <c r="K9" s="8"/>
      <c r="L9" s="8"/>
      <c r="M9" s="8"/>
      <c r="N9" s="8"/>
      <c r="O9" s="8"/>
      <c r="P9" s="8"/>
      <c r="Q9" s="8"/>
      <c r="R9" s="8">
        <v>3.5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>
        <v>2.75</v>
      </c>
      <c r="AK9" s="8"/>
      <c r="AL9" s="8"/>
      <c r="AM9" s="8"/>
      <c r="AN9" s="8"/>
      <c r="AO9" s="8"/>
      <c r="AP9" s="8"/>
      <c r="AQ9" s="8"/>
      <c r="AR9" s="8"/>
      <c r="AS9" s="10"/>
      <c r="AT9" s="8"/>
      <c r="AU9" s="8"/>
      <c r="AV9" s="10"/>
      <c r="AW9" s="20">
        <v>3.0</v>
      </c>
      <c r="AX9" s="8"/>
      <c r="AY9" s="10"/>
      <c r="AZ9" s="8"/>
      <c r="BA9" s="8"/>
      <c r="BB9" s="10"/>
    </row>
    <row r="10">
      <c r="A10" s="35" t="s">
        <v>74</v>
      </c>
      <c r="B10" s="36">
        <f t="shared" si="1"/>
        <v>5.75</v>
      </c>
      <c r="C10" s="8"/>
      <c r="D10" s="8"/>
      <c r="E10" s="8"/>
      <c r="F10" s="8"/>
      <c r="G10" s="8"/>
      <c r="H10" s="8"/>
      <c r="I10" s="8"/>
      <c r="J10" s="8">
        <v>3.0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>
        <v>2.25</v>
      </c>
      <c r="AB10" s="8"/>
      <c r="AC10" s="8"/>
      <c r="AD10" s="8"/>
      <c r="AE10" s="8"/>
      <c r="AF10" s="8"/>
      <c r="AG10" s="8"/>
      <c r="AH10" s="8"/>
      <c r="AI10" s="8"/>
      <c r="AJ10" s="8">
        <v>0.5</v>
      </c>
      <c r="AK10" s="8"/>
      <c r="AL10" s="8"/>
      <c r="AM10" s="8"/>
      <c r="AN10" s="8"/>
      <c r="AO10" s="8"/>
      <c r="AP10" s="8"/>
      <c r="AQ10" s="8"/>
      <c r="AR10" s="8"/>
      <c r="AS10" s="10"/>
      <c r="AT10" s="8"/>
      <c r="AU10" s="8"/>
      <c r="AV10" s="10"/>
      <c r="AW10" s="8"/>
      <c r="AX10" s="8"/>
      <c r="AY10" s="10"/>
      <c r="AZ10" s="8"/>
      <c r="BA10" s="8"/>
      <c r="BB10" s="10"/>
    </row>
    <row r="11">
      <c r="A11" s="35" t="s">
        <v>313</v>
      </c>
      <c r="B11" s="36">
        <f t="shared" si="1"/>
        <v>20.75</v>
      </c>
      <c r="C11" s="8"/>
      <c r="D11" s="8"/>
      <c r="E11" s="8"/>
      <c r="F11" s="8"/>
      <c r="G11" s="8"/>
      <c r="H11" s="8"/>
      <c r="I11" s="8"/>
      <c r="J11" s="8">
        <v>3.0</v>
      </c>
      <c r="K11" s="8"/>
      <c r="L11" s="8"/>
      <c r="M11" s="8"/>
      <c r="N11" s="8"/>
      <c r="O11" s="8"/>
      <c r="P11" s="8">
        <v>6.0</v>
      </c>
      <c r="Q11" s="8"/>
      <c r="R11" s="8"/>
      <c r="S11" s="8"/>
      <c r="T11" s="8"/>
      <c r="U11" s="8"/>
      <c r="V11" s="8"/>
      <c r="W11" s="8">
        <v>2.0</v>
      </c>
      <c r="X11" s="8"/>
      <c r="Y11" s="8">
        <v>2.5</v>
      </c>
      <c r="Z11" s="8"/>
      <c r="AA11" s="8">
        <v>2.5</v>
      </c>
      <c r="AB11" s="8"/>
      <c r="AC11" s="8"/>
      <c r="AD11" s="8"/>
      <c r="AE11" s="8"/>
      <c r="AF11" s="8">
        <v>2.0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10"/>
      <c r="AT11" s="8"/>
      <c r="AU11" s="8"/>
      <c r="AV11" s="10"/>
      <c r="AW11" s="20">
        <v>2.75</v>
      </c>
      <c r="AX11" s="8"/>
      <c r="AY11" s="10"/>
      <c r="AZ11" s="8"/>
      <c r="BA11" s="8"/>
      <c r="BB11" s="10"/>
    </row>
    <row r="12">
      <c r="A12" s="35" t="s">
        <v>314</v>
      </c>
      <c r="B12" s="36">
        <f t="shared" si="1"/>
        <v>3</v>
      </c>
      <c r="C12" s="8"/>
      <c r="D12" s="8"/>
      <c r="E12" s="8"/>
      <c r="F12" s="8"/>
      <c r="G12" s="8"/>
      <c r="H12" s="8"/>
      <c r="I12" s="8"/>
      <c r="J12" s="8">
        <v>3.0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10"/>
      <c r="AT12" s="8"/>
      <c r="AU12" s="8"/>
      <c r="AV12" s="10"/>
      <c r="AW12" s="8"/>
      <c r="AX12" s="8"/>
      <c r="AY12" s="10"/>
      <c r="AZ12" s="8"/>
      <c r="BA12" s="8"/>
      <c r="BB12" s="10"/>
    </row>
    <row r="13">
      <c r="A13" s="35" t="s">
        <v>315</v>
      </c>
      <c r="B13" s="36">
        <f t="shared" si="1"/>
        <v>8.5</v>
      </c>
      <c r="C13" s="8"/>
      <c r="D13" s="8"/>
      <c r="E13" s="8"/>
      <c r="F13" s="8"/>
      <c r="G13" s="8"/>
      <c r="H13" s="8"/>
      <c r="I13" s="8"/>
      <c r="J13" s="8"/>
      <c r="K13" s="8"/>
      <c r="L13" s="8">
        <v>5.0</v>
      </c>
      <c r="M13" s="8"/>
      <c r="N13" s="8"/>
      <c r="O13" s="8"/>
      <c r="P13" s="8"/>
      <c r="Q13" s="8"/>
      <c r="R13" s="8">
        <v>3.5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10"/>
      <c r="AT13" s="8"/>
      <c r="AU13" s="8"/>
      <c r="AV13" s="10"/>
      <c r="AW13" s="8"/>
      <c r="AX13" s="8"/>
      <c r="AY13" s="10"/>
      <c r="AZ13" s="8"/>
      <c r="BA13" s="8"/>
      <c r="BB13" s="10"/>
    </row>
    <row r="14">
      <c r="A14" s="35" t="s">
        <v>54</v>
      </c>
      <c r="B14" s="36">
        <f t="shared" si="1"/>
        <v>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>
        <v>2.0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10"/>
      <c r="AT14" s="8"/>
      <c r="AU14" s="8"/>
      <c r="AV14" s="10"/>
      <c r="AW14" s="8"/>
      <c r="AX14" s="8"/>
      <c r="AY14" s="10"/>
      <c r="AZ14" s="8"/>
      <c r="BA14" s="8"/>
      <c r="BB14" s="10"/>
    </row>
    <row r="15">
      <c r="A15" s="35" t="s">
        <v>79</v>
      </c>
      <c r="B15" s="36">
        <f t="shared" si="1"/>
        <v>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>
        <v>4.0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10"/>
      <c r="AT15" s="8"/>
      <c r="AU15" s="8"/>
      <c r="AV15" s="10"/>
      <c r="AW15" s="8"/>
      <c r="AX15" s="8"/>
      <c r="AY15" s="10"/>
      <c r="AZ15" s="8"/>
      <c r="BA15" s="8"/>
      <c r="BB15" s="10"/>
    </row>
    <row r="16">
      <c r="A16" s="35" t="s">
        <v>69</v>
      </c>
      <c r="B16" s="36">
        <f t="shared" si="1"/>
        <v>18.25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>
        <v>3.0</v>
      </c>
      <c r="O16" s="8"/>
      <c r="P16" s="8">
        <v>5.0</v>
      </c>
      <c r="Q16" s="8"/>
      <c r="R16" s="8"/>
      <c r="S16" s="8"/>
      <c r="T16" s="8">
        <v>3.0</v>
      </c>
      <c r="U16" s="8">
        <v>1.5</v>
      </c>
      <c r="V16" s="8"/>
      <c r="W16" s="8"/>
      <c r="X16" s="8"/>
      <c r="Y16" s="8"/>
      <c r="Z16" s="8"/>
      <c r="AA16" s="8"/>
      <c r="AB16" s="8">
        <v>3.25</v>
      </c>
      <c r="AC16" s="8"/>
      <c r="AD16" s="8">
        <v>2.5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10"/>
      <c r="AT16" s="8"/>
      <c r="AU16" s="8"/>
      <c r="AV16" s="10"/>
      <c r="AW16" s="8"/>
      <c r="AX16" s="8"/>
      <c r="AY16" s="10"/>
      <c r="AZ16" s="8"/>
      <c r="BA16" s="8"/>
      <c r="BB16" s="10"/>
    </row>
    <row r="17">
      <c r="A17" s="35" t="s">
        <v>237</v>
      </c>
      <c r="B17" s="36">
        <f t="shared" si="1"/>
        <v>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>
        <v>2.0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10"/>
      <c r="AT17" s="8"/>
      <c r="AU17" s="8"/>
      <c r="AV17" s="10"/>
      <c r="AW17" s="8"/>
      <c r="AX17" s="8"/>
      <c r="AY17" s="10"/>
      <c r="AZ17" s="8"/>
      <c r="BA17" s="8"/>
      <c r="BB17" s="10"/>
    </row>
    <row r="18">
      <c r="A18" s="35" t="s">
        <v>10</v>
      </c>
      <c r="B18" s="36">
        <f t="shared" si="1"/>
        <v>37.5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>
        <v>2.0</v>
      </c>
      <c r="P18" s="8"/>
      <c r="Q18" s="8"/>
      <c r="R18" s="8">
        <v>4.0</v>
      </c>
      <c r="S18" s="8">
        <v>3.0</v>
      </c>
      <c r="T18" s="8">
        <v>4.0</v>
      </c>
      <c r="U18" s="8">
        <v>2.5</v>
      </c>
      <c r="V18" s="8">
        <v>4.0</v>
      </c>
      <c r="W18" s="8"/>
      <c r="X18" s="8"/>
      <c r="Y18" s="8">
        <v>1.5</v>
      </c>
      <c r="Z18" s="8"/>
      <c r="AA18" s="8">
        <v>3.0</v>
      </c>
      <c r="AB18" s="8"/>
      <c r="AC18" s="8">
        <v>4.25</v>
      </c>
      <c r="AD18" s="8"/>
      <c r="AE18" s="8"/>
      <c r="AF18" s="8">
        <v>2.0</v>
      </c>
      <c r="AG18" s="8"/>
      <c r="AH18" s="8">
        <v>2.5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37">
        <v>2.5</v>
      </c>
      <c r="AT18" s="8"/>
      <c r="AU18" s="8"/>
      <c r="AV18" s="10"/>
      <c r="AW18" s="8"/>
      <c r="AX18" s="8"/>
      <c r="AY18" s="10"/>
      <c r="AZ18" s="8"/>
      <c r="BA18" s="8"/>
      <c r="BB18" s="37">
        <v>2.25</v>
      </c>
    </row>
    <row r="19">
      <c r="A19" s="35" t="s">
        <v>9</v>
      </c>
      <c r="B19" s="36">
        <f t="shared" si="1"/>
        <v>13.5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>
        <v>2.0</v>
      </c>
      <c r="P19" s="8"/>
      <c r="Q19" s="8"/>
      <c r="R19" s="8">
        <v>3.5</v>
      </c>
      <c r="S19" s="8"/>
      <c r="T19" s="8"/>
      <c r="U19" s="8"/>
      <c r="V19" s="8">
        <v>2.5</v>
      </c>
      <c r="W19" s="8"/>
      <c r="X19" s="8"/>
      <c r="Y19" s="8">
        <v>2.5</v>
      </c>
      <c r="Z19" s="8"/>
      <c r="AA19" s="8">
        <v>3.0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0"/>
      <c r="AT19" s="8"/>
      <c r="AU19" s="8"/>
      <c r="AV19" s="10"/>
      <c r="AW19" s="8"/>
      <c r="AX19" s="8"/>
      <c r="AY19" s="10"/>
      <c r="AZ19" s="8"/>
      <c r="BA19" s="8"/>
      <c r="BB19" s="10"/>
    </row>
    <row r="20">
      <c r="A20" s="35" t="s">
        <v>117</v>
      </c>
      <c r="B20" s="36">
        <f t="shared" si="1"/>
        <v>4.5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>
        <v>2.0</v>
      </c>
      <c r="P20" s="8"/>
      <c r="Q20" s="8"/>
      <c r="R20" s="8"/>
      <c r="S20" s="8"/>
      <c r="T20" s="8"/>
      <c r="U20" s="8">
        <v>2.5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10"/>
      <c r="AT20" s="8"/>
      <c r="AU20" s="8"/>
      <c r="AV20" s="10"/>
      <c r="AW20" s="8"/>
      <c r="AX20" s="8"/>
      <c r="AY20" s="10"/>
      <c r="AZ20" s="8"/>
      <c r="BA20" s="8"/>
      <c r="BB20" s="10"/>
    </row>
    <row r="21" ht="15.75" customHeight="1">
      <c r="A21" s="35" t="s">
        <v>48</v>
      </c>
      <c r="B21" s="36">
        <f t="shared" si="1"/>
        <v>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>
        <v>2.0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10"/>
      <c r="AT21" s="8"/>
      <c r="AU21" s="8"/>
      <c r="AV21" s="10"/>
      <c r="AW21" s="8"/>
      <c r="AX21" s="8"/>
      <c r="AY21" s="10"/>
      <c r="AZ21" s="8"/>
      <c r="BA21" s="8"/>
      <c r="BB21" s="10"/>
    </row>
    <row r="22" ht="15.75" customHeight="1">
      <c r="A22" s="35" t="s">
        <v>18</v>
      </c>
      <c r="B22" s="36">
        <f t="shared" si="1"/>
        <v>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>
        <v>6.0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10"/>
      <c r="AT22" s="8"/>
      <c r="AU22" s="8"/>
      <c r="AV22" s="10"/>
      <c r="AW22" s="8"/>
      <c r="AX22" s="8"/>
      <c r="AY22" s="10"/>
      <c r="AZ22" s="8"/>
      <c r="BA22" s="8"/>
      <c r="BB22" s="10"/>
    </row>
    <row r="23" ht="15.75" customHeight="1">
      <c r="A23" s="35" t="s">
        <v>113</v>
      </c>
      <c r="B23" s="36">
        <f t="shared" si="1"/>
        <v>14.25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>
        <v>1.0</v>
      </c>
      <c r="R23" s="8"/>
      <c r="S23" s="8"/>
      <c r="T23" s="8"/>
      <c r="U23" s="8"/>
      <c r="V23" s="8"/>
      <c r="W23" s="8"/>
      <c r="X23" s="8">
        <v>3.0</v>
      </c>
      <c r="Y23" s="8"/>
      <c r="Z23" s="8">
        <v>3.0</v>
      </c>
      <c r="AA23" s="8"/>
      <c r="AB23" s="8">
        <v>3.0</v>
      </c>
      <c r="AC23" s="8"/>
      <c r="AD23" s="8"/>
      <c r="AE23" s="8"/>
      <c r="AF23" s="8">
        <v>2.0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10"/>
      <c r="AT23" s="8"/>
      <c r="AU23" s="8"/>
      <c r="AV23" s="10"/>
      <c r="AW23" s="8"/>
      <c r="AX23" s="8"/>
      <c r="AY23" s="10"/>
      <c r="AZ23" s="8"/>
      <c r="BA23" s="8"/>
      <c r="BB23" s="37">
        <v>2.25</v>
      </c>
    </row>
    <row r="24" ht="15.75" customHeight="1">
      <c r="A24" s="35" t="s">
        <v>98</v>
      </c>
      <c r="B24" s="36">
        <f t="shared" si="1"/>
        <v>21.5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>
        <v>2.0</v>
      </c>
      <c r="R24" s="8">
        <v>2.0</v>
      </c>
      <c r="S24" s="8"/>
      <c r="T24" s="8"/>
      <c r="U24" s="8"/>
      <c r="V24" s="8"/>
      <c r="W24" s="8">
        <v>1.0</v>
      </c>
      <c r="X24" s="8">
        <v>2.5</v>
      </c>
      <c r="Y24" s="8"/>
      <c r="Z24" s="8">
        <v>2.0</v>
      </c>
      <c r="AA24" s="8"/>
      <c r="AB24" s="8"/>
      <c r="AC24" s="8"/>
      <c r="AD24" s="8"/>
      <c r="AE24" s="8"/>
      <c r="AF24" s="8">
        <v>2.0</v>
      </c>
      <c r="AG24" s="8"/>
      <c r="AH24" s="8">
        <v>2.5</v>
      </c>
      <c r="AI24" s="8">
        <v>2.5</v>
      </c>
      <c r="AJ24" s="8"/>
      <c r="AK24" s="8"/>
      <c r="AL24" s="8"/>
      <c r="AM24" s="8"/>
      <c r="AN24" s="8"/>
      <c r="AO24" s="8"/>
      <c r="AP24" s="8"/>
      <c r="AQ24" s="8"/>
      <c r="AR24" s="8"/>
      <c r="AS24" s="10"/>
      <c r="AT24" s="8"/>
      <c r="AU24" s="20">
        <v>2.25</v>
      </c>
      <c r="AV24" s="10"/>
      <c r="AW24" s="20">
        <v>2.75</v>
      </c>
      <c r="AX24" s="8"/>
      <c r="AY24" s="10"/>
      <c r="AZ24" s="8"/>
      <c r="BA24" s="8"/>
      <c r="BB24" s="10"/>
    </row>
    <row r="25" ht="15.75" customHeight="1">
      <c r="A25" s="35" t="s">
        <v>257</v>
      </c>
      <c r="B25" s="36">
        <f t="shared" si="1"/>
        <v>11.25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>
        <v>3.0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>
        <v>1.5</v>
      </c>
      <c r="AI25" s="8"/>
      <c r="AJ25" s="8"/>
      <c r="AK25" s="8"/>
      <c r="AL25" s="8">
        <v>2.75</v>
      </c>
      <c r="AM25" s="8"/>
      <c r="AN25" s="8"/>
      <c r="AO25" s="8"/>
      <c r="AP25" s="8">
        <v>2.25</v>
      </c>
      <c r="AQ25" s="8"/>
      <c r="AR25" s="8"/>
      <c r="AS25" s="10"/>
      <c r="AT25" s="8"/>
      <c r="AU25" s="20">
        <v>1.75</v>
      </c>
      <c r="AV25" s="10"/>
      <c r="AW25" s="8"/>
      <c r="AX25" s="8"/>
      <c r="AY25" s="10"/>
      <c r="AZ25" s="8"/>
      <c r="BA25" s="8"/>
      <c r="BB25" s="10"/>
    </row>
    <row r="26" ht="15.75" customHeight="1">
      <c r="A26" s="35" t="s">
        <v>83</v>
      </c>
      <c r="B26" s="36">
        <f t="shared" si="1"/>
        <v>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>
        <v>3.0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0"/>
      <c r="AT26" s="8"/>
      <c r="AU26" s="8"/>
      <c r="AV26" s="10"/>
      <c r="AW26" s="8"/>
      <c r="AX26" s="8"/>
      <c r="AY26" s="10"/>
      <c r="AZ26" s="8"/>
      <c r="BA26" s="8"/>
      <c r="BB26" s="10"/>
    </row>
    <row r="27" ht="15.75" customHeight="1">
      <c r="A27" s="35" t="s">
        <v>105</v>
      </c>
      <c r="B27" s="36">
        <f t="shared" si="1"/>
        <v>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>
        <v>2.0</v>
      </c>
      <c r="S27" s="8"/>
      <c r="T27" s="8"/>
      <c r="U27" s="8"/>
      <c r="V27" s="8"/>
      <c r="W27" s="8"/>
      <c r="X27" s="8"/>
      <c r="Y27" s="8"/>
      <c r="Z27" s="8">
        <v>3.0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10"/>
      <c r="AT27" s="8"/>
      <c r="AU27" s="8"/>
      <c r="AV27" s="10"/>
      <c r="AW27" s="8"/>
      <c r="AX27" s="8"/>
      <c r="AY27" s="10"/>
      <c r="AZ27" s="8"/>
      <c r="BA27" s="8"/>
      <c r="BB27" s="10"/>
    </row>
    <row r="28" ht="15.75" customHeight="1">
      <c r="A28" s="35" t="s">
        <v>61</v>
      </c>
      <c r="B28" s="36">
        <f t="shared" si="1"/>
        <v>14.75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>
        <v>3.0</v>
      </c>
      <c r="T28" s="8"/>
      <c r="U28" s="8"/>
      <c r="V28" s="8"/>
      <c r="W28" s="8"/>
      <c r="X28" s="8"/>
      <c r="Y28" s="8"/>
      <c r="Z28" s="8">
        <v>3.0</v>
      </c>
      <c r="AA28" s="8">
        <v>3.0</v>
      </c>
      <c r="AB28" s="8"/>
      <c r="AC28" s="8">
        <v>2.0</v>
      </c>
      <c r="AD28" s="8"/>
      <c r="AE28" s="8"/>
      <c r="AF28" s="8"/>
      <c r="AG28" s="8">
        <v>1.5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10"/>
      <c r="AT28" s="8"/>
      <c r="AU28" s="8"/>
      <c r="AV28" s="38">
        <v>2.25</v>
      </c>
      <c r="AW28" s="8"/>
      <c r="AX28" s="8"/>
      <c r="AY28" s="10"/>
      <c r="AZ28" s="8"/>
      <c r="BA28" s="8"/>
      <c r="BB28" s="10"/>
    </row>
    <row r="29" ht="15.75" customHeight="1">
      <c r="A29" s="35" t="s">
        <v>33</v>
      </c>
      <c r="B29" s="36">
        <f t="shared" si="1"/>
        <v>14.75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>
        <v>3.0</v>
      </c>
      <c r="T29" s="8"/>
      <c r="U29" s="8"/>
      <c r="V29" s="8"/>
      <c r="W29" s="8"/>
      <c r="X29" s="8"/>
      <c r="Y29" s="8"/>
      <c r="Z29" s="8">
        <v>3.0</v>
      </c>
      <c r="AA29" s="8">
        <v>3.0</v>
      </c>
      <c r="AB29" s="8"/>
      <c r="AC29" s="8">
        <v>2.0</v>
      </c>
      <c r="AD29" s="8"/>
      <c r="AE29" s="8"/>
      <c r="AF29" s="8"/>
      <c r="AG29" s="8">
        <v>1.5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10"/>
      <c r="AT29" s="8"/>
      <c r="AU29" s="8"/>
      <c r="AV29" s="38">
        <v>2.25</v>
      </c>
      <c r="AW29" s="8"/>
      <c r="AX29" s="8"/>
      <c r="AY29" s="10"/>
      <c r="AZ29" s="8"/>
      <c r="BA29" s="8"/>
      <c r="BB29" s="10"/>
    </row>
    <row r="30" ht="15.75" customHeight="1">
      <c r="A30" s="35" t="s">
        <v>31</v>
      </c>
      <c r="B30" s="36">
        <f t="shared" si="1"/>
        <v>9.75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>
        <v>3.0</v>
      </c>
      <c r="T30" s="8"/>
      <c r="U30" s="8"/>
      <c r="V30" s="8"/>
      <c r="W30" s="8"/>
      <c r="X30" s="8"/>
      <c r="Y30" s="8"/>
      <c r="Z30" s="8"/>
      <c r="AA30" s="8"/>
      <c r="AB30" s="8">
        <v>2.25</v>
      </c>
      <c r="AC30" s="8">
        <v>2.0</v>
      </c>
      <c r="AD30" s="8"/>
      <c r="AE30" s="8"/>
      <c r="AF30" s="8"/>
      <c r="AG30" s="8"/>
      <c r="AH30" s="8"/>
      <c r="AI30" s="8">
        <v>2.5</v>
      </c>
      <c r="AJ30" s="8"/>
      <c r="AK30" s="8"/>
      <c r="AL30" s="8"/>
      <c r="AM30" s="8"/>
      <c r="AN30" s="8"/>
      <c r="AO30" s="8"/>
      <c r="AP30" s="8"/>
      <c r="AQ30" s="8"/>
      <c r="AR30" s="8"/>
      <c r="AS30" s="10"/>
      <c r="AT30" s="8"/>
      <c r="AU30" s="8"/>
      <c r="AV30" s="10"/>
      <c r="AW30" s="8"/>
      <c r="AX30" s="8"/>
      <c r="AY30" s="10"/>
      <c r="AZ30" s="8"/>
      <c r="BA30" s="8"/>
      <c r="BB30" s="10"/>
    </row>
    <row r="31" ht="15.75" customHeight="1">
      <c r="A31" s="35" t="s">
        <v>316</v>
      </c>
      <c r="B31" s="36">
        <f t="shared" si="1"/>
        <v>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>
        <v>3.0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10"/>
      <c r="AT31" s="8"/>
      <c r="AU31" s="8"/>
      <c r="AV31" s="10"/>
      <c r="AW31" s="8"/>
      <c r="AX31" s="8"/>
      <c r="AY31" s="10"/>
      <c r="AZ31" s="8"/>
      <c r="BA31" s="8"/>
      <c r="BB31" s="10"/>
    </row>
    <row r="32" ht="15.75" customHeight="1">
      <c r="A32" s="35" t="s">
        <v>37</v>
      </c>
      <c r="B32" s="36">
        <f t="shared" si="1"/>
        <v>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>
        <v>3.0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10"/>
      <c r="AT32" s="8"/>
      <c r="AU32" s="8"/>
      <c r="AV32" s="10"/>
      <c r="AW32" s="8"/>
      <c r="AX32" s="8"/>
      <c r="AY32" s="10"/>
      <c r="AZ32" s="8"/>
      <c r="BA32" s="8"/>
      <c r="BB32" s="10"/>
    </row>
    <row r="33" ht="15.75" customHeight="1">
      <c r="A33" s="35" t="s">
        <v>93</v>
      </c>
      <c r="B33" s="36">
        <f t="shared" si="1"/>
        <v>2.5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>
        <v>2.5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10"/>
      <c r="AT33" s="8"/>
      <c r="AU33" s="8"/>
      <c r="AV33" s="10"/>
      <c r="AW33" s="8"/>
      <c r="AX33" s="8"/>
      <c r="AY33" s="10"/>
      <c r="AZ33" s="8"/>
      <c r="BA33" s="8"/>
      <c r="BB33" s="10"/>
    </row>
    <row r="34" ht="15.75" customHeight="1">
      <c r="A34" s="35" t="s">
        <v>317</v>
      </c>
      <c r="B34" s="36">
        <f t="shared" si="1"/>
        <v>5.5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>
        <v>2.5</v>
      </c>
      <c r="V34" s="8"/>
      <c r="W34" s="8"/>
      <c r="X34" s="8"/>
      <c r="Y34" s="8"/>
      <c r="Z34" s="8"/>
      <c r="AA34" s="8"/>
      <c r="AB34" s="8"/>
      <c r="AC34" s="8"/>
      <c r="AD34" s="8"/>
      <c r="AE34" s="8">
        <v>3.0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10"/>
      <c r="AT34" s="8"/>
      <c r="AU34" s="8"/>
      <c r="AV34" s="10"/>
      <c r="AW34" s="8"/>
      <c r="AX34" s="8"/>
      <c r="AY34" s="10"/>
      <c r="AZ34" s="8"/>
      <c r="BA34" s="8"/>
      <c r="BB34" s="10"/>
    </row>
    <row r="35" ht="15.75" customHeight="1">
      <c r="A35" s="35" t="s">
        <v>264</v>
      </c>
      <c r="B35" s="36">
        <f t="shared" si="1"/>
        <v>50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>
        <v>2.5</v>
      </c>
      <c r="W35" s="8">
        <v>2.0</v>
      </c>
      <c r="X35" s="8">
        <v>2.75</v>
      </c>
      <c r="Y35" s="8"/>
      <c r="Z35" s="8">
        <v>3.0</v>
      </c>
      <c r="AA35" s="8"/>
      <c r="AB35" s="8"/>
      <c r="AC35" s="8">
        <v>2.0</v>
      </c>
      <c r="AD35" s="8">
        <v>2.5</v>
      </c>
      <c r="AE35" s="8">
        <v>3.0</v>
      </c>
      <c r="AF35" s="8"/>
      <c r="AG35" s="8">
        <v>4.25</v>
      </c>
      <c r="AH35" s="8">
        <v>2.5</v>
      </c>
      <c r="AI35" s="8"/>
      <c r="AJ35" s="8"/>
      <c r="AK35" s="8">
        <v>4.5</v>
      </c>
      <c r="AL35" s="8"/>
      <c r="AM35" s="8">
        <v>2.5</v>
      </c>
      <c r="AN35" s="8"/>
      <c r="AO35" s="8"/>
      <c r="AP35" s="8">
        <v>4.5</v>
      </c>
      <c r="AQ35" s="20">
        <v>2.0</v>
      </c>
      <c r="AR35" s="8"/>
      <c r="AS35" s="37">
        <v>2.75</v>
      </c>
      <c r="AT35" s="20">
        <v>2.5</v>
      </c>
      <c r="AU35" s="8"/>
      <c r="AV35" s="10"/>
      <c r="AW35" s="8"/>
      <c r="AX35" s="8"/>
      <c r="AY35" s="10"/>
      <c r="AZ35" s="20">
        <v>2.25</v>
      </c>
      <c r="BA35" s="20">
        <v>2.5</v>
      </c>
      <c r="BB35" s="37">
        <v>2.0</v>
      </c>
    </row>
    <row r="36" ht="15.75" customHeight="1">
      <c r="A36" s="35" t="s">
        <v>318</v>
      </c>
      <c r="B36" s="36">
        <f t="shared" si="1"/>
        <v>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>
        <v>2.5</v>
      </c>
      <c r="W36" s="8"/>
      <c r="X36" s="8"/>
      <c r="Y36" s="8"/>
      <c r="Z36" s="8"/>
      <c r="AA36" s="8"/>
      <c r="AB36" s="8"/>
      <c r="AC36" s="8">
        <v>2.0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10"/>
      <c r="AT36" s="8"/>
      <c r="AU36" s="8"/>
      <c r="AV36" s="10"/>
      <c r="AW36" s="8"/>
      <c r="AX36" s="8"/>
      <c r="AY36" s="10"/>
      <c r="AZ36" s="8"/>
      <c r="BA36" s="20">
        <v>2.5</v>
      </c>
      <c r="BB36" s="10"/>
    </row>
    <row r="37" ht="15.75" customHeight="1">
      <c r="A37" s="35" t="s">
        <v>97</v>
      </c>
      <c r="B37" s="36">
        <f t="shared" si="1"/>
        <v>6.5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>
        <v>2.5</v>
      </c>
      <c r="W37" s="8">
        <v>1.0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>
        <v>3.0</v>
      </c>
      <c r="AN37" s="8"/>
      <c r="AO37" s="8"/>
      <c r="AP37" s="8"/>
      <c r="AQ37" s="8"/>
      <c r="AR37" s="8"/>
      <c r="AS37" s="10"/>
      <c r="AT37" s="8"/>
      <c r="AU37" s="8"/>
      <c r="AV37" s="10"/>
      <c r="AW37" s="8"/>
      <c r="AX37" s="8"/>
      <c r="AY37" s="10"/>
      <c r="AZ37" s="8"/>
      <c r="BA37" s="8"/>
      <c r="BB37" s="10"/>
    </row>
    <row r="38" ht="15.75" customHeight="1">
      <c r="A38" s="35" t="s">
        <v>135</v>
      </c>
      <c r="B38" s="36">
        <f t="shared" si="1"/>
        <v>2.5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>
        <v>2.5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10"/>
      <c r="AT38" s="8"/>
      <c r="AU38" s="8"/>
      <c r="AV38" s="10"/>
      <c r="AW38" s="8"/>
      <c r="AX38" s="8"/>
      <c r="AY38" s="10"/>
      <c r="AZ38" s="8"/>
      <c r="BA38" s="8"/>
      <c r="BB38" s="10"/>
    </row>
    <row r="39" ht="15.75" customHeight="1">
      <c r="A39" s="35" t="s">
        <v>319</v>
      </c>
      <c r="B39" s="36">
        <f t="shared" si="1"/>
        <v>2.5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>
        <v>2.5</v>
      </c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10"/>
      <c r="AT39" s="8"/>
      <c r="AU39" s="8"/>
      <c r="AV39" s="10"/>
      <c r="AW39" s="8"/>
      <c r="AX39" s="8"/>
      <c r="AY39" s="10"/>
      <c r="AZ39" s="8"/>
      <c r="BA39" s="8"/>
      <c r="BB39" s="10"/>
    </row>
    <row r="40" ht="15.75" customHeight="1">
      <c r="A40" s="35" t="s">
        <v>320</v>
      </c>
      <c r="B40" s="36">
        <f t="shared" si="1"/>
        <v>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>
        <v>2.5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>
        <v>1.5</v>
      </c>
      <c r="AL40" s="8"/>
      <c r="AM40" s="8"/>
      <c r="AN40" s="8"/>
      <c r="AO40" s="8"/>
      <c r="AP40" s="8"/>
      <c r="AQ40" s="8"/>
      <c r="AR40" s="8"/>
      <c r="AS40" s="10"/>
      <c r="AT40" s="8"/>
      <c r="AU40" s="8"/>
      <c r="AV40" s="10"/>
      <c r="AW40" s="8"/>
      <c r="AX40" s="8"/>
      <c r="AY40" s="10"/>
      <c r="AZ40" s="8"/>
      <c r="BA40" s="8"/>
      <c r="BB40" s="10"/>
    </row>
    <row r="41" ht="15.75" customHeight="1">
      <c r="A41" s="35" t="s">
        <v>321</v>
      </c>
      <c r="B41" s="36">
        <f t="shared" si="1"/>
        <v>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>
        <v>2.5</v>
      </c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>
        <v>1.5</v>
      </c>
      <c r="AL41" s="8"/>
      <c r="AM41" s="8"/>
      <c r="AN41" s="8"/>
      <c r="AO41" s="8"/>
      <c r="AP41" s="8"/>
      <c r="AQ41" s="8"/>
      <c r="AR41" s="8"/>
      <c r="AS41" s="10"/>
      <c r="AT41" s="8"/>
      <c r="AU41" s="8"/>
      <c r="AV41" s="10"/>
      <c r="AW41" s="8"/>
      <c r="AX41" s="8"/>
      <c r="AY41" s="10"/>
      <c r="AZ41" s="8"/>
      <c r="BA41" s="8"/>
      <c r="BB41" s="10"/>
    </row>
    <row r="42" ht="15.75" customHeight="1">
      <c r="A42" s="35" t="s">
        <v>73</v>
      </c>
      <c r="B42" s="36">
        <f t="shared" si="1"/>
        <v>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>
        <v>2.5</v>
      </c>
      <c r="Z42" s="8"/>
      <c r="AA42" s="8"/>
      <c r="AB42" s="8"/>
      <c r="AC42" s="8"/>
      <c r="AD42" s="8"/>
      <c r="AE42" s="8"/>
      <c r="AF42" s="8"/>
      <c r="AG42" s="8"/>
      <c r="AH42" s="8">
        <v>2.5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10"/>
      <c r="AT42" s="8"/>
      <c r="AU42" s="8"/>
      <c r="AV42" s="10"/>
      <c r="AW42" s="8"/>
      <c r="AX42" s="8"/>
      <c r="AY42" s="10"/>
      <c r="AZ42" s="8"/>
      <c r="BA42" s="8"/>
      <c r="BB42" s="10"/>
    </row>
    <row r="43" ht="15.75" customHeight="1">
      <c r="A43" s="35" t="s">
        <v>259</v>
      </c>
      <c r="B43" s="36">
        <f t="shared" si="1"/>
        <v>5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>
        <v>2.5</v>
      </c>
      <c r="Z43" s="8"/>
      <c r="AA43" s="8"/>
      <c r="AB43" s="8"/>
      <c r="AC43" s="8"/>
      <c r="AD43" s="8"/>
      <c r="AE43" s="8"/>
      <c r="AF43" s="8"/>
      <c r="AG43" s="8"/>
      <c r="AH43" s="8">
        <v>2.5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10"/>
      <c r="AT43" s="8"/>
      <c r="AU43" s="8"/>
      <c r="AV43" s="10"/>
      <c r="AW43" s="8"/>
      <c r="AX43" s="8"/>
      <c r="AY43" s="10"/>
      <c r="AZ43" s="8"/>
      <c r="BA43" s="8"/>
      <c r="BB43" s="10"/>
    </row>
    <row r="44" ht="15.75" customHeight="1">
      <c r="A44" s="35" t="s">
        <v>100</v>
      </c>
      <c r="B44" s="36">
        <f t="shared" si="1"/>
        <v>18.75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>
        <v>2.5</v>
      </c>
      <c r="AB44" s="8">
        <v>3.0</v>
      </c>
      <c r="AC44" s="8">
        <v>2.0</v>
      </c>
      <c r="AD44" s="8"/>
      <c r="AE44" s="8"/>
      <c r="AF44" s="8"/>
      <c r="AG44" s="8"/>
      <c r="AH44" s="8"/>
      <c r="AI44" s="8"/>
      <c r="AJ44" s="8"/>
      <c r="AK44" s="8"/>
      <c r="AL44" s="8">
        <v>2.75</v>
      </c>
      <c r="AM44" s="8"/>
      <c r="AN44" s="8">
        <v>3.0</v>
      </c>
      <c r="AO44" s="8"/>
      <c r="AP44" s="8"/>
      <c r="AQ44" s="8"/>
      <c r="AR44" s="8"/>
      <c r="AS44" s="37">
        <v>2.5</v>
      </c>
      <c r="AT44" s="8"/>
      <c r="AU44" s="8"/>
      <c r="AV44" s="38">
        <v>3.0</v>
      </c>
      <c r="AW44" s="8"/>
      <c r="AX44" s="8"/>
      <c r="AY44" s="10"/>
      <c r="AZ44" s="8"/>
      <c r="BA44" s="8"/>
      <c r="BB44" s="10"/>
    </row>
    <row r="45" ht="15.75" customHeight="1">
      <c r="A45" s="35" t="s">
        <v>106</v>
      </c>
      <c r="B45" s="36">
        <f t="shared" si="1"/>
        <v>2.75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>
        <v>2.75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10"/>
      <c r="AT45" s="8"/>
      <c r="AU45" s="8"/>
      <c r="AV45" s="10"/>
      <c r="AW45" s="8"/>
      <c r="AX45" s="8"/>
      <c r="AY45" s="10"/>
      <c r="AZ45" s="8"/>
      <c r="BA45" s="8"/>
      <c r="BB45" s="10"/>
    </row>
    <row r="46" ht="15.75" customHeight="1">
      <c r="A46" s="35" t="s">
        <v>16</v>
      </c>
      <c r="B46" s="36">
        <f t="shared" si="1"/>
        <v>7.75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>
        <v>2.25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10"/>
      <c r="AT46" s="8"/>
      <c r="AU46" s="20">
        <v>2.5</v>
      </c>
      <c r="AV46" s="38">
        <v>3.0</v>
      </c>
      <c r="AW46" s="8"/>
      <c r="AX46" s="8"/>
      <c r="AY46" s="10"/>
      <c r="AZ46" s="8"/>
      <c r="BA46" s="8"/>
      <c r="BB46" s="10"/>
    </row>
    <row r="47" ht="15.75" customHeight="1">
      <c r="A47" s="35" t="s">
        <v>142</v>
      </c>
      <c r="B47" s="36">
        <f t="shared" si="1"/>
        <v>19.75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>
        <v>2.5</v>
      </c>
      <c r="AC47" s="8">
        <v>2.0</v>
      </c>
      <c r="AD47" s="8"/>
      <c r="AE47" s="8">
        <v>3.0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>
        <v>2.75</v>
      </c>
      <c r="AQ47" s="8"/>
      <c r="AR47" s="20">
        <v>2.0</v>
      </c>
      <c r="AS47" s="37">
        <v>2.5</v>
      </c>
      <c r="AT47" s="8"/>
      <c r="AU47" s="20">
        <v>2.0</v>
      </c>
      <c r="AV47" s="38">
        <v>3.0</v>
      </c>
      <c r="AW47" s="8"/>
      <c r="AX47" s="8"/>
      <c r="AY47" s="10"/>
      <c r="AZ47" s="8"/>
      <c r="BA47" s="8"/>
      <c r="BB47" s="10"/>
    </row>
    <row r="48" ht="15.75" customHeight="1">
      <c r="A48" s="35" t="s">
        <v>251</v>
      </c>
      <c r="B48" s="36">
        <f t="shared" si="1"/>
        <v>7.25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>
        <v>2.5</v>
      </c>
      <c r="AE48" s="8"/>
      <c r="AF48" s="8">
        <v>2.0</v>
      </c>
      <c r="AG48" s="8"/>
      <c r="AH48" s="8"/>
      <c r="AI48" s="8"/>
      <c r="AJ48" s="8">
        <v>2.75</v>
      </c>
      <c r="AK48" s="8"/>
      <c r="AL48" s="8"/>
      <c r="AM48" s="8"/>
      <c r="AN48" s="8"/>
      <c r="AO48" s="8"/>
      <c r="AP48" s="8"/>
      <c r="AQ48" s="8"/>
      <c r="AR48" s="8"/>
      <c r="AS48" s="10"/>
      <c r="AT48" s="8"/>
      <c r="AU48" s="8"/>
      <c r="AV48" s="10"/>
      <c r="AW48" s="8"/>
      <c r="AX48" s="8"/>
      <c r="AY48" s="10"/>
      <c r="AZ48" s="8"/>
      <c r="BA48" s="8"/>
      <c r="BB48" s="10"/>
    </row>
    <row r="49" ht="15.75" customHeight="1">
      <c r="A49" s="35" t="s">
        <v>322</v>
      </c>
      <c r="B49" s="36">
        <f t="shared" si="1"/>
        <v>2.5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>
        <v>2.5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10"/>
      <c r="AT49" s="8"/>
      <c r="AU49" s="8"/>
      <c r="AV49" s="10"/>
      <c r="AW49" s="8"/>
      <c r="AX49" s="8"/>
      <c r="AY49" s="10"/>
      <c r="AZ49" s="8"/>
      <c r="BA49" s="8"/>
      <c r="BB49" s="10"/>
    </row>
    <row r="50" ht="15.75" customHeight="1">
      <c r="A50" s="35" t="s">
        <v>109</v>
      </c>
      <c r="B50" s="36">
        <f t="shared" si="1"/>
        <v>7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>
        <v>3.0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20">
        <v>2.0</v>
      </c>
      <c r="AS50" s="10"/>
      <c r="AT50" s="8"/>
      <c r="AU50" s="20">
        <v>2.0</v>
      </c>
      <c r="AV50" s="10"/>
      <c r="AW50" s="8"/>
      <c r="AX50" s="8"/>
      <c r="AY50" s="10"/>
      <c r="AZ50" s="8"/>
      <c r="BA50" s="8"/>
      <c r="BB50" s="10"/>
    </row>
    <row r="51" ht="15.75" customHeight="1">
      <c r="A51" s="35" t="s">
        <v>323</v>
      </c>
      <c r="B51" s="36">
        <f t="shared" si="1"/>
        <v>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>
        <v>3.0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10"/>
      <c r="AT51" s="8"/>
      <c r="AU51" s="8"/>
      <c r="AV51" s="10"/>
      <c r="AW51" s="8"/>
      <c r="AX51" s="8"/>
      <c r="AY51" s="10"/>
      <c r="AZ51" s="8"/>
      <c r="BA51" s="8"/>
      <c r="BB51" s="10"/>
    </row>
    <row r="52" ht="15.75" customHeight="1">
      <c r="A52" s="35" t="s">
        <v>67</v>
      </c>
      <c r="B52" s="36">
        <f t="shared" si="1"/>
        <v>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>
        <v>3.0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10"/>
      <c r="AT52" s="8"/>
      <c r="AU52" s="8"/>
      <c r="AV52" s="10"/>
      <c r="AW52" s="8"/>
      <c r="AX52" s="8"/>
      <c r="AY52" s="10"/>
      <c r="AZ52" s="8"/>
      <c r="BA52" s="8"/>
      <c r="BB52" s="10"/>
    </row>
    <row r="53" ht="15.75" customHeight="1">
      <c r="A53" s="35" t="s">
        <v>324</v>
      </c>
      <c r="B53" s="36">
        <f t="shared" si="1"/>
        <v>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>
        <v>2.0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10"/>
      <c r="AT53" s="8"/>
      <c r="AU53" s="8"/>
      <c r="AV53" s="10"/>
      <c r="AW53" s="8"/>
      <c r="AX53" s="8"/>
      <c r="AY53" s="10"/>
      <c r="AZ53" s="8"/>
      <c r="BA53" s="8"/>
      <c r="BB53" s="10"/>
    </row>
    <row r="54" ht="15.75" customHeight="1">
      <c r="A54" s="35" t="s">
        <v>325</v>
      </c>
      <c r="B54" s="36">
        <f t="shared" si="1"/>
        <v>4.5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>
        <v>2.0</v>
      </c>
      <c r="AG54" s="8"/>
      <c r="AH54" s="8"/>
      <c r="AI54" s="8">
        <v>2.5</v>
      </c>
      <c r="AJ54" s="8"/>
      <c r="AK54" s="8"/>
      <c r="AL54" s="8"/>
      <c r="AM54" s="8"/>
      <c r="AN54" s="8"/>
      <c r="AO54" s="8"/>
      <c r="AP54" s="8"/>
      <c r="AQ54" s="8"/>
      <c r="AR54" s="8"/>
      <c r="AS54" s="10"/>
      <c r="AT54" s="8"/>
      <c r="AU54" s="8"/>
      <c r="AV54" s="10"/>
      <c r="AW54" s="8"/>
      <c r="AX54" s="8"/>
      <c r="AY54" s="10"/>
      <c r="AZ54" s="8"/>
      <c r="BA54" s="8"/>
      <c r="BB54" s="10"/>
    </row>
    <row r="55" ht="15.75" customHeight="1">
      <c r="A55" s="35" t="s">
        <v>209</v>
      </c>
      <c r="B55" s="36">
        <f t="shared" si="1"/>
        <v>33.75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>
        <v>2.0</v>
      </c>
      <c r="AG55" s="8">
        <v>2.5</v>
      </c>
      <c r="AH55" s="8"/>
      <c r="AI55" s="8">
        <v>2.5</v>
      </c>
      <c r="AJ55" s="8"/>
      <c r="AK55" s="8"/>
      <c r="AL55" s="8">
        <v>2.75</v>
      </c>
      <c r="AM55" s="8"/>
      <c r="AN55" s="8">
        <v>3.5</v>
      </c>
      <c r="AO55" s="8"/>
      <c r="AP55" s="8"/>
      <c r="AQ55" s="20">
        <v>3.75</v>
      </c>
      <c r="AR55" s="8"/>
      <c r="AS55" s="37">
        <v>3.0</v>
      </c>
      <c r="AT55" s="8"/>
      <c r="AU55" s="20">
        <v>2.75</v>
      </c>
      <c r="AV55" s="10"/>
      <c r="AW55" s="8"/>
      <c r="AX55" s="20">
        <v>3.0</v>
      </c>
      <c r="AY55" s="37">
        <v>2.75</v>
      </c>
      <c r="AZ55" s="20">
        <v>3.0</v>
      </c>
      <c r="BA55" s="8"/>
      <c r="BB55" s="37">
        <v>2.25</v>
      </c>
    </row>
    <row r="56" ht="15.75" customHeight="1">
      <c r="A56" s="35" t="s">
        <v>326</v>
      </c>
      <c r="B56" s="36">
        <f t="shared" si="1"/>
        <v>14.5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>
        <v>2.5</v>
      </c>
      <c r="AH56" s="8"/>
      <c r="AI56" s="8"/>
      <c r="AJ56" s="8"/>
      <c r="AK56" s="8"/>
      <c r="AL56" s="8">
        <v>2.75</v>
      </c>
      <c r="AM56" s="8"/>
      <c r="AN56" s="8">
        <v>3.5</v>
      </c>
      <c r="AO56" s="8"/>
      <c r="AP56" s="8"/>
      <c r="AQ56" s="8"/>
      <c r="AR56" s="8"/>
      <c r="AS56" s="10"/>
      <c r="AT56" s="8"/>
      <c r="AU56" s="8"/>
      <c r="AV56" s="10"/>
      <c r="AW56" s="8"/>
      <c r="AX56" s="8"/>
      <c r="AY56" s="37">
        <v>2.75</v>
      </c>
      <c r="AZ56" s="20">
        <v>3.0</v>
      </c>
      <c r="BA56" s="8"/>
      <c r="BB56" s="10"/>
    </row>
    <row r="57" ht="15.75" customHeight="1">
      <c r="A57" s="35" t="s">
        <v>163</v>
      </c>
      <c r="B57" s="36">
        <f t="shared" si="1"/>
        <v>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>
        <v>2.0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10"/>
      <c r="AT57" s="8"/>
      <c r="AU57" s="8"/>
      <c r="AV57" s="10"/>
      <c r="AW57" s="8"/>
      <c r="AX57" s="8"/>
      <c r="AY57" s="10"/>
      <c r="AZ57" s="8"/>
      <c r="BA57" s="8"/>
      <c r="BB57" s="10"/>
    </row>
    <row r="58" ht="15.75" customHeight="1">
      <c r="A58" s="35" t="s">
        <v>15</v>
      </c>
      <c r="B58" s="36">
        <f t="shared" si="1"/>
        <v>4.75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>
        <v>2.0</v>
      </c>
      <c r="AH58" s="8"/>
      <c r="AI58" s="8"/>
      <c r="AJ58" s="8">
        <v>2.75</v>
      </c>
      <c r="AK58" s="8"/>
      <c r="AL58" s="8"/>
      <c r="AM58" s="8"/>
      <c r="AN58" s="8"/>
      <c r="AO58" s="8"/>
      <c r="AP58" s="8"/>
      <c r="AQ58" s="8"/>
      <c r="AR58" s="8"/>
      <c r="AS58" s="10"/>
      <c r="AT58" s="8"/>
      <c r="AU58" s="8"/>
      <c r="AV58" s="10"/>
      <c r="AW58" s="8"/>
      <c r="AX58" s="8"/>
      <c r="AY58" s="10"/>
      <c r="AZ58" s="8"/>
      <c r="BA58" s="8"/>
      <c r="BB58" s="10"/>
    </row>
    <row r="59" ht="15.75" customHeight="1">
      <c r="A59" s="35" t="s">
        <v>12</v>
      </c>
      <c r="B59" s="36">
        <f t="shared" si="1"/>
        <v>19.25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>
        <v>2.0</v>
      </c>
      <c r="AJ59" s="8"/>
      <c r="AK59" s="8"/>
      <c r="AL59" s="8">
        <v>2.75</v>
      </c>
      <c r="AM59" s="8"/>
      <c r="AN59" s="8">
        <v>1.0</v>
      </c>
      <c r="AO59" s="8"/>
      <c r="AP59" s="8">
        <v>2.75</v>
      </c>
      <c r="AQ59" s="8"/>
      <c r="AR59" s="20">
        <v>3.0</v>
      </c>
      <c r="AS59" s="10"/>
      <c r="AT59" s="20">
        <v>2.5</v>
      </c>
      <c r="AU59" s="8"/>
      <c r="AV59" s="10"/>
      <c r="AW59" s="20">
        <v>2.75</v>
      </c>
      <c r="AX59" s="8"/>
      <c r="AY59" s="10"/>
      <c r="AZ59" s="20">
        <v>2.5</v>
      </c>
      <c r="BA59" s="8"/>
      <c r="BB59" s="10"/>
    </row>
    <row r="60" ht="15.75" customHeight="1">
      <c r="A60" s="35" t="s">
        <v>150</v>
      </c>
      <c r="B60" s="36">
        <f t="shared" si="1"/>
        <v>23.75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>
        <v>2.5</v>
      </c>
      <c r="AJ60" s="8"/>
      <c r="AK60" s="8"/>
      <c r="AL60" s="8"/>
      <c r="AM60" s="8">
        <v>3.0</v>
      </c>
      <c r="AN60" s="8"/>
      <c r="AO60" s="8">
        <v>3.0</v>
      </c>
      <c r="AP60" s="8">
        <v>3.0</v>
      </c>
      <c r="AQ60" s="20">
        <v>2.0</v>
      </c>
      <c r="AR60" s="20">
        <v>2.5</v>
      </c>
      <c r="AS60" s="37">
        <v>2.5</v>
      </c>
      <c r="AT60" s="20">
        <v>2.5</v>
      </c>
      <c r="AU60" s="8"/>
      <c r="AV60" s="10"/>
      <c r="AW60" s="20">
        <v>2.75</v>
      </c>
      <c r="AX60" s="8"/>
      <c r="AY60" s="10"/>
      <c r="AZ60" s="8"/>
      <c r="BA60" s="8"/>
      <c r="BB60" s="10"/>
    </row>
    <row r="61" ht="15.75" customHeight="1">
      <c r="A61" s="35" t="s">
        <v>327</v>
      </c>
      <c r="B61" s="36">
        <f t="shared" si="1"/>
        <v>1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>
        <v>1.0</v>
      </c>
      <c r="AJ61" s="8"/>
      <c r="AK61" s="8"/>
      <c r="AL61" s="8"/>
      <c r="AM61" s="8"/>
      <c r="AN61" s="8"/>
      <c r="AO61" s="8"/>
      <c r="AP61" s="8"/>
      <c r="AQ61" s="8"/>
      <c r="AR61" s="8"/>
      <c r="AS61" s="10"/>
      <c r="AT61" s="8"/>
      <c r="AU61" s="8"/>
      <c r="AV61" s="10"/>
      <c r="AW61" s="8"/>
      <c r="AX61" s="8"/>
      <c r="AY61" s="10"/>
      <c r="AZ61" s="8"/>
      <c r="BA61" s="8"/>
      <c r="BB61" s="10"/>
    </row>
    <row r="62" ht="15.75" customHeight="1">
      <c r="A62" s="35" t="s">
        <v>328</v>
      </c>
      <c r="B62" s="36">
        <f t="shared" si="1"/>
        <v>2.75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>
        <v>2.75</v>
      </c>
      <c r="AK62" s="8"/>
      <c r="AL62" s="8"/>
      <c r="AM62" s="8"/>
      <c r="AN62" s="8"/>
      <c r="AO62" s="8"/>
      <c r="AP62" s="8"/>
      <c r="AQ62" s="8"/>
      <c r="AR62" s="8"/>
      <c r="AS62" s="10"/>
      <c r="AT62" s="8"/>
      <c r="AU62" s="8"/>
      <c r="AV62" s="10"/>
      <c r="AW62" s="8"/>
      <c r="AX62" s="8"/>
      <c r="AY62" s="10"/>
      <c r="AZ62" s="8"/>
      <c r="BA62" s="8"/>
      <c r="BB62" s="10"/>
    </row>
    <row r="63" ht="15.75" customHeight="1">
      <c r="A63" s="35" t="s">
        <v>99</v>
      </c>
      <c r="B63" s="36">
        <f t="shared" si="1"/>
        <v>2.75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>
        <v>2.75</v>
      </c>
      <c r="AK63" s="8"/>
      <c r="AL63" s="8"/>
      <c r="AM63" s="8"/>
      <c r="AN63" s="8"/>
      <c r="AO63" s="8"/>
      <c r="AP63" s="8"/>
      <c r="AQ63" s="8"/>
      <c r="AR63" s="8"/>
      <c r="AS63" s="10"/>
      <c r="AT63" s="8"/>
      <c r="AU63" s="8"/>
      <c r="AV63" s="10"/>
      <c r="AW63" s="8"/>
      <c r="AX63" s="8"/>
      <c r="AY63" s="10"/>
      <c r="AZ63" s="8"/>
      <c r="BA63" s="8"/>
      <c r="BB63" s="10"/>
    </row>
    <row r="64" ht="15.75" customHeight="1">
      <c r="A64" s="35" t="s">
        <v>329</v>
      </c>
      <c r="B64" s="36">
        <f t="shared" si="1"/>
        <v>1.5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>
        <v>1.5</v>
      </c>
      <c r="AL64" s="8"/>
      <c r="AM64" s="8"/>
      <c r="AN64" s="8"/>
      <c r="AO64" s="8"/>
      <c r="AP64" s="8"/>
      <c r="AQ64" s="8"/>
      <c r="AR64" s="8"/>
      <c r="AS64" s="10"/>
      <c r="AT64" s="8"/>
      <c r="AU64" s="8"/>
      <c r="AV64" s="10"/>
      <c r="AW64" s="8"/>
      <c r="AX64" s="8"/>
      <c r="AY64" s="10"/>
      <c r="AZ64" s="8"/>
      <c r="BA64" s="8"/>
      <c r="BB64" s="10"/>
    </row>
    <row r="65" ht="15.75" customHeight="1">
      <c r="A65" s="35" t="s">
        <v>134</v>
      </c>
      <c r="B65" s="36">
        <f t="shared" si="1"/>
        <v>36.75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>
        <v>2.75</v>
      </c>
      <c r="AL65" s="8">
        <v>2.75</v>
      </c>
      <c r="AM65" s="8">
        <v>3.0</v>
      </c>
      <c r="AN65" s="8">
        <v>2.5</v>
      </c>
      <c r="AO65" s="8"/>
      <c r="AP65" s="8"/>
      <c r="AQ65" s="20">
        <v>2.0</v>
      </c>
      <c r="AR65" s="20">
        <v>3.0</v>
      </c>
      <c r="AS65" s="37">
        <v>2.5</v>
      </c>
      <c r="AT65" s="20">
        <v>2.5</v>
      </c>
      <c r="AU65" s="8"/>
      <c r="AV65" s="38">
        <v>3.0</v>
      </c>
      <c r="AW65" s="20">
        <v>3.0</v>
      </c>
      <c r="AX65" s="20">
        <v>2.5</v>
      </c>
      <c r="AY65" s="37">
        <v>2.25</v>
      </c>
      <c r="AZ65" s="20">
        <v>2.5</v>
      </c>
      <c r="BA65" s="20">
        <v>2.5</v>
      </c>
      <c r="BB65" s="10"/>
    </row>
    <row r="66" ht="15.75" customHeight="1">
      <c r="A66" s="35" t="s">
        <v>330</v>
      </c>
      <c r="B66" s="36">
        <f t="shared" si="1"/>
        <v>1.5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>
        <v>1.5</v>
      </c>
      <c r="AL66" s="8"/>
      <c r="AM66" s="8"/>
      <c r="AN66" s="8"/>
      <c r="AO66" s="8"/>
      <c r="AP66" s="8"/>
      <c r="AQ66" s="8"/>
      <c r="AR66" s="8"/>
      <c r="AS66" s="10"/>
      <c r="AT66" s="8"/>
      <c r="AU66" s="8"/>
      <c r="AV66" s="10"/>
      <c r="AW66" s="8"/>
      <c r="AX66" s="8"/>
      <c r="AY66" s="10"/>
      <c r="AZ66" s="8"/>
      <c r="BA66" s="8"/>
      <c r="BB66" s="10"/>
    </row>
    <row r="67" ht="15.75" customHeight="1">
      <c r="A67" s="35" t="s">
        <v>331</v>
      </c>
      <c r="B67" s="36">
        <f t="shared" si="1"/>
        <v>15.5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>
        <v>3.0</v>
      </c>
      <c r="AN67" s="8"/>
      <c r="AO67" s="8">
        <v>3.0</v>
      </c>
      <c r="AP67" s="8"/>
      <c r="AQ67" s="8"/>
      <c r="AR67" s="20">
        <v>2.75</v>
      </c>
      <c r="AS67" s="10"/>
      <c r="AT67" s="8"/>
      <c r="AU67" s="20">
        <v>2.25</v>
      </c>
      <c r="AV67" s="10"/>
      <c r="AW67" s="8"/>
      <c r="AX67" s="8"/>
      <c r="AY67" s="37">
        <v>2.0</v>
      </c>
      <c r="AZ67" s="8"/>
      <c r="BA67" s="20">
        <v>2.5</v>
      </c>
      <c r="BB67" s="10"/>
    </row>
    <row r="68" ht="15.75" customHeight="1">
      <c r="A68" s="35" t="s">
        <v>332</v>
      </c>
      <c r="B68" s="36">
        <f t="shared" si="1"/>
        <v>3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>
        <v>3.0</v>
      </c>
      <c r="AN68" s="8"/>
      <c r="AO68" s="8"/>
      <c r="AP68" s="8"/>
      <c r="AQ68" s="8"/>
      <c r="AR68" s="8"/>
      <c r="AS68" s="10"/>
      <c r="AT68" s="8"/>
      <c r="AU68" s="8"/>
      <c r="AV68" s="10"/>
      <c r="AW68" s="8"/>
      <c r="AX68" s="8"/>
      <c r="AY68" s="10"/>
      <c r="AZ68" s="8"/>
      <c r="BA68" s="8"/>
      <c r="BB68" s="10"/>
    </row>
    <row r="69" ht="15.75" customHeight="1">
      <c r="A69" s="35" t="s">
        <v>333</v>
      </c>
      <c r="B69" s="36">
        <f t="shared" si="1"/>
        <v>21.25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>
        <v>2.75</v>
      </c>
      <c r="AO69" s="8"/>
      <c r="AP69" s="8">
        <v>3.0</v>
      </c>
      <c r="AQ69" s="8"/>
      <c r="AR69" s="20">
        <v>2.75</v>
      </c>
      <c r="AS69" s="37">
        <v>2.5</v>
      </c>
      <c r="AT69" s="8"/>
      <c r="AU69" s="8"/>
      <c r="AV69" s="10"/>
      <c r="AW69" s="20">
        <v>3.0</v>
      </c>
      <c r="AX69" s="20">
        <v>2.5</v>
      </c>
      <c r="AY69" s="37">
        <v>2.25</v>
      </c>
      <c r="AZ69" s="8"/>
      <c r="BA69" s="20">
        <v>2.5</v>
      </c>
      <c r="BB69" s="10"/>
    </row>
    <row r="70" ht="15.75" customHeight="1">
      <c r="A70" s="35" t="s">
        <v>334</v>
      </c>
      <c r="B70" s="36">
        <f t="shared" si="1"/>
        <v>8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>
        <v>3.0</v>
      </c>
      <c r="AO70" s="8">
        <v>3.0</v>
      </c>
      <c r="AP70" s="8"/>
      <c r="AQ70" s="20">
        <v>2.0</v>
      </c>
      <c r="AR70" s="8"/>
      <c r="AS70" s="10"/>
      <c r="AT70" s="8"/>
      <c r="AU70" s="8"/>
      <c r="AV70" s="10"/>
      <c r="AW70" s="8"/>
      <c r="AX70" s="8"/>
      <c r="AY70" s="10"/>
      <c r="AZ70" s="8"/>
      <c r="BA70" s="8"/>
      <c r="BB70" s="10"/>
    </row>
    <row r="71" ht="15.75" customHeight="1">
      <c r="A71" s="35" t="s">
        <v>335</v>
      </c>
      <c r="B71" s="36">
        <f t="shared" si="1"/>
        <v>3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>
        <v>3.0</v>
      </c>
      <c r="AO71" s="8"/>
      <c r="AP71" s="8"/>
      <c r="AQ71" s="8"/>
      <c r="AR71" s="8"/>
      <c r="AS71" s="10"/>
      <c r="AT71" s="8"/>
      <c r="AU71" s="8"/>
      <c r="AV71" s="10"/>
      <c r="AW71" s="8"/>
      <c r="AX71" s="8"/>
      <c r="AY71" s="10"/>
      <c r="AZ71" s="8"/>
      <c r="BA71" s="8"/>
      <c r="BB71" s="10"/>
    </row>
    <row r="72" ht="15.75" customHeight="1">
      <c r="A72" s="35" t="s">
        <v>156</v>
      </c>
      <c r="B72" s="36">
        <f t="shared" si="1"/>
        <v>12.5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>
        <v>3.0</v>
      </c>
      <c r="AP72" s="8">
        <v>3.0</v>
      </c>
      <c r="AQ72" s="20">
        <v>2.0</v>
      </c>
      <c r="AR72" s="8"/>
      <c r="AS72" s="10"/>
      <c r="AT72" s="20">
        <v>2.5</v>
      </c>
      <c r="AU72" s="8"/>
      <c r="AV72" s="10"/>
      <c r="AW72" s="8"/>
      <c r="AX72" s="8"/>
      <c r="AY72" s="10"/>
      <c r="AZ72" s="8"/>
      <c r="BA72" s="8"/>
      <c r="BB72" s="37">
        <v>2.0</v>
      </c>
    </row>
    <row r="73" ht="15.75" customHeight="1">
      <c r="A73" s="35" t="s">
        <v>148</v>
      </c>
      <c r="B73" s="36">
        <f t="shared" si="1"/>
        <v>3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>
        <v>3.0</v>
      </c>
      <c r="AP73" s="8"/>
      <c r="AQ73" s="8"/>
      <c r="AR73" s="8"/>
      <c r="AS73" s="10"/>
      <c r="AT73" s="8"/>
      <c r="AU73" s="8"/>
      <c r="AV73" s="10"/>
      <c r="AW73" s="8"/>
      <c r="AX73" s="8"/>
      <c r="AY73" s="10"/>
      <c r="AZ73" s="8"/>
      <c r="BA73" s="8"/>
      <c r="BB73" s="10"/>
    </row>
    <row r="74" ht="15.75" customHeight="1">
      <c r="A74" s="35" t="s">
        <v>265</v>
      </c>
      <c r="B74" s="36">
        <f t="shared" si="1"/>
        <v>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>
        <v>3.0</v>
      </c>
      <c r="AP74" s="8"/>
      <c r="AQ74" s="8"/>
      <c r="AR74" s="20">
        <v>2.0</v>
      </c>
      <c r="AS74" s="10"/>
      <c r="AT74" s="8"/>
      <c r="AU74" s="8"/>
      <c r="AV74" s="10"/>
      <c r="AW74" s="8"/>
      <c r="AX74" s="8"/>
      <c r="AY74" s="10"/>
      <c r="AZ74" s="8"/>
      <c r="BA74" s="8"/>
      <c r="BB74" s="10"/>
    </row>
    <row r="75" ht="15.75" customHeight="1">
      <c r="A75" s="35" t="s">
        <v>149</v>
      </c>
      <c r="B75" s="36">
        <f t="shared" si="1"/>
        <v>3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>
        <v>3.0</v>
      </c>
      <c r="AP75" s="8"/>
      <c r="AQ75" s="8"/>
      <c r="AR75" s="8"/>
      <c r="AS75" s="10"/>
      <c r="AT75" s="8"/>
      <c r="AU75" s="8"/>
      <c r="AV75" s="10"/>
      <c r="AW75" s="8"/>
      <c r="AX75" s="8"/>
      <c r="AY75" s="10"/>
      <c r="AZ75" s="8"/>
      <c r="BA75" s="8"/>
      <c r="BB75" s="10"/>
    </row>
    <row r="76" ht="15.75" customHeight="1">
      <c r="A76" s="39" t="s">
        <v>336</v>
      </c>
      <c r="B76" s="36">
        <f t="shared" si="1"/>
        <v>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20">
        <v>2.0</v>
      </c>
      <c r="AR76" s="8"/>
      <c r="AS76" s="10"/>
      <c r="AT76" s="8"/>
      <c r="AU76" s="8"/>
      <c r="AV76" s="10"/>
      <c r="AW76" s="8"/>
      <c r="AX76" s="8"/>
      <c r="AY76" s="10"/>
      <c r="AZ76" s="8"/>
      <c r="BA76" s="8"/>
      <c r="BB76" s="10"/>
    </row>
    <row r="77" ht="15.75" customHeight="1">
      <c r="A77" s="39" t="s">
        <v>337</v>
      </c>
      <c r="B77" s="36">
        <f t="shared" si="1"/>
        <v>4.5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20">
        <v>2.0</v>
      </c>
      <c r="AR77" s="8"/>
      <c r="AS77" s="10"/>
      <c r="AT77" s="20">
        <v>2.5</v>
      </c>
      <c r="AU77" s="8"/>
      <c r="AV77" s="10"/>
      <c r="AW77" s="8"/>
      <c r="AX77" s="8"/>
      <c r="AY77" s="10"/>
      <c r="AZ77" s="8"/>
      <c r="BA77" s="8"/>
      <c r="BB77" s="10"/>
    </row>
    <row r="78" ht="15.75" customHeight="1">
      <c r="A78" s="39" t="s">
        <v>23</v>
      </c>
      <c r="B78" s="36">
        <f t="shared" si="1"/>
        <v>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20">
        <v>2.0</v>
      </c>
      <c r="AS78" s="10"/>
      <c r="AT78" s="8"/>
      <c r="AU78" s="8"/>
      <c r="AV78" s="10"/>
      <c r="AW78" s="8"/>
      <c r="AX78" s="8"/>
      <c r="AY78" s="10"/>
      <c r="AZ78" s="8"/>
      <c r="BA78" s="8"/>
      <c r="BB78" s="10"/>
    </row>
    <row r="79" ht="15.75" customHeight="1">
      <c r="A79" s="39" t="s">
        <v>122</v>
      </c>
      <c r="B79" s="36">
        <f t="shared" si="1"/>
        <v>2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37">
        <v>2.0</v>
      </c>
      <c r="AT79" s="8"/>
      <c r="AU79" s="8"/>
      <c r="AV79" s="10"/>
      <c r="AW79" s="8"/>
      <c r="AX79" s="8"/>
      <c r="AY79" s="10"/>
      <c r="AZ79" s="8"/>
      <c r="BA79" s="8"/>
      <c r="BB79" s="10"/>
    </row>
    <row r="80" ht="15.75" customHeight="1">
      <c r="A80" s="39" t="s">
        <v>338</v>
      </c>
      <c r="B80" s="36">
        <f t="shared" si="1"/>
        <v>2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37">
        <v>2.0</v>
      </c>
      <c r="AT80" s="8"/>
      <c r="AU80" s="8"/>
      <c r="AV80" s="10"/>
      <c r="AW80" s="8"/>
      <c r="AX80" s="8"/>
      <c r="AY80" s="10"/>
      <c r="AZ80" s="8"/>
      <c r="BA80" s="8"/>
      <c r="BB80" s="10"/>
    </row>
    <row r="81" ht="15.75" customHeight="1">
      <c r="A81" s="39" t="s">
        <v>339</v>
      </c>
      <c r="B81" s="36">
        <f t="shared" si="1"/>
        <v>5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37">
        <v>2.5</v>
      </c>
      <c r="AT81" s="8"/>
      <c r="AU81" s="20">
        <v>2.5</v>
      </c>
      <c r="AV81" s="10"/>
      <c r="AW81" s="8"/>
      <c r="AX81" s="8"/>
      <c r="AY81" s="10"/>
      <c r="AZ81" s="8"/>
      <c r="BA81" s="8"/>
      <c r="BB81" s="10"/>
    </row>
    <row r="82" ht="15.75" customHeight="1">
      <c r="A82" s="39" t="s">
        <v>340</v>
      </c>
      <c r="B82" s="36">
        <f t="shared" si="1"/>
        <v>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37">
        <v>2.0</v>
      </c>
      <c r="AT82" s="8"/>
      <c r="AU82" s="8"/>
      <c r="AV82" s="10"/>
      <c r="AW82" s="8"/>
      <c r="AX82" s="8"/>
      <c r="AY82" s="10"/>
      <c r="AZ82" s="8"/>
      <c r="BA82" s="8"/>
      <c r="BB82" s="10"/>
    </row>
    <row r="83" ht="15.75" customHeight="1">
      <c r="A83" s="39" t="s">
        <v>341</v>
      </c>
      <c r="B83" s="36">
        <f t="shared" si="1"/>
        <v>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10"/>
      <c r="AT83" s="20">
        <v>5.0</v>
      </c>
      <c r="AU83" s="8"/>
      <c r="AV83" s="10"/>
      <c r="AW83" s="8"/>
      <c r="AX83" s="8"/>
      <c r="AY83" s="10"/>
      <c r="AZ83" s="8"/>
      <c r="BA83" s="8"/>
      <c r="BB83" s="10"/>
    </row>
    <row r="84" ht="15.75" customHeight="1">
      <c r="A84" s="39" t="s">
        <v>342</v>
      </c>
      <c r="B84" s="36">
        <f t="shared" si="1"/>
        <v>5.25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10"/>
      <c r="AT84" s="20">
        <v>2.75</v>
      </c>
      <c r="AU84" s="8"/>
      <c r="AV84" s="10"/>
      <c r="AW84" s="8"/>
      <c r="AX84" s="8"/>
      <c r="AY84" s="10"/>
      <c r="AZ84" s="20">
        <v>2.5</v>
      </c>
      <c r="BA84" s="8"/>
      <c r="BB84" s="10"/>
    </row>
    <row r="85" ht="15.75" customHeight="1">
      <c r="A85" s="39" t="s">
        <v>281</v>
      </c>
      <c r="B85" s="36">
        <f t="shared" si="1"/>
        <v>5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10"/>
      <c r="AT85" s="20">
        <v>2.5</v>
      </c>
      <c r="AU85" s="8"/>
      <c r="AV85" s="10"/>
      <c r="AW85" s="8"/>
      <c r="AX85" s="8"/>
      <c r="AY85" s="10"/>
      <c r="AZ85" s="20">
        <v>2.5</v>
      </c>
      <c r="BA85" s="8"/>
      <c r="BB85" s="10"/>
    </row>
    <row r="86" ht="15.75" customHeight="1">
      <c r="A86" s="39" t="s">
        <v>186</v>
      </c>
      <c r="B86" s="36">
        <f t="shared" si="1"/>
        <v>2.5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10"/>
      <c r="AT86" s="20">
        <v>2.5</v>
      </c>
      <c r="AU86" s="8"/>
      <c r="AV86" s="10"/>
      <c r="AW86" s="8"/>
      <c r="AX86" s="8"/>
      <c r="AY86" s="10"/>
      <c r="AZ86" s="8"/>
      <c r="BA86" s="8"/>
      <c r="BB86" s="10"/>
    </row>
    <row r="87" ht="15.75" customHeight="1">
      <c r="A87" s="39" t="s">
        <v>343</v>
      </c>
      <c r="B87" s="36">
        <f t="shared" si="1"/>
        <v>2.5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10"/>
      <c r="AT87" s="20">
        <v>2.5</v>
      </c>
      <c r="AU87" s="8"/>
      <c r="AV87" s="10"/>
      <c r="AW87" s="8"/>
      <c r="AX87" s="8"/>
      <c r="AY87" s="10"/>
      <c r="AZ87" s="8"/>
      <c r="BA87" s="8"/>
      <c r="BB87" s="10"/>
    </row>
    <row r="88" ht="15.75" customHeight="1">
      <c r="A88" s="39" t="s">
        <v>155</v>
      </c>
      <c r="B88" s="36">
        <f t="shared" si="1"/>
        <v>15.5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10"/>
      <c r="AT88" s="20">
        <v>2.5</v>
      </c>
      <c r="AU88" s="20">
        <v>2.5</v>
      </c>
      <c r="AV88" s="38">
        <v>2.75</v>
      </c>
      <c r="AW88" s="20">
        <v>3.0</v>
      </c>
      <c r="AX88" s="20">
        <v>2.5</v>
      </c>
      <c r="AY88" s="10"/>
      <c r="AZ88" s="8"/>
      <c r="BA88" s="8"/>
      <c r="BB88" s="37">
        <v>2.25</v>
      </c>
    </row>
    <row r="89" ht="15.75" customHeight="1">
      <c r="A89" s="39" t="s">
        <v>344</v>
      </c>
      <c r="B89" s="36">
        <f t="shared" si="1"/>
        <v>2.5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10"/>
      <c r="AT89" s="8"/>
      <c r="AU89" s="20">
        <v>2.5</v>
      </c>
      <c r="AV89" s="10"/>
      <c r="AW89" s="8"/>
      <c r="AX89" s="8"/>
      <c r="AY89" s="10"/>
      <c r="AZ89" s="8"/>
      <c r="BA89" s="8"/>
      <c r="BB89" s="10"/>
    </row>
    <row r="90" ht="15.75" customHeight="1">
      <c r="A90" s="39" t="s">
        <v>141</v>
      </c>
      <c r="B90" s="36">
        <f t="shared" si="1"/>
        <v>2.5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10"/>
      <c r="AT90" s="8"/>
      <c r="AU90" s="20">
        <v>2.5</v>
      </c>
      <c r="AV90" s="10"/>
      <c r="AW90" s="8"/>
      <c r="AX90" s="8"/>
      <c r="AY90" s="10"/>
      <c r="AZ90" s="8"/>
      <c r="BA90" s="8"/>
      <c r="BB90" s="10"/>
    </row>
    <row r="91" ht="15.75" customHeight="1">
      <c r="A91" s="39" t="s">
        <v>345</v>
      </c>
      <c r="B91" s="36">
        <f t="shared" si="1"/>
        <v>2.5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10"/>
      <c r="AT91" s="8"/>
      <c r="AU91" s="20">
        <v>2.5</v>
      </c>
      <c r="AV91" s="10"/>
      <c r="AW91" s="8"/>
      <c r="AX91" s="8"/>
      <c r="AY91" s="10"/>
      <c r="AZ91" s="8"/>
      <c r="BA91" s="8"/>
      <c r="BB91" s="10"/>
    </row>
    <row r="92" ht="15.75" customHeight="1">
      <c r="A92" s="39" t="s">
        <v>346</v>
      </c>
      <c r="B92" s="36">
        <f t="shared" si="1"/>
        <v>8.75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10"/>
      <c r="AT92" s="8"/>
      <c r="AU92" s="20">
        <v>2.25</v>
      </c>
      <c r="AV92" s="10"/>
      <c r="AW92" s="8"/>
      <c r="AX92" s="8"/>
      <c r="AY92" s="37">
        <v>2.0</v>
      </c>
      <c r="AZ92" s="8"/>
      <c r="BA92" s="20">
        <v>2.5</v>
      </c>
      <c r="BB92" s="37">
        <v>2.0</v>
      </c>
    </row>
    <row r="93" ht="15.75" customHeight="1">
      <c r="A93" s="40" t="s">
        <v>121</v>
      </c>
      <c r="B93" s="36">
        <f t="shared" si="1"/>
        <v>3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10"/>
      <c r="AT93" s="8"/>
      <c r="AU93" s="8"/>
      <c r="AV93" s="38">
        <v>3.0</v>
      </c>
      <c r="AW93" s="8"/>
      <c r="AX93" s="8"/>
      <c r="AY93" s="10"/>
      <c r="AZ93" s="8"/>
      <c r="BA93" s="8"/>
      <c r="BB93" s="10"/>
    </row>
    <row r="94" ht="15.75" customHeight="1">
      <c r="A94" s="40" t="s">
        <v>347</v>
      </c>
      <c r="B94" s="36">
        <f t="shared" si="1"/>
        <v>2.75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10"/>
      <c r="AT94" s="8"/>
      <c r="AU94" s="8"/>
      <c r="AV94" s="38">
        <v>2.75</v>
      </c>
      <c r="AW94" s="8"/>
      <c r="AX94" s="8"/>
      <c r="AY94" s="10"/>
      <c r="AZ94" s="8"/>
      <c r="BA94" s="8"/>
      <c r="BB94" s="10"/>
    </row>
    <row r="95" ht="15.75" customHeight="1">
      <c r="A95" s="39" t="s">
        <v>296</v>
      </c>
      <c r="B95" s="36">
        <f t="shared" si="1"/>
        <v>2.75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10"/>
      <c r="AT95" s="8"/>
      <c r="AU95" s="8"/>
      <c r="AV95" s="10"/>
      <c r="AW95" s="20">
        <v>2.75</v>
      </c>
      <c r="AX95" s="8"/>
      <c r="AY95" s="10"/>
      <c r="AZ95" s="8"/>
      <c r="BA95" s="8"/>
      <c r="BB95" s="10"/>
    </row>
    <row r="96" ht="15.75" customHeight="1">
      <c r="A96" s="39" t="s">
        <v>348</v>
      </c>
      <c r="B96" s="36">
        <f t="shared" si="1"/>
        <v>2.5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10"/>
      <c r="AT96" s="8"/>
      <c r="AU96" s="8"/>
      <c r="AV96" s="10"/>
      <c r="AW96" s="20">
        <v>2.5</v>
      </c>
      <c r="AX96" s="8"/>
      <c r="AY96" s="10"/>
      <c r="AZ96" s="8"/>
      <c r="BA96" s="8"/>
      <c r="BB96" s="10"/>
    </row>
    <row r="97" ht="15.75" customHeight="1">
      <c r="A97" s="39" t="s">
        <v>349</v>
      </c>
      <c r="B97" s="36">
        <f t="shared" si="1"/>
        <v>2.5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10"/>
      <c r="AT97" s="8"/>
      <c r="AU97" s="8"/>
      <c r="AV97" s="10"/>
      <c r="AW97" s="20">
        <v>2.5</v>
      </c>
      <c r="AX97" s="8"/>
      <c r="AY97" s="10"/>
      <c r="AZ97" s="8"/>
      <c r="BA97" s="8"/>
      <c r="BB97" s="10"/>
    </row>
    <row r="98" ht="15.75" customHeight="1">
      <c r="A98" s="39" t="s">
        <v>350</v>
      </c>
      <c r="B98" s="36">
        <f t="shared" si="1"/>
        <v>4.75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10"/>
      <c r="AT98" s="8"/>
      <c r="AU98" s="8"/>
      <c r="AV98" s="10"/>
      <c r="AW98" s="20">
        <v>2.5</v>
      </c>
      <c r="AX98" s="20">
        <v>2.25</v>
      </c>
      <c r="AY98" s="10"/>
      <c r="AZ98" s="8"/>
      <c r="BA98" s="8"/>
      <c r="BB98" s="10"/>
    </row>
    <row r="99" ht="15.75" customHeight="1">
      <c r="A99" s="39" t="s">
        <v>170</v>
      </c>
      <c r="B99" s="36">
        <f t="shared" si="1"/>
        <v>4.5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10"/>
      <c r="AT99" s="8"/>
      <c r="AU99" s="8"/>
      <c r="AV99" s="10"/>
      <c r="AW99" s="8"/>
      <c r="AX99" s="20">
        <v>2.5</v>
      </c>
      <c r="AY99" s="10"/>
      <c r="AZ99" s="8"/>
      <c r="BA99" s="20">
        <v>2.0</v>
      </c>
      <c r="BB99" s="10"/>
    </row>
    <row r="100" ht="15.75" customHeight="1">
      <c r="A100" s="39" t="s">
        <v>92</v>
      </c>
      <c r="B100" s="36">
        <f t="shared" si="1"/>
        <v>2.5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10"/>
      <c r="AT100" s="8"/>
      <c r="AU100" s="8"/>
      <c r="AV100" s="10"/>
      <c r="AW100" s="8"/>
      <c r="AX100" s="20">
        <v>2.5</v>
      </c>
      <c r="AY100" s="10"/>
      <c r="AZ100" s="8"/>
      <c r="BA100" s="8"/>
      <c r="BB100" s="10"/>
    </row>
    <row r="101" ht="15.75" customHeight="1">
      <c r="A101" s="39" t="s">
        <v>351</v>
      </c>
      <c r="B101" s="36">
        <f t="shared" si="1"/>
        <v>2.25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10"/>
      <c r="AT101" s="8"/>
      <c r="AU101" s="8"/>
      <c r="AV101" s="10"/>
      <c r="AW101" s="8"/>
      <c r="AX101" s="20">
        <v>2.25</v>
      </c>
      <c r="AY101" s="10"/>
      <c r="AZ101" s="8"/>
      <c r="BA101" s="8"/>
      <c r="BB101" s="10"/>
    </row>
    <row r="102" ht="15.75" customHeight="1">
      <c r="A102" s="39" t="s">
        <v>352</v>
      </c>
      <c r="B102" s="36">
        <f t="shared" si="1"/>
        <v>2.25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10"/>
      <c r="AT102" s="8"/>
      <c r="AU102" s="8"/>
      <c r="AV102" s="10"/>
      <c r="AW102" s="8"/>
      <c r="AX102" s="20">
        <v>2.25</v>
      </c>
      <c r="AY102" s="10"/>
      <c r="AZ102" s="8"/>
      <c r="BA102" s="8"/>
      <c r="BB102" s="10"/>
    </row>
    <row r="103" ht="15.75" customHeight="1">
      <c r="A103" s="39" t="s">
        <v>353</v>
      </c>
      <c r="B103" s="36">
        <f t="shared" si="1"/>
        <v>2.25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10"/>
      <c r="AT103" s="8"/>
      <c r="AU103" s="8"/>
      <c r="AV103" s="10"/>
      <c r="AW103" s="8"/>
      <c r="AX103" s="20">
        <v>2.25</v>
      </c>
      <c r="AY103" s="10"/>
      <c r="AZ103" s="8"/>
      <c r="BA103" s="8"/>
      <c r="BB103" s="10"/>
    </row>
    <row r="104" ht="15.75" customHeight="1">
      <c r="A104" s="39" t="s">
        <v>207</v>
      </c>
      <c r="B104" s="36">
        <f t="shared" si="1"/>
        <v>4.5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10"/>
      <c r="AT104" s="8"/>
      <c r="AU104" s="8"/>
      <c r="AV104" s="10"/>
      <c r="AW104" s="8"/>
      <c r="AX104" s="20">
        <v>2.25</v>
      </c>
      <c r="AY104" s="10"/>
      <c r="AZ104" s="8"/>
      <c r="BA104" s="20">
        <v>2.25</v>
      </c>
      <c r="BB104" s="10"/>
    </row>
    <row r="105" ht="15.75" customHeight="1">
      <c r="A105" s="39" t="s">
        <v>354</v>
      </c>
      <c r="B105" s="36">
        <f t="shared" si="1"/>
        <v>6.75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10"/>
      <c r="AT105" s="8"/>
      <c r="AU105" s="8"/>
      <c r="AV105" s="10"/>
      <c r="AW105" s="8"/>
      <c r="AX105" s="20">
        <v>2.25</v>
      </c>
      <c r="AY105" s="37">
        <v>2.25</v>
      </c>
      <c r="AZ105" s="8"/>
      <c r="BA105" s="20">
        <v>2.25</v>
      </c>
      <c r="BB105" s="10"/>
    </row>
    <row r="106" ht="15.75" customHeight="1">
      <c r="A106" s="39" t="s">
        <v>355</v>
      </c>
      <c r="B106" s="36">
        <f t="shared" si="1"/>
        <v>2.25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10"/>
      <c r="AT106" s="8"/>
      <c r="AU106" s="8"/>
      <c r="AV106" s="10"/>
      <c r="AW106" s="8"/>
      <c r="AX106" s="8"/>
      <c r="AY106" s="37">
        <v>2.25</v>
      </c>
      <c r="AZ106" s="8"/>
      <c r="BA106" s="8"/>
      <c r="BB106" s="10"/>
    </row>
    <row r="107" ht="15.75" customHeight="1">
      <c r="A107" s="39" t="s">
        <v>356</v>
      </c>
      <c r="B107" s="36">
        <f t="shared" si="1"/>
        <v>2.25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10"/>
      <c r="AT107" s="8"/>
      <c r="AU107" s="8"/>
      <c r="AV107" s="10"/>
      <c r="AW107" s="8"/>
      <c r="AX107" s="8"/>
      <c r="AY107" s="37">
        <v>2.25</v>
      </c>
      <c r="AZ107" s="8"/>
      <c r="BA107" s="8"/>
      <c r="BB107" s="10"/>
    </row>
    <row r="108" ht="15.75" customHeight="1">
      <c r="A108" s="39" t="s">
        <v>357</v>
      </c>
      <c r="B108" s="36">
        <f t="shared" si="1"/>
        <v>4.5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10"/>
      <c r="AT108" s="8"/>
      <c r="AU108" s="8"/>
      <c r="AV108" s="10"/>
      <c r="AW108" s="8"/>
      <c r="AX108" s="8"/>
      <c r="AY108" s="37">
        <v>2.0</v>
      </c>
      <c r="AZ108" s="8"/>
      <c r="BA108" s="20">
        <v>2.5</v>
      </c>
      <c r="BB108" s="10"/>
    </row>
    <row r="109" ht="15.75" customHeight="1">
      <c r="A109" s="39" t="s">
        <v>190</v>
      </c>
      <c r="B109" s="36">
        <f t="shared" si="1"/>
        <v>8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10"/>
      <c r="AT109" s="8"/>
      <c r="AU109" s="8"/>
      <c r="AV109" s="10"/>
      <c r="AW109" s="8"/>
      <c r="AX109" s="8"/>
      <c r="AY109" s="37">
        <v>1.75</v>
      </c>
      <c r="AZ109" s="20">
        <v>2.25</v>
      </c>
      <c r="BA109" s="20">
        <v>2.0</v>
      </c>
      <c r="BB109" s="37">
        <v>2.0</v>
      </c>
    </row>
    <row r="110" ht="15.75" customHeight="1">
      <c r="A110" s="39" t="s">
        <v>216</v>
      </c>
      <c r="B110" s="36">
        <f t="shared" si="1"/>
        <v>7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10"/>
      <c r="AT110" s="8"/>
      <c r="AU110" s="8"/>
      <c r="AV110" s="10"/>
      <c r="AW110" s="8"/>
      <c r="AX110" s="8"/>
      <c r="AY110" s="37">
        <v>2.25</v>
      </c>
      <c r="AZ110" s="8"/>
      <c r="BA110" s="20">
        <v>2.5</v>
      </c>
      <c r="BB110" s="37">
        <v>2.25</v>
      </c>
    </row>
    <row r="111" ht="15.75" customHeight="1">
      <c r="A111" s="39" t="s">
        <v>358</v>
      </c>
      <c r="B111" s="36">
        <f t="shared" si="1"/>
        <v>2.5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10"/>
      <c r="AT111" s="8"/>
      <c r="AU111" s="8"/>
      <c r="AV111" s="10"/>
      <c r="AW111" s="8"/>
      <c r="AX111" s="8"/>
      <c r="AY111" s="10"/>
      <c r="AZ111" s="20">
        <v>2.5</v>
      </c>
      <c r="BA111" s="8"/>
      <c r="BB111" s="10"/>
    </row>
    <row r="112" ht="15.75" customHeight="1">
      <c r="A112" s="39" t="s">
        <v>359</v>
      </c>
      <c r="B112" s="36">
        <f t="shared" si="1"/>
        <v>2.5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10"/>
      <c r="AT112" s="8"/>
      <c r="AU112" s="8"/>
      <c r="AV112" s="10"/>
      <c r="AW112" s="8"/>
      <c r="AX112" s="8"/>
      <c r="AY112" s="10"/>
      <c r="AZ112" s="20">
        <v>2.5</v>
      </c>
      <c r="BA112" s="8"/>
      <c r="BB112" s="10"/>
    </row>
    <row r="113" ht="15.75" customHeight="1">
      <c r="A113" s="39" t="s">
        <v>223</v>
      </c>
      <c r="B113" s="36">
        <f t="shared" si="1"/>
        <v>2.25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10"/>
      <c r="AT113" s="8"/>
      <c r="AU113" s="8"/>
      <c r="AV113" s="10"/>
      <c r="AW113" s="8"/>
      <c r="AX113" s="8"/>
      <c r="AY113" s="10"/>
      <c r="AZ113" s="8"/>
      <c r="BA113" s="20">
        <v>2.25</v>
      </c>
      <c r="BB113" s="10"/>
    </row>
    <row r="114" ht="15.75" customHeight="1">
      <c r="A114" s="39" t="s">
        <v>360</v>
      </c>
      <c r="B114" s="36">
        <f t="shared" si="1"/>
        <v>2.25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10"/>
      <c r="AT114" s="8"/>
      <c r="AU114" s="8"/>
      <c r="AV114" s="10"/>
      <c r="AW114" s="8"/>
      <c r="AX114" s="8"/>
      <c r="AY114" s="10"/>
      <c r="AZ114" s="8"/>
      <c r="BA114" s="8"/>
      <c r="BB114" s="37">
        <v>2.25</v>
      </c>
    </row>
    <row r="115" ht="15.75" customHeight="1">
      <c r="A115" s="39" t="s">
        <v>234</v>
      </c>
      <c r="B115" s="36">
        <f t="shared" si="1"/>
        <v>2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10"/>
      <c r="AT115" s="8"/>
      <c r="AU115" s="8"/>
      <c r="AV115" s="10"/>
      <c r="AW115" s="8"/>
      <c r="AX115" s="8"/>
      <c r="AY115" s="10"/>
      <c r="AZ115" s="8"/>
      <c r="BA115" s="8"/>
      <c r="BB115" s="37">
        <v>2.0</v>
      </c>
    </row>
    <row r="116" ht="15.75" customHeight="1">
      <c r="A116" s="39" t="s">
        <v>361</v>
      </c>
      <c r="B116" s="36">
        <f t="shared" si="1"/>
        <v>2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10"/>
      <c r="AT116" s="8"/>
      <c r="AU116" s="8"/>
      <c r="AV116" s="10"/>
      <c r="AW116" s="8"/>
      <c r="AX116" s="8"/>
      <c r="AY116" s="10"/>
      <c r="AZ116" s="8"/>
      <c r="BA116" s="8"/>
      <c r="BB116" s="37">
        <v>2.0</v>
      </c>
    </row>
    <row r="117" ht="15.75" customHeight="1">
      <c r="A117" s="35"/>
      <c r="B117" s="36">
        <f t="shared" si="1"/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10"/>
      <c r="AT117" s="8"/>
      <c r="AU117" s="8"/>
      <c r="AV117" s="10"/>
      <c r="AW117" s="8"/>
      <c r="AX117" s="8"/>
      <c r="AY117" s="10"/>
      <c r="AZ117" s="8"/>
      <c r="BA117" s="8"/>
      <c r="BB117" s="10"/>
    </row>
    <row r="118" ht="15.75" customHeight="1">
      <c r="A118" s="35"/>
      <c r="B118" s="36">
        <f t="shared" si="1"/>
        <v>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10"/>
      <c r="AT118" s="8"/>
      <c r="AU118" s="8"/>
      <c r="AV118" s="10"/>
      <c r="AW118" s="8"/>
      <c r="AX118" s="8"/>
      <c r="AY118" s="10"/>
      <c r="AZ118" s="8"/>
      <c r="BA118" s="8"/>
      <c r="BB118" s="10"/>
    </row>
    <row r="119" ht="15.75" customHeight="1">
      <c r="A119" s="35"/>
      <c r="B119" s="36">
        <f t="shared" si="1"/>
        <v>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10"/>
      <c r="AT119" s="8"/>
      <c r="AU119" s="8"/>
      <c r="AV119" s="10"/>
      <c r="AW119" s="8"/>
      <c r="AX119" s="8"/>
      <c r="AY119" s="10"/>
      <c r="AZ119" s="8"/>
      <c r="BA119" s="8"/>
      <c r="BB119" s="10"/>
    </row>
    <row r="120" ht="15.75" customHeight="1">
      <c r="A120" s="35"/>
      <c r="B120" s="36">
        <f t="shared" si="1"/>
        <v>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10"/>
      <c r="AT120" s="8"/>
      <c r="AU120" s="8"/>
      <c r="AV120" s="10"/>
      <c r="AW120" s="8"/>
      <c r="AX120" s="8"/>
      <c r="AY120" s="10"/>
      <c r="AZ120" s="8"/>
      <c r="BA120" s="8"/>
      <c r="BB120" s="10"/>
    </row>
    <row r="121" ht="15.75" customHeight="1">
      <c r="A121" s="35"/>
      <c r="B121" s="36">
        <f t="shared" si="1"/>
        <v>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10"/>
      <c r="AT121" s="8"/>
      <c r="AU121" s="8"/>
      <c r="AV121" s="10"/>
      <c r="AW121" s="8"/>
      <c r="AX121" s="8"/>
      <c r="AY121" s="10"/>
      <c r="AZ121" s="8"/>
      <c r="BA121" s="8"/>
      <c r="BB121" s="10"/>
    </row>
    <row r="122" ht="15.75" customHeight="1">
      <c r="A122" s="35"/>
      <c r="B122" s="36">
        <f t="shared" si="1"/>
        <v>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10"/>
      <c r="AT122" s="8"/>
      <c r="AU122" s="8"/>
      <c r="AV122" s="10"/>
      <c r="AW122" s="8"/>
      <c r="AX122" s="8"/>
      <c r="AY122" s="10"/>
      <c r="AZ122" s="8"/>
      <c r="BA122" s="8"/>
      <c r="BB122" s="10"/>
    </row>
    <row r="123" ht="15.75" customHeight="1">
      <c r="A123" s="35"/>
      <c r="B123" s="36">
        <f t="shared" si="1"/>
        <v>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10"/>
      <c r="AT123" s="8"/>
      <c r="AU123" s="8"/>
      <c r="AV123" s="10"/>
      <c r="AW123" s="8"/>
      <c r="AX123" s="8"/>
      <c r="AY123" s="10"/>
      <c r="AZ123" s="8"/>
      <c r="BA123" s="8"/>
      <c r="BB123" s="10"/>
    </row>
    <row r="124" ht="15.75" customHeight="1">
      <c r="A124" s="35"/>
      <c r="B124" s="36">
        <f t="shared" si="1"/>
        <v>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10"/>
      <c r="AT124" s="8"/>
      <c r="AU124" s="8"/>
      <c r="AV124" s="10"/>
      <c r="AW124" s="8"/>
      <c r="AX124" s="8"/>
      <c r="AY124" s="10"/>
      <c r="AZ124" s="8"/>
      <c r="BA124" s="8"/>
      <c r="BB124" s="10"/>
    </row>
    <row r="125" ht="15.75" customHeight="1">
      <c r="A125" s="35"/>
      <c r="B125" s="36">
        <f t="shared" si="1"/>
        <v>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10"/>
      <c r="AT125" s="8"/>
      <c r="AU125" s="8"/>
      <c r="AV125" s="10"/>
      <c r="AW125" s="8"/>
      <c r="AX125" s="8"/>
      <c r="AY125" s="10"/>
      <c r="AZ125" s="8"/>
      <c r="BA125" s="8"/>
      <c r="BB125" s="10"/>
    </row>
    <row r="126" ht="15.75" customHeight="1">
      <c r="A126" s="35"/>
      <c r="B126" s="36">
        <f t="shared" si="1"/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10"/>
      <c r="AT126" s="8"/>
      <c r="AU126" s="8"/>
      <c r="AV126" s="10"/>
      <c r="AW126" s="8"/>
      <c r="AX126" s="8"/>
      <c r="AY126" s="10"/>
      <c r="AZ126" s="8"/>
      <c r="BA126" s="8"/>
      <c r="BB126" s="10"/>
    </row>
    <row r="127" ht="15.75" customHeight="1">
      <c r="A127" s="35"/>
      <c r="B127" s="36">
        <f t="shared" si="1"/>
        <v>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10"/>
      <c r="AT127" s="8"/>
      <c r="AU127" s="8"/>
      <c r="AV127" s="10"/>
      <c r="AW127" s="8"/>
      <c r="AX127" s="8"/>
      <c r="AY127" s="10"/>
      <c r="AZ127" s="8"/>
      <c r="BA127" s="8"/>
      <c r="BB127" s="10"/>
    </row>
    <row r="128" ht="15.75" customHeight="1">
      <c r="A128" s="35"/>
      <c r="B128" s="36">
        <f t="shared" si="1"/>
        <v>0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10"/>
      <c r="AT128" s="8"/>
      <c r="AU128" s="8"/>
      <c r="AV128" s="10"/>
      <c r="AW128" s="8"/>
      <c r="AX128" s="8"/>
      <c r="AY128" s="10"/>
      <c r="AZ128" s="8"/>
      <c r="BA128" s="8"/>
      <c r="BB128" s="10"/>
    </row>
    <row r="129" ht="15.75" customHeight="1">
      <c r="A129" s="35"/>
      <c r="B129" s="36">
        <f t="shared" si="1"/>
        <v>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10"/>
      <c r="AT129" s="8"/>
      <c r="AU129" s="8"/>
      <c r="AV129" s="10"/>
      <c r="AW129" s="8"/>
      <c r="AX129" s="8"/>
      <c r="AY129" s="10"/>
      <c r="AZ129" s="8"/>
      <c r="BA129" s="8"/>
      <c r="BB129" s="10"/>
    </row>
    <row r="130" ht="15.75" customHeight="1">
      <c r="A130" s="35"/>
      <c r="B130" s="36">
        <f t="shared" si="1"/>
        <v>0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10"/>
      <c r="AT130" s="8"/>
      <c r="AU130" s="8"/>
      <c r="AV130" s="10"/>
      <c r="AW130" s="8"/>
      <c r="AX130" s="8"/>
      <c r="AY130" s="10"/>
      <c r="AZ130" s="8"/>
      <c r="BA130" s="8"/>
      <c r="BB130" s="10"/>
    </row>
    <row r="131" ht="15.75" customHeight="1">
      <c r="A131" s="35"/>
      <c r="B131" s="36">
        <f t="shared" si="1"/>
        <v>0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10"/>
      <c r="AT131" s="8"/>
      <c r="AU131" s="8"/>
      <c r="AV131" s="10"/>
      <c r="AW131" s="8"/>
      <c r="AX131" s="8"/>
      <c r="AY131" s="10"/>
      <c r="AZ131" s="8"/>
      <c r="BA131" s="8"/>
      <c r="BB131" s="10"/>
    </row>
    <row r="132" ht="15.75" customHeight="1">
      <c r="A132" s="35"/>
      <c r="B132" s="36">
        <f t="shared" si="1"/>
        <v>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10"/>
      <c r="AT132" s="8"/>
      <c r="AU132" s="8"/>
      <c r="AV132" s="10"/>
      <c r="AW132" s="8"/>
      <c r="AX132" s="8"/>
      <c r="AY132" s="10"/>
      <c r="AZ132" s="8"/>
      <c r="BA132" s="8"/>
      <c r="BB132" s="10"/>
    </row>
    <row r="133" ht="15.75" customHeight="1">
      <c r="A133" s="35"/>
      <c r="B133" s="36">
        <f t="shared" si="1"/>
        <v>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10"/>
      <c r="AT133" s="8"/>
      <c r="AU133" s="8"/>
      <c r="AV133" s="10"/>
      <c r="AW133" s="8"/>
      <c r="AX133" s="8"/>
      <c r="AY133" s="10"/>
      <c r="AZ133" s="8"/>
      <c r="BA133" s="8"/>
      <c r="BB133" s="10"/>
    </row>
    <row r="134" ht="15.75" customHeight="1">
      <c r="A134" s="35"/>
      <c r="B134" s="36">
        <f t="shared" si="1"/>
        <v>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10"/>
      <c r="AT134" s="8"/>
      <c r="AU134" s="8"/>
      <c r="AV134" s="10"/>
      <c r="AW134" s="8"/>
      <c r="AX134" s="8"/>
      <c r="AY134" s="10"/>
      <c r="AZ134" s="8"/>
      <c r="BA134" s="8"/>
      <c r="BB134" s="10"/>
    </row>
    <row r="135" ht="15.75" customHeight="1">
      <c r="A135" s="35"/>
      <c r="B135" s="36">
        <f t="shared" si="1"/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10"/>
      <c r="AT135" s="8"/>
      <c r="AU135" s="8"/>
      <c r="AV135" s="10"/>
      <c r="AW135" s="8"/>
      <c r="AX135" s="8"/>
      <c r="AY135" s="10"/>
      <c r="AZ135" s="8"/>
      <c r="BA135" s="8"/>
      <c r="BB135" s="10"/>
    </row>
    <row r="136" ht="15.75" customHeight="1">
      <c r="A136" s="35"/>
      <c r="B136" s="36">
        <f t="shared" si="1"/>
        <v>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10"/>
      <c r="AT136" s="8"/>
      <c r="AU136" s="8"/>
      <c r="AV136" s="10"/>
      <c r="AW136" s="8"/>
      <c r="AX136" s="8"/>
      <c r="AY136" s="10"/>
      <c r="AZ136" s="8"/>
      <c r="BA136" s="8"/>
      <c r="BB136" s="10"/>
    </row>
    <row r="137" ht="15.75" customHeight="1">
      <c r="A137" s="35"/>
      <c r="B137" s="36">
        <f t="shared" si="1"/>
        <v>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10"/>
      <c r="AT137" s="8"/>
      <c r="AU137" s="8"/>
      <c r="AV137" s="10"/>
      <c r="AW137" s="8"/>
      <c r="AX137" s="8"/>
      <c r="AY137" s="10"/>
      <c r="AZ137" s="8"/>
      <c r="BA137" s="8"/>
      <c r="BB137" s="10"/>
    </row>
    <row r="138" ht="15.75" customHeight="1">
      <c r="A138" s="35"/>
      <c r="B138" s="36">
        <f t="shared" si="1"/>
        <v>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10"/>
      <c r="AT138" s="8"/>
      <c r="AU138" s="8"/>
      <c r="AV138" s="10"/>
      <c r="AW138" s="8"/>
      <c r="AX138" s="8"/>
      <c r="AY138" s="10"/>
      <c r="AZ138" s="8"/>
      <c r="BA138" s="8"/>
      <c r="BB138" s="10"/>
    </row>
    <row r="139" ht="15.75" customHeight="1">
      <c r="A139" s="35"/>
      <c r="B139" s="36">
        <f t="shared" si="1"/>
        <v>0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10"/>
      <c r="AT139" s="8"/>
      <c r="AU139" s="8"/>
      <c r="AV139" s="10"/>
      <c r="AW139" s="8"/>
      <c r="AX139" s="8"/>
      <c r="AY139" s="10"/>
      <c r="AZ139" s="8"/>
      <c r="BA139" s="8"/>
      <c r="BB139" s="10"/>
    </row>
    <row r="140" ht="15.75" customHeight="1">
      <c r="A140" s="35"/>
      <c r="B140" s="36">
        <f t="shared" si="1"/>
        <v>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10"/>
      <c r="AT140" s="8"/>
      <c r="AU140" s="8"/>
      <c r="AV140" s="10"/>
      <c r="AW140" s="8"/>
      <c r="AX140" s="8"/>
      <c r="AY140" s="10"/>
      <c r="AZ140" s="8"/>
      <c r="BA140" s="8"/>
      <c r="BB140" s="10"/>
    </row>
    <row r="141" ht="15.75" customHeight="1">
      <c r="A141" s="35"/>
      <c r="B141" s="36">
        <f t="shared" si="1"/>
        <v>0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10"/>
      <c r="AT141" s="8"/>
      <c r="AU141" s="8"/>
      <c r="AV141" s="10"/>
      <c r="AW141" s="8"/>
      <c r="AX141" s="8"/>
      <c r="AY141" s="10"/>
      <c r="AZ141" s="8"/>
      <c r="BA141" s="8"/>
      <c r="BB141" s="10"/>
    </row>
    <row r="142" ht="15.75" customHeight="1">
      <c r="A142" s="35"/>
      <c r="B142" s="36">
        <f t="shared" si="1"/>
        <v>0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10"/>
      <c r="AT142" s="8"/>
      <c r="AU142" s="8"/>
      <c r="AV142" s="10"/>
      <c r="AW142" s="8"/>
      <c r="AX142" s="8"/>
      <c r="AY142" s="10"/>
      <c r="AZ142" s="8"/>
      <c r="BA142" s="8"/>
      <c r="BB142" s="10"/>
    </row>
    <row r="143" ht="15.75" customHeight="1">
      <c r="A143" s="35"/>
      <c r="B143" s="36">
        <f t="shared" si="1"/>
        <v>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10"/>
      <c r="AT143" s="8"/>
      <c r="AU143" s="8"/>
      <c r="AV143" s="10"/>
      <c r="AW143" s="8"/>
      <c r="AX143" s="8"/>
      <c r="AY143" s="10"/>
      <c r="AZ143" s="8"/>
      <c r="BA143" s="8"/>
      <c r="BB143" s="10"/>
    </row>
    <row r="144" ht="15.75" customHeight="1">
      <c r="A144" s="35"/>
      <c r="B144" s="36">
        <f t="shared" si="1"/>
        <v>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10"/>
      <c r="AT144" s="8"/>
      <c r="AU144" s="8"/>
      <c r="AV144" s="10"/>
      <c r="AW144" s="8"/>
      <c r="AX144" s="8"/>
      <c r="AY144" s="10"/>
      <c r="AZ144" s="8"/>
      <c r="BA144" s="8"/>
      <c r="BB144" s="10"/>
    </row>
    <row r="145" ht="15.75" customHeight="1">
      <c r="A145" s="35"/>
      <c r="B145" s="36">
        <f t="shared" si="1"/>
        <v>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10"/>
      <c r="AT145" s="8"/>
      <c r="AU145" s="8"/>
      <c r="AV145" s="10"/>
      <c r="AW145" s="8"/>
      <c r="AX145" s="8"/>
      <c r="AY145" s="10"/>
      <c r="AZ145" s="8"/>
      <c r="BA145" s="8"/>
      <c r="BB145" s="10"/>
    </row>
    <row r="146" ht="15.75" customHeight="1">
      <c r="A146" s="35"/>
      <c r="B146" s="36">
        <f t="shared" si="1"/>
        <v>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10"/>
      <c r="AT146" s="8"/>
      <c r="AU146" s="8"/>
      <c r="AV146" s="10"/>
      <c r="AW146" s="8"/>
      <c r="AX146" s="8"/>
      <c r="AY146" s="10"/>
      <c r="AZ146" s="8"/>
      <c r="BA146" s="8"/>
      <c r="BB146" s="10"/>
    </row>
    <row r="147" ht="15.75" customHeight="1">
      <c r="A147" s="35"/>
      <c r="B147" s="36">
        <f t="shared" si="1"/>
        <v>0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10"/>
      <c r="AT147" s="8"/>
      <c r="AU147" s="8"/>
      <c r="AV147" s="10"/>
      <c r="AW147" s="8"/>
      <c r="AX147" s="8"/>
      <c r="AY147" s="10"/>
      <c r="AZ147" s="8"/>
      <c r="BA147" s="8"/>
      <c r="BB147" s="10"/>
    </row>
    <row r="148" ht="15.75" customHeight="1">
      <c r="A148" s="35"/>
      <c r="B148" s="36">
        <f t="shared" si="1"/>
        <v>0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10"/>
      <c r="AT148" s="8"/>
      <c r="AU148" s="8"/>
      <c r="AV148" s="10"/>
      <c r="AW148" s="8"/>
      <c r="AX148" s="8"/>
      <c r="AY148" s="10"/>
      <c r="AZ148" s="8"/>
      <c r="BA148" s="8"/>
      <c r="BB148" s="10"/>
    </row>
    <row r="149" ht="15.75" customHeight="1">
      <c r="A149" s="35"/>
      <c r="B149" s="36">
        <f t="shared" si="1"/>
        <v>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10"/>
      <c r="AT149" s="8"/>
      <c r="AU149" s="8"/>
      <c r="AV149" s="10"/>
      <c r="AW149" s="8"/>
      <c r="AX149" s="8"/>
      <c r="AY149" s="10"/>
      <c r="AZ149" s="8"/>
      <c r="BA149" s="8"/>
      <c r="BB149" s="10"/>
    </row>
    <row r="150" ht="15.75" customHeight="1">
      <c r="A150" s="35"/>
      <c r="B150" s="36">
        <f t="shared" si="1"/>
        <v>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10"/>
      <c r="AT150" s="8"/>
      <c r="AU150" s="8"/>
      <c r="AV150" s="10"/>
      <c r="AW150" s="8"/>
      <c r="AX150" s="8"/>
      <c r="AY150" s="10"/>
      <c r="AZ150" s="8"/>
      <c r="BA150" s="8"/>
      <c r="BB150" s="10"/>
    </row>
    <row r="151" ht="15.75" customHeight="1">
      <c r="A151" s="35"/>
      <c r="B151" s="36">
        <f t="shared" si="1"/>
        <v>0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10"/>
      <c r="AT151" s="8"/>
      <c r="AU151" s="8"/>
      <c r="AV151" s="10"/>
      <c r="AW151" s="8"/>
      <c r="AX151" s="8"/>
      <c r="AY151" s="10"/>
      <c r="AZ151" s="8"/>
      <c r="BA151" s="8"/>
      <c r="BB151" s="10"/>
    </row>
    <row r="152" ht="15.75" customHeight="1">
      <c r="A152" s="35"/>
      <c r="B152" s="36">
        <f t="shared" si="1"/>
        <v>0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10"/>
      <c r="AT152" s="8"/>
      <c r="AU152" s="8"/>
      <c r="AV152" s="10"/>
      <c r="AW152" s="8"/>
      <c r="AX152" s="8"/>
      <c r="AY152" s="10"/>
      <c r="AZ152" s="8"/>
      <c r="BA152" s="8"/>
      <c r="BB152" s="10"/>
    </row>
    <row r="153" ht="15.75" customHeight="1">
      <c r="A153" s="35"/>
      <c r="B153" s="36">
        <f t="shared" si="1"/>
        <v>0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10"/>
      <c r="AT153" s="8"/>
      <c r="AU153" s="8"/>
      <c r="AV153" s="10"/>
      <c r="AW153" s="8"/>
      <c r="AX153" s="8"/>
      <c r="AY153" s="10"/>
      <c r="AZ153" s="8"/>
      <c r="BA153" s="8"/>
      <c r="BB153" s="10"/>
    </row>
    <row r="154" ht="15.75" customHeight="1">
      <c r="A154" s="35"/>
      <c r="B154" s="36">
        <f t="shared" si="1"/>
        <v>0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10"/>
      <c r="AT154" s="8"/>
      <c r="AU154" s="8"/>
      <c r="AV154" s="10"/>
      <c r="AW154" s="8"/>
      <c r="AX154" s="8"/>
      <c r="AY154" s="10"/>
      <c r="AZ154" s="8"/>
      <c r="BA154" s="8"/>
      <c r="BB154" s="10"/>
    </row>
    <row r="155" ht="15.75" customHeight="1">
      <c r="A155" s="35"/>
      <c r="B155" s="36">
        <f t="shared" si="1"/>
        <v>0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10"/>
      <c r="AT155" s="8"/>
      <c r="AU155" s="8"/>
      <c r="AV155" s="10"/>
      <c r="AW155" s="8"/>
      <c r="AX155" s="8"/>
      <c r="AY155" s="10"/>
      <c r="AZ155" s="8"/>
      <c r="BA155" s="8"/>
      <c r="BB155" s="10"/>
    </row>
    <row r="156" ht="15.75" customHeight="1">
      <c r="A156" s="35"/>
      <c r="B156" s="36">
        <f t="shared" si="1"/>
        <v>0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10"/>
      <c r="AT156" s="8"/>
      <c r="AU156" s="8"/>
      <c r="AV156" s="10"/>
      <c r="AW156" s="8"/>
      <c r="AX156" s="8"/>
      <c r="AY156" s="10"/>
      <c r="AZ156" s="8"/>
      <c r="BA156" s="8"/>
      <c r="BB156" s="10"/>
    </row>
    <row r="157" ht="15.75" customHeight="1">
      <c r="A157" s="35"/>
      <c r="B157" s="36">
        <f t="shared" si="1"/>
        <v>0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10"/>
      <c r="AT157" s="8"/>
      <c r="AU157" s="8"/>
      <c r="AV157" s="10"/>
      <c r="AW157" s="8"/>
      <c r="AX157" s="8"/>
      <c r="AY157" s="10"/>
      <c r="AZ157" s="8"/>
      <c r="BA157" s="8"/>
      <c r="BB157" s="10"/>
    </row>
    <row r="158" ht="15.75" customHeight="1">
      <c r="A158" s="35"/>
      <c r="B158" s="36">
        <f t="shared" si="1"/>
        <v>0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10"/>
      <c r="AT158" s="8"/>
      <c r="AU158" s="8"/>
      <c r="AV158" s="10"/>
      <c r="AW158" s="8"/>
      <c r="AX158" s="8"/>
      <c r="AY158" s="10"/>
      <c r="AZ158" s="8"/>
      <c r="BA158" s="8"/>
      <c r="BB158" s="10"/>
    </row>
    <row r="159" ht="15.75" customHeight="1">
      <c r="A159" s="35"/>
      <c r="B159" s="36">
        <f t="shared" si="1"/>
        <v>0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10"/>
      <c r="AT159" s="8"/>
      <c r="AU159" s="8"/>
      <c r="AV159" s="10"/>
      <c r="AW159" s="8"/>
      <c r="AX159" s="8"/>
      <c r="AY159" s="10"/>
      <c r="AZ159" s="8"/>
      <c r="BA159" s="8"/>
      <c r="BB159" s="10"/>
    </row>
    <row r="160" ht="15.75" customHeight="1">
      <c r="A160" s="35"/>
      <c r="B160" s="36">
        <f t="shared" si="1"/>
        <v>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10"/>
      <c r="AT160" s="8"/>
      <c r="AU160" s="8"/>
      <c r="AV160" s="10"/>
      <c r="AW160" s="8"/>
      <c r="AX160" s="8"/>
      <c r="AY160" s="10"/>
      <c r="AZ160" s="8"/>
      <c r="BA160" s="8"/>
      <c r="BB160" s="10"/>
    </row>
    <row r="161" ht="15.75" customHeight="1">
      <c r="A161" s="35"/>
      <c r="B161" s="36">
        <f t="shared" si="1"/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10"/>
      <c r="AT161" s="8"/>
      <c r="AU161" s="8"/>
      <c r="AV161" s="10"/>
      <c r="AW161" s="8"/>
      <c r="AX161" s="8"/>
      <c r="AY161" s="10"/>
      <c r="AZ161" s="8"/>
      <c r="BA161" s="8"/>
      <c r="BB161" s="10"/>
    </row>
    <row r="162" ht="15.75" customHeight="1">
      <c r="A162" s="35"/>
      <c r="B162" s="36">
        <f t="shared" si="1"/>
        <v>0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10"/>
      <c r="AT162" s="8"/>
      <c r="AU162" s="8"/>
      <c r="AV162" s="10"/>
      <c r="AW162" s="8"/>
      <c r="AX162" s="8"/>
      <c r="AY162" s="10"/>
      <c r="AZ162" s="8"/>
      <c r="BA162" s="8"/>
      <c r="BB162" s="10"/>
    </row>
    <row r="163" ht="15.75" customHeight="1">
      <c r="A163" s="35"/>
      <c r="B163" s="36">
        <f t="shared" si="1"/>
        <v>0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10"/>
      <c r="AT163" s="8"/>
      <c r="AU163" s="8"/>
      <c r="AV163" s="10"/>
      <c r="AW163" s="8"/>
      <c r="AX163" s="8"/>
      <c r="AY163" s="10"/>
      <c r="AZ163" s="8"/>
      <c r="BA163" s="8"/>
      <c r="BB163" s="10"/>
    </row>
    <row r="164" ht="15.75" customHeight="1">
      <c r="A164" s="35"/>
      <c r="B164" s="36">
        <f t="shared" si="1"/>
        <v>0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10"/>
      <c r="AT164" s="8"/>
      <c r="AU164" s="8"/>
      <c r="AV164" s="10"/>
      <c r="AW164" s="8"/>
      <c r="AX164" s="8"/>
      <c r="AY164" s="10"/>
      <c r="AZ164" s="8"/>
      <c r="BA164" s="8"/>
      <c r="BB164" s="10"/>
    </row>
    <row r="165" ht="15.75" customHeight="1">
      <c r="A165" s="35"/>
      <c r="B165" s="36">
        <f t="shared" si="1"/>
        <v>0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10"/>
      <c r="AT165" s="8"/>
      <c r="AU165" s="8"/>
      <c r="AV165" s="10"/>
      <c r="AW165" s="8"/>
      <c r="AX165" s="8"/>
      <c r="AY165" s="10"/>
      <c r="AZ165" s="8"/>
      <c r="BA165" s="8"/>
      <c r="BB165" s="10"/>
    </row>
    <row r="166" ht="15.75" customHeight="1">
      <c r="A166" s="35"/>
      <c r="B166" s="36">
        <f t="shared" si="1"/>
        <v>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10"/>
      <c r="AT166" s="8"/>
      <c r="AU166" s="8"/>
      <c r="AV166" s="10"/>
      <c r="AW166" s="8"/>
      <c r="AX166" s="8"/>
      <c r="AY166" s="10"/>
      <c r="AZ166" s="8"/>
      <c r="BA166" s="8"/>
      <c r="BB166" s="10"/>
    </row>
    <row r="167" ht="15.75" customHeight="1">
      <c r="A167" s="35"/>
      <c r="B167" s="36">
        <f t="shared" si="1"/>
        <v>0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10"/>
      <c r="AT167" s="8"/>
      <c r="AU167" s="8"/>
      <c r="AV167" s="10"/>
      <c r="AW167" s="8"/>
      <c r="AX167" s="8"/>
      <c r="AY167" s="10"/>
      <c r="AZ167" s="8"/>
      <c r="BA167" s="8"/>
      <c r="BB167" s="10"/>
    </row>
    <row r="168" ht="15.75" customHeight="1">
      <c r="A168" s="35"/>
      <c r="B168" s="36">
        <f t="shared" si="1"/>
        <v>0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10"/>
      <c r="AT168" s="8"/>
      <c r="AU168" s="8"/>
      <c r="AV168" s="10"/>
      <c r="AW168" s="8"/>
      <c r="AX168" s="8"/>
      <c r="AY168" s="10"/>
      <c r="AZ168" s="8"/>
      <c r="BA168" s="8"/>
      <c r="BB168" s="10"/>
    </row>
    <row r="169" ht="15.75" customHeight="1">
      <c r="A169" s="35"/>
      <c r="B169" s="36">
        <f t="shared" si="1"/>
        <v>0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10"/>
      <c r="AT169" s="8"/>
      <c r="AU169" s="8"/>
      <c r="AV169" s="10"/>
      <c r="AW169" s="8"/>
      <c r="AX169" s="8"/>
      <c r="AY169" s="10"/>
      <c r="AZ169" s="8"/>
      <c r="BA169" s="8"/>
      <c r="BB169" s="10"/>
    </row>
    <row r="170" ht="15.75" customHeight="1">
      <c r="A170" s="35"/>
      <c r="B170" s="36">
        <f t="shared" si="1"/>
        <v>0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10"/>
      <c r="AT170" s="8"/>
      <c r="AU170" s="8"/>
      <c r="AV170" s="10"/>
      <c r="AW170" s="8"/>
      <c r="AX170" s="8"/>
      <c r="AY170" s="10"/>
      <c r="AZ170" s="8"/>
      <c r="BA170" s="8"/>
      <c r="BB170" s="10"/>
    </row>
    <row r="171" ht="15.75" customHeight="1">
      <c r="A171" s="35"/>
      <c r="B171" s="36">
        <f t="shared" si="1"/>
        <v>0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10"/>
      <c r="AT171" s="8"/>
      <c r="AU171" s="8"/>
      <c r="AV171" s="10"/>
      <c r="AW171" s="8"/>
      <c r="AX171" s="8"/>
      <c r="AY171" s="10"/>
      <c r="AZ171" s="8"/>
      <c r="BA171" s="8"/>
      <c r="BB171" s="10"/>
    </row>
    <row r="172" ht="15.75" customHeight="1">
      <c r="A172" s="35"/>
      <c r="B172" s="36">
        <f t="shared" si="1"/>
        <v>0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10"/>
      <c r="AT172" s="8"/>
      <c r="AU172" s="8"/>
      <c r="AV172" s="10"/>
      <c r="AW172" s="8"/>
      <c r="AX172" s="8"/>
      <c r="AY172" s="10"/>
      <c r="AZ172" s="8"/>
      <c r="BA172" s="8"/>
      <c r="BB172" s="10"/>
    </row>
    <row r="173" ht="15.75" customHeight="1">
      <c r="A173" s="35"/>
      <c r="B173" s="36">
        <f t="shared" si="1"/>
        <v>0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10"/>
      <c r="AT173" s="8"/>
      <c r="AU173" s="8"/>
      <c r="AV173" s="10"/>
      <c r="AW173" s="8"/>
      <c r="AX173" s="8"/>
      <c r="AY173" s="10"/>
      <c r="AZ173" s="8"/>
      <c r="BA173" s="8"/>
      <c r="BB173" s="10"/>
    </row>
    <row r="174" ht="15.75" customHeight="1">
      <c r="A174" s="35"/>
      <c r="B174" s="36">
        <f t="shared" si="1"/>
        <v>0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10"/>
      <c r="AT174" s="8"/>
      <c r="AU174" s="8"/>
      <c r="AV174" s="10"/>
      <c r="AW174" s="8"/>
      <c r="AX174" s="8"/>
      <c r="AY174" s="10"/>
      <c r="AZ174" s="8"/>
      <c r="BA174" s="8"/>
      <c r="BB174" s="10"/>
    </row>
    <row r="175" ht="15.75" customHeight="1">
      <c r="A175" s="35"/>
      <c r="B175" s="36">
        <f t="shared" si="1"/>
        <v>0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10"/>
      <c r="AT175" s="8"/>
      <c r="AU175" s="8"/>
      <c r="AV175" s="10"/>
      <c r="AW175" s="8"/>
      <c r="AX175" s="8"/>
      <c r="AY175" s="10"/>
      <c r="AZ175" s="8"/>
      <c r="BA175" s="8"/>
      <c r="BB175" s="10"/>
    </row>
    <row r="176" ht="15.75" customHeight="1">
      <c r="A176" s="35"/>
      <c r="B176" s="36">
        <f t="shared" si="1"/>
        <v>0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10"/>
      <c r="AT176" s="8"/>
      <c r="AU176" s="8"/>
      <c r="AV176" s="10"/>
      <c r="AW176" s="8"/>
      <c r="AX176" s="8"/>
      <c r="AY176" s="10"/>
      <c r="AZ176" s="8"/>
      <c r="BA176" s="8"/>
      <c r="BB176" s="10"/>
    </row>
    <row r="177" ht="15.75" customHeight="1">
      <c r="A177" s="35"/>
      <c r="B177" s="36">
        <f t="shared" si="1"/>
        <v>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10"/>
      <c r="AT177" s="8"/>
      <c r="AU177" s="8"/>
      <c r="AV177" s="10"/>
      <c r="AW177" s="8"/>
      <c r="AX177" s="8"/>
      <c r="AY177" s="10"/>
      <c r="AZ177" s="8"/>
      <c r="BA177" s="8"/>
      <c r="BB177" s="10"/>
    </row>
    <row r="178" ht="15.75" customHeight="1">
      <c r="A178" s="35"/>
      <c r="B178" s="36">
        <f t="shared" si="1"/>
        <v>0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10"/>
      <c r="AT178" s="8"/>
      <c r="AU178" s="8"/>
      <c r="AV178" s="10"/>
      <c r="AW178" s="8"/>
      <c r="AX178" s="8"/>
      <c r="AY178" s="10"/>
      <c r="AZ178" s="8"/>
      <c r="BA178" s="8"/>
      <c r="BB178" s="10"/>
    </row>
    <row r="179" ht="15.75" customHeight="1">
      <c r="A179" s="35"/>
      <c r="B179" s="36">
        <f t="shared" si="1"/>
        <v>0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10"/>
      <c r="AT179" s="8"/>
      <c r="AU179" s="8"/>
      <c r="AV179" s="10"/>
      <c r="AW179" s="8"/>
      <c r="AX179" s="8"/>
      <c r="AY179" s="10"/>
      <c r="AZ179" s="8"/>
      <c r="BA179" s="8"/>
      <c r="BB179" s="10"/>
    </row>
    <row r="180" ht="15.75" customHeight="1">
      <c r="A180" s="35"/>
      <c r="B180" s="36">
        <f t="shared" si="1"/>
        <v>0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10"/>
      <c r="AT180" s="8"/>
      <c r="AU180" s="8"/>
      <c r="AV180" s="10"/>
      <c r="AW180" s="8"/>
      <c r="AX180" s="8"/>
      <c r="AY180" s="10"/>
      <c r="AZ180" s="8"/>
      <c r="BA180" s="8"/>
      <c r="BB180" s="10"/>
    </row>
    <row r="181" ht="15.75" customHeight="1">
      <c r="A181" s="35"/>
      <c r="B181" s="36">
        <f t="shared" si="1"/>
        <v>0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10"/>
      <c r="AT181" s="8"/>
      <c r="AU181" s="8"/>
      <c r="AV181" s="10"/>
      <c r="AW181" s="8"/>
      <c r="AX181" s="8"/>
      <c r="AY181" s="10"/>
      <c r="AZ181" s="8"/>
      <c r="BA181" s="8"/>
      <c r="BB181" s="10"/>
    </row>
    <row r="182" ht="15.75" customHeight="1">
      <c r="A182" s="35"/>
      <c r="B182" s="36">
        <f t="shared" si="1"/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10"/>
      <c r="AT182" s="8"/>
      <c r="AU182" s="8"/>
      <c r="AV182" s="10"/>
      <c r="AW182" s="8"/>
      <c r="AX182" s="8"/>
      <c r="AY182" s="10"/>
      <c r="AZ182" s="8"/>
      <c r="BA182" s="8"/>
      <c r="BB182" s="10"/>
    </row>
    <row r="183" ht="15.75" customHeight="1">
      <c r="A183" s="35"/>
      <c r="B183" s="36">
        <f t="shared" si="1"/>
        <v>0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10"/>
      <c r="AT183" s="8"/>
      <c r="AU183" s="8"/>
      <c r="AV183" s="10"/>
      <c r="AW183" s="8"/>
      <c r="AX183" s="8"/>
      <c r="AY183" s="10"/>
      <c r="AZ183" s="8"/>
      <c r="BA183" s="8"/>
      <c r="BB183" s="10"/>
    </row>
    <row r="184" ht="15.75" customHeight="1">
      <c r="A184" s="35"/>
      <c r="B184" s="36">
        <f t="shared" si="1"/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10"/>
      <c r="AT184" s="8"/>
      <c r="AU184" s="8"/>
      <c r="AV184" s="10"/>
      <c r="AW184" s="8"/>
      <c r="AX184" s="8"/>
      <c r="AY184" s="10"/>
      <c r="AZ184" s="8"/>
      <c r="BA184" s="8"/>
      <c r="BB184" s="10"/>
    </row>
    <row r="185" ht="15.75" customHeight="1">
      <c r="A185" s="35"/>
      <c r="B185" s="36">
        <f t="shared" si="1"/>
        <v>0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10"/>
      <c r="AT185" s="8"/>
      <c r="AU185" s="8"/>
      <c r="AV185" s="10"/>
      <c r="AW185" s="8"/>
      <c r="AX185" s="8"/>
      <c r="AY185" s="10"/>
      <c r="AZ185" s="8"/>
      <c r="BA185" s="8"/>
      <c r="BB185" s="10"/>
    </row>
    <row r="186" ht="15.75" customHeight="1">
      <c r="A186" s="35"/>
      <c r="B186" s="36">
        <f t="shared" si="1"/>
        <v>0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10"/>
      <c r="AT186" s="8"/>
      <c r="AU186" s="8"/>
      <c r="AV186" s="10"/>
      <c r="AW186" s="8"/>
      <c r="AX186" s="8"/>
      <c r="AY186" s="10"/>
      <c r="AZ186" s="8"/>
      <c r="BA186" s="8"/>
      <c r="BB186" s="10"/>
    </row>
    <row r="187" ht="15.75" customHeight="1">
      <c r="A187" s="35"/>
      <c r="B187" s="36">
        <f t="shared" si="1"/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10"/>
      <c r="AT187" s="8"/>
      <c r="AU187" s="8"/>
      <c r="AV187" s="10"/>
      <c r="AW187" s="8"/>
      <c r="AX187" s="8"/>
      <c r="AY187" s="10"/>
      <c r="AZ187" s="8"/>
      <c r="BA187" s="8"/>
      <c r="BB187" s="10"/>
    </row>
    <row r="188" ht="15.75" customHeight="1">
      <c r="A188" s="35"/>
      <c r="B188" s="36">
        <f t="shared" si="1"/>
        <v>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10"/>
      <c r="AT188" s="8"/>
      <c r="AU188" s="8"/>
      <c r="AV188" s="10"/>
      <c r="AW188" s="8"/>
      <c r="AX188" s="8"/>
      <c r="AY188" s="10"/>
      <c r="AZ188" s="8"/>
      <c r="BA188" s="8"/>
      <c r="BB188" s="10"/>
    </row>
    <row r="189" ht="15.75" customHeight="1">
      <c r="A189" s="35"/>
      <c r="B189" s="36">
        <f t="shared" si="1"/>
        <v>0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10"/>
      <c r="AT189" s="8"/>
      <c r="AU189" s="8"/>
      <c r="AV189" s="10"/>
      <c r="AW189" s="8"/>
      <c r="AX189" s="8"/>
      <c r="AY189" s="10"/>
      <c r="AZ189" s="8"/>
      <c r="BA189" s="8"/>
      <c r="BB189" s="10"/>
    </row>
    <row r="190" ht="15.75" customHeight="1">
      <c r="A190" s="35"/>
      <c r="B190" s="36">
        <f t="shared" si="1"/>
        <v>0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10"/>
      <c r="AT190" s="8"/>
      <c r="AU190" s="8"/>
      <c r="AV190" s="10"/>
      <c r="AW190" s="8"/>
      <c r="AX190" s="8"/>
      <c r="AY190" s="10"/>
      <c r="AZ190" s="8"/>
      <c r="BA190" s="8"/>
      <c r="BB190" s="10"/>
    </row>
    <row r="191" ht="15.75" customHeight="1">
      <c r="A191" s="35"/>
      <c r="B191" s="36">
        <f t="shared" si="1"/>
        <v>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10"/>
      <c r="AT191" s="8"/>
      <c r="AU191" s="8"/>
      <c r="AV191" s="10"/>
      <c r="AW191" s="8"/>
      <c r="AX191" s="8"/>
      <c r="AY191" s="10"/>
      <c r="AZ191" s="8"/>
      <c r="BA191" s="8"/>
      <c r="BB191" s="10"/>
    </row>
    <row r="192" ht="15.75" customHeight="1">
      <c r="A192" s="35"/>
      <c r="B192" s="36">
        <f t="shared" si="1"/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10"/>
      <c r="AT192" s="8"/>
      <c r="AU192" s="8"/>
      <c r="AV192" s="10"/>
      <c r="AW192" s="8"/>
      <c r="AX192" s="8"/>
      <c r="AY192" s="10"/>
      <c r="AZ192" s="8"/>
      <c r="BA192" s="8"/>
      <c r="BB192" s="10"/>
    </row>
    <row r="193" ht="15.75" customHeight="1">
      <c r="A193" s="35"/>
      <c r="B193" s="36">
        <f t="shared" si="1"/>
        <v>0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10"/>
      <c r="AT193" s="8"/>
      <c r="AU193" s="8"/>
      <c r="AV193" s="10"/>
      <c r="AW193" s="8"/>
      <c r="AX193" s="8"/>
      <c r="AY193" s="10"/>
      <c r="AZ193" s="8"/>
      <c r="BA193" s="8"/>
      <c r="BB193" s="10"/>
    </row>
    <row r="194" ht="15.75" customHeight="1">
      <c r="A194" s="35"/>
      <c r="B194" s="36">
        <f t="shared" si="1"/>
        <v>0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10"/>
      <c r="AT194" s="8"/>
      <c r="AU194" s="8"/>
      <c r="AV194" s="10"/>
      <c r="AW194" s="8"/>
      <c r="AX194" s="8"/>
      <c r="AY194" s="10"/>
      <c r="AZ194" s="8"/>
      <c r="BA194" s="8"/>
      <c r="BB194" s="10"/>
    </row>
    <row r="195" ht="15.75" customHeight="1">
      <c r="A195" s="35"/>
      <c r="B195" s="36">
        <f t="shared" si="1"/>
        <v>0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10"/>
      <c r="AT195" s="8"/>
      <c r="AU195" s="8"/>
      <c r="AV195" s="10"/>
      <c r="AW195" s="8"/>
      <c r="AX195" s="8"/>
      <c r="AY195" s="10"/>
      <c r="AZ195" s="8"/>
      <c r="BA195" s="8"/>
      <c r="BB195" s="10"/>
    </row>
    <row r="196" ht="15.75" customHeight="1">
      <c r="A196" s="35"/>
      <c r="B196" s="36">
        <f t="shared" si="1"/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10"/>
      <c r="AT196" s="8"/>
      <c r="AU196" s="8"/>
      <c r="AV196" s="10"/>
      <c r="AW196" s="8"/>
      <c r="AX196" s="8"/>
      <c r="AY196" s="10"/>
      <c r="AZ196" s="8"/>
      <c r="BA196" s="8"/>
      <c r="BB196" s="10"/>
    </row>
    <row r="197" ht="15.75" customHeight="1">
      <c r="A197" s="35"/>
      <c r="B197" s="36">
        <f t="shared" si="1"/>
        <v>0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10"/>
      <c r="AT197" s="8"/>
      <c r="AU197" s="8"/>
      <c r="AV197" s="10"/>
      <c r="AW197" s="8"/>
      <c r="AX197" s="8"/>
      <c r="AY197" s="10"/>
      <c r="AZ197" s="8"/>
      <c r="BA197" s="8"/>
      <c r="BB197" s="10"/>
    </row>
    <row r="198" ht="15.75" customHeight="1">
      <c r="A198" s="35"/>
      <c r="B198" s="36">
        <f t="shared" si="1"/>
        <v>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10"/>
      <c r="AT198" s="8"/>
      <c r="AU198" s="8"/>
      <c r="AV198" s="10"/>
      <c r="AW198" s="8"/>
      <c r="AX198" s="8"/>
      <c r="AY198" s="10"/>
      <c r="AZ198" s="8"/>
      <c r="BA198" s="8"/>
      <c r="BB198" s="10"/>
    </row>
    <row r="199" ht="15.75" customHeight="1">
      <c r="A199" s="35"/>
      <c r="B199" s="36">
        <f t="shared" si="1"/>
        <v>0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10"/>
      <c r="AT199" s="8"/>
      <c r="AU199" s="8"/>
      <c r="AV199" s="10"/>
      <c r="AW199" s="8"/>
      <c r="AX199" s="8"/>
      <c r="AY199" s="10"/>
      <c r="AZ199" s="8"/>
      <c r="BA199" s="8"/>
      <c r="BB199" s="10"/>
    </row>
    <row r="200" ht="15.75" customHeight="1">
      <c r="A200" s="35"/>
      <c r="B200" s="36">
        <f t="shared" si="1"/>
        <v>0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10"/>
      <c r="AT200" s="8"/>
      <c r="AU200" s="8"/>
      <c r="AV200" s="10"/>
      <c r="AW200" s="8"/>
      <c r="AX200" s="8"/>
      <c r="AY200" s="10"/>
      <c r="AZ200" s="8"/>
      <c r="BA200" s="8"/>
      <c r="BB200" s="10"/>
    </row>
    <row r="201" ht="15.75" customHeight="1">
      <c r="A201" s="35"/>
      <c r="B201" s="36">
        <f t="shared" si="1"/>
        <v>0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10"/>
      <c r="AT201" s="8"/>
      <c r="AU201" s="8"/>
      <c r="AV201" s="10"/>
      <c r="AW201" s="8"/>
      <c r="AX201" s="8"/>
      <c r="AY201" s="10"/>
      <c r="AZ201" s="8"/>
      <c r="BA201" s="8"/>
      <c r="BB201" s="10"/>
    </row>
    <row r="202" ht="15.75" customHeight="1">
      <c r="A202" s="35"/>
      <c r="B202" s="36">
        <f t="shared" si="1"/>
        <v>0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10"/>
      <c r="AT202" s="8"/>
      <c r="AU202" s="8"/>
      <c r="AV202" s="10"/>
      <c r="AW202" s="8"/>
      <c r="AX202" s="8"/>
      <c r="AY202" s="10"/>
      <c r="AZ202" s="8"/>
      <c r="BA202" s="8"/>
      <c r="BB202" s="10"/>
    </row>
    <row r="203" ht="15.75" customHeight="1">
      <c r="A203" s="35"/>
      <c r="B203" s="36">
        <f t="shared" si="1"/>
        <v>0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10"/>
      <c r="AT203" s="8"/>
      <c r="AU203" s="8"/>
      <c r="AV203" s="10"/>
      <c r="AW203" s="8"/>
      <c r="AX203" s="8"/>
      <c r="AY203" s="10"/>
      <c r="AZ203" s="8"/>
      <c r="BA203" s="8"/>
      <c r="BB203" s="10"/>
    </row>
    <row r="204" ht="15.75" customHeight="1">
      <c r="A204" s="35"/>
      <c r="B204" s="36">
        <f t="shared" si="1"/>
        <v>0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10"/>
      <c r="AT204" s="8"/>
      <c r="AU204" s="8"/>
      <c r="AV204" s="10"/>
      <c r="AW204" s="8"/>
      <c r="AX204" s="8"/>
      <c r="AY204" s="10"/>
      <c r="AZ204" s="8"/>
      <c r="BA204" s="8"/>
      <c r="BB204" s="10"/>
    </row>
    <row r="205" ht="15.75" customHeight="1">
      <c r="A205" s="35"/>
      <c r="B205" s="36">
        <f t="shared" si="1"/>
        <v>0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10"/>
      <c r="AT205" s="8"/>
      <c r="AU205" s="8"/>
      <c r="AV205" s="10"/>
      <c r="AW205" s="8"/>
      <c r="AX205" s="8"/>
      <c r="AY205" s="10"/>
      <c r="AZ205" s="8"/>
      <c r="BA205" s="8"/>
      <c r="BB205" s="10"/>
    </row>
    <row r="206" ht="15.75" customHeight="1">
      <c r="A206" s="35"/>
      <c r="B206" s="36">
        <f t="shared" si="1"/>
        <v>0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10"/>
      <c r="AT206" s="8"/>
      <c r="AU206" s="8"/>
      <c r="AV206" s="10"/>
      <c r="AW206" s="8"/>
      <c r="AX206" s="8"/>
      <c r="AY206" s="10"/>
      <c r="AZ206" s="8"/>
      <c r="BA206" s="8"/>
      <c r="BB206" s="10"/>
    </row>
    <row r="207" ht="15.75" customHeight="1">
      <c r="A207" s="35"/>
      <c r="B207" s="36">
        <f t="shared" si="1"/>
        <v>0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10"/>
      <c r="AT207" s="8"/>
      <c r="AU207" s="8"/>
      <c r="AV207" s="10"/>
      <c r="AW207" s="8"/>
      <c r="AX207" s="8"/>
      <c r="AY207" s="10"/>
      <c r="AZ207" s="8"/>
      <c r="BA207" s="8"/>
      <c r="BB207" s="10"/>
    </row>
    <row r="208" ht="15.75" customHeight="1">
      <c r="A208" s="35"/>
      <c r="B208" s="36">
        <f t="shared" si="1"/>
        <v>0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10"/>
      <c r="AT208" s="8"/>
      <c r="AU208" s="8"/>
      <c r="AV208" s="10"/>
      <c r="AW208" s="8"/>
      <c r="AX208" s="8"/>
      <c r="AY208" s="10"/>
      <c r="AZ208" s="8"/>
      <c r="BA208" s="8"/>
      <c r="BB208" s="10"/>
    </row>
    <row r="209" ht="15.75" customHeight="1">
      <c r="A209" s="35"/>
      <c r="B209" s="36">
        <f t="shared" si="1"/>
        <v>0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10"/>
      <c r="AT209" s="8"/>
      <c r="AU209" s="8"/>
      <c r="AV209" s="10"/>
      <c r="AW209" s="8"/>
      <c r="AX209" s="8"/>
      <c r="AY209" s="10"/>
      <c r="AZ209" s="8"/>
      <c r="BA209" s="8"/>
      <c r="BB209" s="10"/>
    </row>
    <row r="210" ht="15.75" customHeight="1">
      <c r="A210" s="35"/>
      <c r="B210" s="36">
        <f t="shared" si="1"/>
        <v>0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10"/>
      <c r="AT210" s="8"/>
      <c r="AU210" s="8"/>
      <c r="AV210" s="10"/>
      <c r="AW210" s="8"/>
      <c r="AX210" s="8"/>
      <c r="AY210" s="10"/>
      <c r="AZ210" s="8"/>
      <c r="BA210" s="8"/>
      <c r="BB210" s="10"/>
    </row>
    <row r="211" ht="15.75" customHeight="1">
      <c r="A211" s="35"/>
      <c r="B211" s="36">
        <f t="shared" si="1"/>
        <v>0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10"/>
      <c r="AT211" s="8"/>
      <c r="AU211" s="8"/>
      <c r="AV211" s="10"/>
      <c r="AW211" s="8"/>
      <c r="AX211" s="8"/>
      <c r="AY211" s="10"/>
      <c r="AZ211" s="8"/>
      <c r="BA211" s="8"/>
      <c r="BB211" s="10"/>
    </row>
    <row r="212" ht="15.75" customHeight="1">
      <c r="A212" s="35"/>
      <c r="B212" s="36">
        <f t="shared" si="1"/>
        <v>0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10"/>
      <c r="AT212" s="8"/>
      <c r="AU212" s="8"/>
      <c r="AV212" s="10"/>
      <c r="AW212" s="8"/>
      <c r="AX212" s="8"/>
      <c r="AY212" s="10"/>
      <c r="AZ212" s="8"/>
      <c r="BA212" s="8"/>
      <c r="BB212" s="10"/>
    </row>
    <row r="213" ht="15.75" customHeight="1">
      <c r="A213" s="35"/>
      <c r="B213" s="36">
        <f t="shared" si="1"/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10"/>
      <c r="AT213" s="8"/>
      <c r="AU213" s="8"/>
      <c r="AV213" s="10"/>
      <c r="AW213" s="8"/>
      <c r="AX213" s="8"/>
      <c r="AY213" s="10"/>
      <c r="AZ213" s="8"/>
      <c r="BA213" s="8"/>
      <c r="BB213" s="10"/>
    </row>
    <row r="214" ht="15.75" customHeight="1">
      <c r="A214" s="35"/>
      <c r="B214" s="36">
        <f t="shared" si="1"/>
        <v>0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10"/>
      <c r="AT214" s="8"/>
      <c r="AU214" s="8"/>
      <c r="AV214" s="10"/>
      <c r="AW214" s="8"/>
      <c r="AX214" s="8"/>
      <c r="AY214" s="10"/>
      <c r="AZ214" s="8"/>
      <c r="BA214" s="8"/>
      <c r="BB214" s="10"/>
    </row>
    <row r="215" ht="15.75" customHeight="1">
      <c r="A215" s="35"/>
      <c r="B215" s="36">
        <f t="shared" si="1"/>
        <v>0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10"/>
      <c r="AT215" s="8"/>
      <c r="AU215" s="8"/>
      <c r="AV215" s="10"/>
      <c r="AW215" s="8"/>
      <c r="AX215" s="8"/>
      <c r="AY215" s="10"/>
      <c r="AZ215" s="8"/>
      <c r="BA215" s="8"/>
      <c r="BB215" s="10"/>
    </row>
    <row r="216" ht="15.75" customHeight="1">
      <c r="A216" s="35"/>
      <c r="B216" s="36">
        <f t="shared" si="1"/>
        <v>0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10"/>
      <c r="AT216" s="8"/>
      <c r="AU216" s="8"/>
      <c r="AV216" s="10"/>
      <c r="AW216" s="8"/>
      <c r="AX216" s="8"/>
      <c r="AY216" s="10"/>
      <c r="AZ216" s="8"/>
      <c r="BA216" s="8"/>
      <c r="BB216" s="10"/>
    </row>
    <row r="217" ht="15.75" customHeight="1">
      <c r="A217" s="35"/>
      <c r="B217" s="36">
        <f t="shared" si="1"/>
        <v>0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10"/>
      <c r="AT217" s="8"/>
      <c r="AU217" s="8"/>
      <c r="AV217" s="10"/>
      <c r="AW217" s="8"/>
      <c r="AX217" s="8"/>
      <c r="AY217" s="10"/>
      <c r="AZ217" s="8"/>
      <c r="BA217" s="8"/>
      <c r="BB217" s="10"/>
    </row>
    <row r="218" ht="15.75" customHeight="1">
      <c r="A218" s="35"/>
      <c r="B218" s="36">
        <f t="shared" si="1"/>
        <v>0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10"/>
      <c r="AT218" s="8"/>
      <c r="AU218" s="8"/>
      <c r="AV218" s="10"/>
      <c r="AW218" s="8"/>
      <c r="AX218" s="8"/>
      <c r="AY218" s="10"/>
      <c r="AZ218" s="8"/>
      <c r="BA218" s="8"/>
      <c r="BB218" s="10"/>
    </row>
    <row r="219" ht="15.75" customHeight="1">
      <c r="A219" s="35"/>
      <c r="B219" s="36">
        <f t="shared" si="1"/>
        <v>0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10"/>
      <c r="AT219" s="8"/>
      <c r="AU219" s="8"/>
      <c r="AV219" s="10"/>
      <c r="AW219" s="8"/>
      <c r="AX219" s="8"/>
      <c r="AY219" s="10"/>
      <c r="AZ219" s="8"/>
      <c r="BA219" s="8"/>
      <c r="BB219" s="10"/>
    </row>
    <row r="220" ht="15.75" customHeight="1">
      <c r="A220" s="35"/>
      <c r="B220" s="36">
        <f t="shared" si="1"/>
        <v>0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10"/>
      <c r="AT220" s="8"/>
      <c r="AU220" s="8"/>
      <c r="AV220" s="10"/>
      <c r="AW220" s="8"/>
      <c r="AX220" s="8"/>
      <c r="AY220" s="10"/>
      <c r="AZ220" s="8"/>
      <c r="BA220" s="8"/>
      <c r="BB220" s="10"/>
    </row>
    <row r="221" ht="15.75" customHeight="1">
      <c r="A221" s="35"/>
      <c r="B221" s="36">
        <f t="shared" si="1"/>
        <v>0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10"/>
      <c r="AT221" s="8"/>
      <c r="AU221" s="8"/>
      <c r="AV221" s="10"/>
      <c r="AW221" s="8"/>
      <c r="AX221" s="8"/>
      <c r="AY221" s="10"/>
      <c r="AZ221" s="8"/>
      <c r="BA221" s="8"/>
      <c r="BB221" s="10"/>
    </row>
    <row r="222" ht="15.75" customHeight="1">
      <c r="A222" s="35"/>
      <c r="B222" s="36">
        <f t="shared" si="1"/>
        <v>0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10"/>
      <c r="AT222" s="8"/>
      <c r="AU222" s="8"/>
      <c r="AV222" s="10"/>
      <c r="AW222" s="8"/>
      <c r="AX222" s="8"/>
      <c r="AY222" s="10"/>
      <c r="AZ222" s="8"/>
      <c r="BA222" s="8"/>
      <c r="BB222" s="10"/>
    </row>
    <row r="223" ht="15.75" customHeight="1">
      <c r="A223" s="35"/>
      <c r="B223" s="36">
        <f t="shared" si="1"/>
        <v>0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10"/>
      <c r="AT223" s="8"/>
      <c r="AU223" s="8"/>
      <c r="AV223" s="10"/>
      <c r="AW223" s="8"/>
      <c r="AX223" s="8"/>
      <c r="AY223" s="10"/>
      <c r="AZ223" s="8"/>
      <c r="BA223" s="8"/>
      <c r="BB223" s="10"/>
    </row>
    <row r="224" ht="15.75" customHeight="1">
      <c r="A224" s="35"/>
      <c r="B224" s="36">
        <f t="shared" si="1"/>
        <v>0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10"/>
      <c r="AT224" s="8"/>
      <c r="AU224" s="8"/>
      <c r="AV224" s="10"/>
      <c r="AW224" s="8"/>
      <c r="AX224" s="8"/>
      <c r="AY224" s="10"/>
      <c r="AZ224" s="8"/>
      <c r="BA224" s="8"/>
      <c r="BB224" s="10"/>
    </row>
    <row r="225" ht="15.75" customHeight="1">
      <c r="A225" s="35"/>
      <c r="B225" s="36">
        <f t="shared" si="1"/>
        <v>0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10"/>
      <c r="AT225" s="8"/>
      <c r="AU225" s="8"/>
      <c r="AV225" s="10"/>
      <c r="AW225" s="8"/>
      <c r="AX225" s="8"/>
      <c r="AY225" s="10"/>
      <c r="AZ225" s="8"/>
      <c r="BA225" s="8"/>
      <c r="BB225" s="10"/>
    </row>
    <row r="226" ht="15.75" customHeight="1">
      <c r="A226" s="35"/>
      <c r="B226" s="36">
        <f t="shared" si="1"/>
        <v>0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10"/>
      <c r="AT226" s="8"/>
      <c r="AU226" s="8"/>
      <c r="AV226" s="10"/>
      <c r="AW226" s="8"/>
      <c r="AX226" s="8"/>
      <c r="AY226" s="10"/>
      <c r="AZ226" s="8"/>
      <c r="BA226" s="8"/>
      <c r="BB226" s="10"/>
    </row>
    <row r="227" ht="15.75" customHeight="1">
      <c r="A227" s="35"/>
      <c r="B227" s="36">
        <f t="shared" si="1"/>
        <v>0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10"/>
      <c r="AT227" s="8"/>
      <c r="AU227" s="8"/>
      <c r="AV227" s="10"/>
      <c r="AW227" s="8"/>
      <c r="AX227" s="8"/>
      <c r="AY227" s="10"/>
      <c r="AZ227" s="8"/>
      <c r="BA227" s="8"/>
      <c r="BB227" s="10"/>
    </row>
    <row r="228" ht="15.75" customHeight="1">
      <c r="A228" s="35"/>
      <c r="B228" s="36">
        <f t="shared" si="1"/>
        <v>0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10"/>
      <c r="AT228" s="8"/>
      <c r="AU228" s="8"/>
      <c r="AV228" s="10"/>
      <c r="AW228" s="8"/>
      <c r="AX228" s="8"/>
      <c r="AY228" s="10"/>
      <c r="AZ228" s="8"/>
      <c r="BA228" s="8"/>
      <c r="BB228" s="10"/>
    </row>
    <row r="229" ht="15.75" customHeight="1">
      <c r="A229" s="35"/>
      <c r="B229" s="36">
        <f t="shared" si="1"/>
        <v>0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10"/>
      <c r="AT229" s="8"/>
      <c r="AU229" s="8"/>
      <c r="AV229" s="10"/>
      <c r="AW229" s="8"/>
      <c r="AX229" s="8"/>
      <c r="AY229" s="10"/>
      <c r="AZ229" s="8"/>
      <c r="BA229" s="8"/>
      <c r="BB229" s="10"/>
    </row>
    <row r="230" ht="15.75" customHeight="1">
      <c r="A230" s="35"/>
      <c r="B230" s="36">
        <f t="shared" si="1"/>
        <v>0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10"/>
      <c r="AT230" s="8"/>
      <c r="AU230" s="8"/>
      <c r="AV230" s="10"/>
      <c r="AW230" s="8"/>
      <c r="AX230" s="8"/>
      <c r="AY230" s="10"/>
      <c r="AZ230" s="8"/>
      <c r="BA230" s="8"/>
      <c r="BB230" s="10"/>
    </row>
    <row r="231" ht="15.75" customHeight="1">
      <c r="A231" s="35"/>
      <c r="B231" s="36">
        <f t="shared" si="1"/>
        <v>0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10"/>
      <c r="AT231" s="8"/>
      <c r="AU231" s="8"/>
      <c r="AV231" s="10"/>
      <c r="AW231" s="8"/>
      <c r="AX231" s="8"/>
      <c r="AY231" s="10"/>
      <c r="AZ231" s="8"/>
      <c r="BA231" s="8"/>
      <c r="BB231" s="10"/>
    </row>
    <row r="232" ht="15.75" customHeight="1">
      <c r="A232" s="35"/>
      <c r="B232" s="36">
        <f t="shared" si="1"/>
        <v>0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10"/>
      <c r="AT232" s="8"/>
      <c r="AU232" s="8"/>
      <c r="AV232" s="10"/>
      <c r="AW232" s="8"/>
      <c r="AX232" s="8"/>
      <c r="AY232" s="10"/>
      <c r="AZ232" s="8"/>
      <c r="BA232" s="8"/>
      <c r="BB232" s="10"/>
    </row>
    <row r="233" ht="15.75" customHeight="1">
      <c r="A233" s="35"/>
      <c r="B233" s="36">
        <f t="shared" si="1"/>
        <v>0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10"/>
      <c r="AT233" s="8"/>
      <c r="AU233" s="8"/>
      <c r="AV233" s="10"/>
      <c r="AW233" s="8"/>
      <c r="AX233" s="8"/>
      <c r="AY233" s="10"/>
      <c r="AZ233" s="8"/>
      <c r="BA233" s="8"/>
      <c r="BB233" s="10"/>
    </row>
    <row r="234" ht="15.75" customHeight="1">
      <c r="A234" s="35"/>
      <c r="B234" s="36">
        <f t="shared" si="1"/>
        <v>0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10"/>
      <c r="AT234" s="8"/>
      <c r="AU234" s="8"/>
      <c r="AV234" s="10"/>
      <c r="AW234" s="8"/>
      <c r="AX234" s="8"/>
      <c r="AY234" s="10"/>
      <c r="AZ234" s="8"/>
      <c r="BA234" s="8"/>
      <c r="BB234" s="10"/>
    </row>
    <row r="235" ht="15.75" customHeight="1">
      <c r="A235" s="35"/>
      <c r="B235" s="36">
        <f t="shared" si="1"/>
        <v>0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10"/>
      <c r="AT235" s="8"/>
      <c r="AU235" s="8"/>
      <c r="AV235" s="10"/>
      <c r="AW235" s="8"/>
      <c r="AX235" s="8"/>
      <c r="AY235" s="10"/>
      <c r="AZ235" s="8"/>
      <c r="BA235" s="8"/>
      <c r="BB235" s="10"/>
    </row>
    <row r="236" ht="15.75" customHeight="1">
      <c r="A236" s="35"/>
      <c r="B236" s="36">
        <f t="shared" si="1"/>
        <v>0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10"/>
      <c r="AT236" s="8"/>
      <c r="AU236" s="8"/>
      <c r="AV236" s="10"/>
      <c r="AW236" s="8"/>
      <c r="AX236" s="8"/>
      <c r="AY236" s="10"/>
      <c r="AZ236" s="8"/>
      <c r="BA236" s="8"/>
      <c r="BB236" s="10"/>
    </row>
    <row r="237" ht="15.75" customHeight="1">
      <c r="A237" s="35"/>
      <c r="B237" s="36">
        <f t="shared" si="1"/>
        <v>0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10"/>
      <c r="AT237" s="8"/>
      <c r="AU237" s="8"/>
      <c r="AV237" s="10"/>
      <c r="AW237" s="8"/>
      <c r="AX237" s="8"/>
      <c r="AY237" s="10"/>
      <c r="AZ237" s="8"/>
      <c r="BA237" s="8"/>
      <c r="BB237" s="10"/>
    </row>
    <row r="238" ht="15.75" customHeight="1">
      <c r="A238" s="35"/>
      <c r="B238" s="36">
        <f t="shared" si="1"/>
        <v>0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10"/>
      <c r="AT238" s="8"/>
      <c r="AU238" s="8"/>
      <c r="AV238" s="10"/>
      <c r="AW238" s="8"/>
      <c r="AX238" s="8"/>
      <c r="AY238" s="10"/>
      <c r="AZ238" s="8"/>
      <c r="BA238" s="8"/>
      <c r="BB238" s="10"/>
    </row>
    <row r="239" ht="15.75" customHeight="1">
      <c r="A239" s="35"/>
      <c r="B239" s="36">
        <f t="shared" si="1"/>
        <v>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10"/>
      <c r="AT239" s="8"/>
      <c r="AU239" s="8"/>
      <c r="AV239" s="10"/>
      <c r="AW239" s="8"/>
      <c r="AX239" s="8"/>
      <c r="AY239" s="10"/>
      <c r="AZ239" s="8"/>
      <c r="BA239" s="8"/>
      <c r="BB239" s="10"/>
    </row>
    <row r="240" ht="15.75" customHeight="1">
      <c r="A240" s="35"/>
      <c r="B240" s="36">
        <f t="shared" si="1"/>
        <v>0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10"/>
      <c r="AT240" s="8"/>
      <c r="AU240" s="8"/>
      <c r="AV240" s="10"/>
      <c r="AW240" s="8"/>
      <c r="AX240" s="8"/>
      <c r="AY240" s="10"/>
      <c r="AZ240" s="8"/>
      <c r="BA240" s="8"/>
      <c r="BB240" s="10"/>
    </row>
    <row r="241" ht="15.75" customHeight="1">
      <c r="A241" s="35"/>
      <c r="B241" s="36">
        <f t="shared" si="1"/>
        <v>0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10"/>
      <c r="AT241" s="8"/>
      <c r="AU241" s="8"/>
      <c r="AV241" s="10"/>
      <c r="AW241" s="8"/>
      <c r="AX241" s="8"/>
      <c r="AY241" s="10"/>
      <c r="AZ241" s="8"/>
      <c r="BA241" s="8"/>
      <c r="BB241" s="10"/>
    </row>
    <row r="242" ht="15.75" customHeight="1">
      <c r="A242" s="35"/>
      <c r="B242" s="36">
        <f t="shared" si="1"/>
        <v>0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10"/>
      <c r="AT242" s="8"/>
      <c r="AU242" s="8"/>
      <c r="AV242" s="10"/>
      <c r="AW242" s="8"/>
      <c r="AX242" s="8"/>
      <c r="AY242" s="10"/>
      <c r="AZ242" s="8"/>
      <c r="BA242" s="8"/>
      <c r="BB242" s="10"/>
    </row>
    <row r="243" ht="15.75" customHeight="1">
      <c r="A243" s="35"/>
      <c r="B243" s="36">
        <f t="shared" si="1"/>
        <v>0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10"/>
      <c r="AT243" s="8"/>
      <c r="AU243" s="8"/>
      <c r="AV243" s="10"/>
      <c r="AW243" s="8"/>
      <c r="AX243" s="8"/>
      <c r="AY243" s="10"/>
      <c r="AZ243" s="8"/>
      <c r="BA243" s="8"/>
      <c r="BB243" s="10"/>
    </row>
    <row r="244" ht="15.75" customHeight="1">
      <c r="A244" s="41"/>
      <c r="B244" s="36">
        <f t="shared" si="1"/>
        <v>0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8"/>
      <c r="AS244" s="10"/>
      <c r="AT244" s="8"/>
      <c r="AU244" s="8"/>
      <c r="AV244" s="10"/>
      <c r="AW244" s="8"/>
      <c r="AX244" s="8"/>
      <c r="AY244" s="10"/>
      <c r="AZ244" s="8"/>
      <c r="BA244" s="8"/>
      <c r="BB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8.63"/>
    <col customWidth="1" min="3" max="4" width="14.75"/>
    <col customWidth="1" min="5" max="7" width="9.38"/>
    <col customWidth="1" min="8" max="27" width="8.63"/>
    <col customWidth="1" min="28" max="30" width="10.25"/>
    <col customWidth="1" min="31" max="31" width="10.38"/>
    <col customWidth="1" min="32" max="34" width="10.25"/>
    <col customWidth="1" min="35" max="36" width="10.38"/>
    <col customWidth="1" min="37" max="39" width="10.25"/>
    <col customWidth="1" min="40" max="41" width="10.38"/>
    <col customWidth="1" min="42" max="43" width="8.63"/>
    <col customWidth="1" min="44" max="46" width="10.25"/>
  </cols>
  <sheetData>
    <row r="1">
      <c r="A1" s="1" t="s">
        <v>0</v>
      </c>
      <c r="B1" s="2" t="s">
        <v>1</v>
      </c>
      <c r="C1" s="5">
        <v>46025.0</v>
      </c>
      <c r="D1" s="5">
        <v>46032.0</v>
      </c>
      <c r="E1" s="5">
        <v>46039.0</v>
      </c>
      <c r="F1" s="5">
        <v>46046.0</v>
      </c>
      <c r="G1" s="5">
        <v>46053.0</v>
      </c>
      <c r="H1" s="5">
        <v>46060.0</v>
      </c>
      <c r="I1" s="5">
        <v>46067.0</v>
      </c>
      <c r="J1" s="5">
        <v>46074.0</v>
      </c>
      <c r="K1" s="5">
        <v>46081.0</v>
      </c>
      <c r="L1" s="5">
        <v>46088.0</v>
      </c>
      <c r="M1" s="5">
        <v>46095.0</v>
      </c>
      <c r="N1" s="5">
        <v>46102.0</v>
      </c>
      <c r="O1" s="5">
        <v>46109.0</v>
      </c>
      <c r="P1" s="5">
        <v>46116.0</v>
      </c>
      <c r="Q1" s="5">
        <v>46123.0</v>
      </c>
      <c r="R1" s="5">
        <v>46130.0</v>
      </c>
      <c r="S1" s="5">
        <v>46137.0</v>
      </c>
      <c r="T1" s="5">
        <v>46144.0</v>
      </c>
      <c r="U1" s="5">
        <v>46151.0</v>
      </c>
      <c r="V1" s="5">
        <v>46158.0</v>
      </c>
      <c r="W1" s="5">
        <v>46165.0</v>
      </c>
      <c r="X1" s="5">
        <v>46172.0</v>
      </c>
      <c r="Y1" s="5">
        <v>46179.0</v>
      </c>
      <c r="Z1" s="5">
        <v>46186.0</v>
      </c>
      <c r="AA1" s="5">
        <v>46193.0</v>
      </c>
      <c r="AB1" s="5">
        <v>46200.0</v>
      </c>
      <c r="AC1" s="5">
        <v>46207.0</v>
      </c>
      <c r="AD1" s="5">
        <v>46214.0</v>
      </c>
      <c r="AE1" s="5">
        <v>46221.0</v>
      </c>
      <c r="AF1" s="5">
        <v>46228.0</v>
      </c>
      <c r="AG1" s="5">
        <v>46235.0</v>
      </c>
      <c r="AH1" s="5">
        <v>46242.0</v>
      </c>
      <c r="AI1" s="5">
        <v>46249.0</v>
      </c>
      <c r="AJ1" s="5">
        <v>46256.0</v>
      </c>
      <c r="AK1" s="5">
        <v>46263.0</v>
      </c>
      <c r="AL1" s="5">
        <v>46270.0</v>
      </c>
      <c r="AM1" s="5">
        <v>46277.0</v>
      </c>
      <c r="AN1" s="5">
        <v>46284.0</v>
      </c>
      <c r="AO1" s="5">
        <v>46291.0</v>
      </c>
      <c r="AP1" s="5">
        <v>46298.0</v>
      </c>
      <c r="AQ1" s="5">
        <v>46305.0</v>
      </c>
      <c r="AR1" s="5">
        <v>46312.0</v>
      </c>
      <c r="AS1" s="5">
        <v>46319.0</v>
      </c>
      <c r="AT1" s="5">
        <v>46326.0</v>
      </c>
    </row>
    <row r="2">
      <c r="A2" s="1">
        <v>16.0</v>
      </c>
      <c r="B2" s="7">
        <f>SUM(B3:B315)</f>
        <v>556</v>
      </c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10"/>
    </row>
    <row r="3">
      <c r="A3" s="11" t="s">
        <v>3</v>
      </c>
      <c r="B3" s="8">
        <f t="shared" ref="B3:B347" si="1">SUM(C3:CB3)</f>
        <v>0</v>
      </c>
      <c r="C3" s="20" t="s">
        <v>62</v>
      </c>
      <c r="D3" s="20" t="s">
        <v>62</v>
      </c>
      <c r="E3" s="21" t="s">
        <v>62</v>
      </c>
      <c r="F3" s="21" t="s">
        <v>62</v>
      </c>
      <c r="G3" s="8"/>
      <c r="H3" s="20" t="s">
        <v>62</v>
      </c>
      <c r="I3" s="8"/>
      <c r="J3" s="20" t="s">
        <v>311</v>
      </c>
      <c r="K3" s="21" t="s">
        <v>62</v>
      </c>
      <c r="L3" s="8"/>
      <c r="M3" s="8"/>
      <c r="N3" s="20" t="s">
        <v>62</v>
      </c>
      <c r="O3" s="20" t="s">
        <v>62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0"/>
      <c r="AF3" s="20"/>
      <c r="AG3" s="20"/>
      <c r="AH3" s="20"/>
      <c r="AI3" s="21"/>
      <c r="AJ3" s="20"/>
      <c r="AK3" s="20"/>
      <c r="AL3" s="20"/>
      <c r="AM3" s="20"/>
      <c r="AN3" s="20"/>
      <c r="AO3" s="20"/>
      <c r="AP3" s="8"/>
      <c r="AQ3" s="8"/>
      <c r="AR3" s="8"/>
      <c r="AS3" s="8"/>
      <c r="AT3" s="10"/>
    </row>
    <row r="4">
      <c r="A4" s="11" t="s">
        <v>6</v>
      </c>
      <c r="B4" s="8">
        <f t="shared" si="1"/>
        <v>13.5</v>
      </c>
      <c r="C4" s="20">
        <v>1.5</v>
      </c>
      <c r="D4" s="20">
        <v>2.0</v>
      </c>
      <c r="E4" s="21">
        <v>2.5</v>
      </c>
      <c r="F4" s="21">
        <v>1.75</v>
      </c>
      <c r="G4" s="8"/>
      <c r="H4" s="20">
        <v>2.0</v>
      </c>
      <c r="I4" s="8"/>
      <c r="J4" s="20">
        <v>1.75</v>
      </c>
      <c r="K4" s="21">
        <v>2.0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8"/>
      <c r="AP4" s="8"/>
      <c r="AQ4" s="8"/>
      <c r="AR4" s="8"/>
      <c r="AS4" s="8"/>
      <c r="AT4" s="10"/>
    </row>
    <row r="5">
      <c r="A5" s="11" t="s">
        <v>7</v>
      </c>
      <c r="B5" s="8">
        <f t="shared" si="1"/>
        <v>15.25</v>
      </c>
      <c r="C5" s="20">
        <v>1.5</v>
      </c>
      <c r="D5" s="20">
        <v>2.0</v>
      </c>
      <c r="E5" s="21">
        <v>2.5</v>
      </c>
      <c r="F5" s="21">
        <v>1.75</v>
      </c>
      <c r="G5" s="20">
        <v>2.0</v>
      </c>
      <c r="H5" s="20">
        <v>2.0</v>
      </c>
      <c r="I5" s="20">
        <v>1.75</v>
      </c>
      <c r="J5" s="20">
        <v>1.75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20"/>
      <c r="AE5" s="20"/>
      <c r="AF5" s="20"/>
      <c r="AG5" s="20"/>
      <c r="AH5" s="8"/>
      <c r="AI5" s="21"/>
      <c r="AJ5" s="20"/>
      <c r="AK5" s="20"/>
      <c r="AL5" s="20"/>
      <c r="AM5" s="8"/>
      <c r="AN5" s="20"/>
      <c r="AO5" s="20"/>
      <c r="AP5" s="8"/>
      <c r="AQ5" s="8"/>
      <c r="AR5" s="8"/>
      <c r="AS5" s="8"/>
      <c r="AT5" s="10"/>
    </row>
    <row r="6">
      <c r="A6" s="11" t="s">
        <v>51</v>
      </c>
      <c r="B6" s="8">
        <f t="shared" si="1"/>
        <v>1</v>
      </c>
      <c r="C6" s="8"/>
      <c r="D6" s="8"/>
      <c r="E6" s="8"/>
      <c r="F6" s="8"/>
      <c r="G6" s="8"/>
      <c r="H6" s="8"/>
      <c r="I6" s="8"/>
      <c r="J6" s="8"/>
      <c r="K6" s="21">
        <v>1.0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20"/>
      <c r="AM6" s="8"/>
      <c r="AN6" s="8"/>
      <c r="AO6" s="8"/>
      <c r="AP6" s="8"/>
      <c r="AQ6" s="8"/>
      <c r="AR6" s="8"/>
      <c r="AS6" s="8"/>
      <c r="AT6" s="10"/>
    </row>
    <row r="7">
      <c r="A7" s="11" t="s">
        <v>13</v>
      </c>
      <c r="B7" s="8">
        <f t="shared" si="1"/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10"/>
    </row>
    <row r="8">
      <c r="A8" s="11" t="s">
        <v>55</v>
      </c>
      <c r="B8" s="8">
        <f t="shared" si="1"/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10"/>
    </row>
    <row r="9">
      <c r="A9" s="11" t="s">
        <v>17</v>
      </c>
      <c r="B9" s="8">
        <f t="shared" si="1"/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10"/>
    </row>
    <row r="10">
      <c r="A10" s="11" t="s">
        <v>64</v>
      </c>
      <c r="B10" s="8">
        <f t="shared" si="1"/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0"/>
    </row>
    <row r="11">
      <c r="A11" s="11" t="s">
        <v>65</v>
      </c>
      <c r="B11" s="8">
        <f t="shared" si="1"/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10"/>
    </row>
    <row r="12">
      <c r="A12" s="11" t="s">
        <v>66</v>
      </c>
      <c r="B12" s="8">
        <f t="shared" si="1"/>
        <v>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0"/>
    </row>
    <row r="13">
      <c r="A13" s="11" t="s">
        <v>23</v>
      </c>
      <c r="B13" s="8">
        <f t="shared" si="1"/>
        <v>8.25</v>
      </c>
      <c r="C13" s="8"/>
      <c r="D13" s="8"/>
      <c r="E13" s="8"/>
      <c r="F13" s="8"/>
      <c r="G13" s="20">
        <v>3.0</v>
      </c>
      <c r="H13" s="8"/>
      <c r="I13" s="8"/>
      <c r="J13" s="8"/>
      <c r="K13" s="8"/>
      <c r="L13" s="20">
        <v>1.5</v>
      </c>
      <c r="M13" s="20">
        <v>1.75</v>
      </c>
      <c r="N13" s="20">
        <v>2.0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0"/>
    </row>
    <row r="14">
      <c r="A14" s="11" t="s">
        <v>24</v>
      </c>
      <c r="B14" s="8">
        <f t="shared" si="1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0"/>
    </row>
    <row r="15">
      <c r="A15" s="11" t="s">
        <v>33</v>
      </c>
      <c r="B15" s="8">
        <f t="shared" si="1"/>
        <v>1.5</v>
      </c>
      <c r="C15" s="20">
        <v>1.5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21"/>
      <c r="AJ15" s="20"/>
      <c r="AK15" s="8"/>
      <c r="AL15" s="8"/>
      <c r="AM15" s="8"/>
      <c r="AN15" s="8"/>
      <c r="AO15" s="8"/>
      <c r="AP15" s="8"/>
      <c r="AQ15" s="8"/>
      <c r="AR15" s="8"/>
      <c r="AS15" s="8"/>
      <c r="AT15" s="10"/>
    </row>
    <row r="16">
      <c r="A16" s="11" t="s">
        <v>61</v>
      </c>
      <c r="B16" s="8">
        <f t="shared" si="1"/>
        <v>1.5</v>
      </c>
      <c r="C16" s="20">
        <v>1.5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21"/>
      <c r="AJ16" s="20"/>
      <c r="AK16" s="8"/>
      <c r="AL16" s="8"/>
      <c r="AM16" s="8"/>
      <c r="AN16" s="8"/>
      <c r="AO16" s="8"/>
      <c r="AP16" s="8"/>
      <c r="AQ16" s="8"/>
      <c r="AR16" s="8"/>
      <c r="AS16" s="8"/>
      <c r="AT16" s="10"/>
    </row>
    <row r="17">
      <c r="A17" s="11" t="s">
        <v>67</v>
      </c>
      <c r="B17" s="8">
        <f t="shared" si="1"/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10"/>
    </row>
    <row r="18">
      <c r="A18" s="11" t="s">
        <v>68</v>
      </c>
      <c r="B18" s="8">
        <f t="shared" si="1"/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10"/>
    </row>
    <row r="19">
      <c r="A19" s="11" t="s">
        <v>69</v>
      </c>
      <c r="B19" s="8">
        <f t="shared" si="1"/>
        <v>7.25</v>
      </c>
      <c r="C19" s="8"/>
      <c r="D19" s="8"/>
      <c r="E19" s="8"/>
      <c r="F19" s="8"/>
      <c r="G19" s="8"/>
      <c r="H19" s="20">
        <v>2.0</v>
      </c>
      <c r="I19" s="8"/>
      <c r="J19" s="20">
        <v>1.75</v>
      </c>
      <c r="K19" s="8"/>
      <c r="L19" s="20">
        <v>2.0</v>
      </c>
      <c r="M19" s="8"/>
      <c r="N19" s="20">
        <v>1.5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20"/>
      <c r="AF19" s="20"/>
      <c r="AG19" s="20"/>
      <c r="AH19" s="20"/>
      <c r="AI19" s="20"/>
      <c r="AJ19" s="20"/>
      <c r="AK19" s="8"/>
      <c r="AL19" s="20"/>
      <c r="AM19" s="8"/>
      <c r="AN19" s="8"/>
      <c r="AO19" s="8"/>
      <c r="AP19" s="8"/>
      <c r="AQ19" s="8"/>
      <c r="AR19" s="8"/>
      <c r="AS19" s="8"/>
      <c r="AT19" s="10"/>
    </row>
    <row r="20">
      <c r="A20" s="11" t="s">
        <v>70</v>
      </c>
      <c r="B20" s="8">
        <f t="shared" si="1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0"/>
    </row>
    <row r="21" ht="15.75" customHeight="1">
      <c r="A21" s="11" t="s">
        <v>52</v>
      </c>
      <c r="B21" s="8">
        <f t="shared" si="1"/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10"/>
    </row>
    <row r="22" ht="15.75" customHeight="1">
      <c r="A22" s="11" t="s">
        <v>16</v>
      </c>
      <c r="B22" s="8">
        <f t="shared" si="1"/>
        <v>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0">
        <v>2.0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0"/>
    </row>
    <row r="23" ht="15.75" customHeight="1">
      <c r="A23" s="11" t="s">
        <v>46</v>
      </c>
      <c r="B23" s="8">
        <f t="shared" si="1"/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0"/>
    </row>
    <row r="24" ht="15.75" customHeight="1">
      <c r="A24" s="11" t="s">
        <v>71</v>
      </c>
      <c r="B24" s="8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10"/>
    </row>
    <row r="25" ht="15.75" customHeight="1">
      <c r="A25" s="11" t="s">
        <v>72</v>
      </c>
      <c r="B25" s="8">
        <f t="shared" si="1"/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0"/>
    </row>
    <row r="26" ht="15.75" customHeight="1">
      <c r="A26" s="11" t="s">
        <v>48</v>
      </c>
      <c r="B26" s="8">
        <f t="shared" si="1"/>
        <v>7.25</v>
      </c>
      <c r="C26" s="8"/>
      <c r="D26" s="8"/>
      <c r="E26" s="8"/>
      <c r="F26" s="8"/>
      <c r="G26" s="20">
        <v>2.0</v>
      </c>
      <c r="H26" s="8"/>
      <c r="I26" s="20">
        <v>1.5</v>
      </c>
      <c r="J26" s="8"/>
      <c r="K26" s="8"/>
      <c r="L26" s="20">
        <v>2.0</v>
      </c>
      <c r="M26" s="20">
        <v>1.75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0"/>
    </row>
    <row r="27" ht="15.75" customHeight="1">
      <c r="A27" s="11" t="s">
        <v>41</v>
      </c>
      <c r="B27" s="8">
        <f t="shared" si="1"/>
        <v>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20">
        <v>2.0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10"/>
    </row>
    <row r="28" ht="15.75" customHeight="1">
      <c r="A28" s="11" t="s">
        <v>40</v>
      </c>
      <c r="B28" s="8">
        <f t="shared" si="1"/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20"/>
      <c r="AO28" s="8"/>
      <c r="AP28" s="8"/>
      <c r="AQ28" s="8"/>
      <c r="AR28" s="8"/>
      <c r="AS28" s="8"/>
      <c r="AT28" s="10"/>
    </row>
    <row r="29" ht="15.75" customHeight="1">
      <c r="A29" s="11" t="s">
        <v>10</v>
      </c>
      <c r="B29" s="8">
        <f t="shared" si="1"/>
        <v>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20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0"/>
    </row>
    <row r="30" ht="15.75" customHeight="1">
      <c r="A30" s="11" t="s">
        <v>9</v>
      </c>
      <c r="B30" s="8">
        <f t="shared" si="1"/>
        <v>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10"/>
    </row>
    <row r="31" ht="15.75" customHeight="1">
      <c r="A31" s="11" t="s">
        <v>73</v>
      </c>
      <c r="B31" s="8">
        <f t="shared" si="1"/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0"/>
    </row>
    <row r="32" ht="15.75" customHeight="1">
      <c r="A32" s="11" t="s">
        <v>31</v>
      </c>
      <c r="B32" s="8">
        <f t="shared" si="1"/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0"/>
    </row>
    <row r="33" ht="15.75" customHeight="1">
      <c r="A33" s="11" t="s">
        <v>74</v>
      </c>
      <c r="B33" s="8">
        <f t="shared" si="1"/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10"/>
    </row>
    <row r="34" ht="15.75" customHeight="1">
      <c r="A34" s="11" t="s">
        <v>75</v>
      </c>
      <c r="B34" s="8">
        <f t="shared" si="1"/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0"/>
    </row>
    <row r="35" ht="15.75" customHeight="1">
      <c r="A35" s="11" t="s">
        <v>15</v>
      </c>
      <c r="B35" s="8">
        <f t="shared" si="1"/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0"/>
    </row>
    <row r="36" ht="15.75" customHeight="1">
      <c r="A36" s="11" t="s">
        <v>12</v>
      </c>
      <c r="B36" s="8">
        <f t="shared" si="1"/>
        <v>2</v>
      </c>
      <c r="C36" s="8"/>
      <c r="D36" s="8"/>
      <c r="E36" s="8"/>
      <c r="F36" s="8"/>
      <c r="G36" s="8"/>
      <c r="H36" s="20">
        <v>2.0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10"/>
    </row>
    <row r="37" ht="15.75" customHeight="1">
      <c r="A37" s="11" t="s">
        <v>76</v>
      </c>
      <c r="B37" s="8">
        <f t="shared" si="1"/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10"/>
    </row>
    <row r="38" ht="15.75" customHeight="1">
      <c r="A38" s="11" t="s">
        <v>77</v>
      </c>
      <c r="B38" s="8">
        <f t="shared" si="1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20"/>
      <c r="AL38" s="8"/>
      <c r="AM38" s="8"/>
      <c r="AN38" s="8"/>
      <c r="AO38" s="8"/>
      <c r="AP38" s="8"/>
      <c r="AQ38" s="8"/>
      <c r="AR38" s="8"/>
      <c r="AS38" s="8"/>
      <c r="AT38" s="10"/>
    </row>
    <row r="39" ht="15.75" customHeight="1">
      <c r="A39" s="11" t="s">
        <v>78</v>
      </c>
      <c r="B39" s="8">
        <f t="shared" si="1"/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10"/>
    </row>
    <row r="40" ht="15.75" customHeight="1">
      <c r="A40" s="11" t="s">
        <v>79</v>
      </c>
      <c r="B40" s="8">
        <f t="shared" si="1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20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10"/>
    </row>
    <row r="41" ht="15.75" customHeight="1">
      <c r="A41" s="11" t="s">
        <v>80</v>
      </c>
      <c r="B41" s="8">
        <f t="shared" si="1"/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10"/>
    </row>
    <row r="42" ht="15.75" customHeight="1">
      <c r="A42" s="11" t="s">
        <v>81</v>
      </c>
      <c r="B42" s="8">
        <f t="shared" si="1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10"/>
    </row>
    <row r="43" ht="15.75" customHeight="1">
      <c r="A43" s="11" t="s">
        <v>82</v>
      </c>
      <c r="B43" s="8">
        <f t="shared" si="1"/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10"/>
    </row>
    <row r="44" ht="15.75" customHeight="1">
      <c r="A44" s="11" t="s">
        <v>83</v>
      </c>
      <c r="B44" s="8">
        <f t="shared" si="1"/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10"/>
    </row>
    <row r="45" ht="15.75" customHeight="1">
      <c r="A45" s="11" t="s">
        <v>84</v>
      </c>
      <c r="B45" s="8">
        <f t="shared" si="1"/>
        <v>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20">
        <v>2.0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10"/>
    </row>
    <row r="46" ht="15.75" customHeight="1">
      <c r="A46" s="12" t="s">
        <v>362</v>
      </c>
      <c r="B46" s="8">
        <f t="shared" si="1"/>
        <v>2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20">
        <v>2.0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10"/>
    </row>
    <row r="47" ht="15.75" customHeight="1">
      <c r="A47" s="11" t="s">
        <v>86</v>
      </c>
      <c r="B47" s="8">
        <f t="shared" si="1"/>
        <v>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10"/>
    </row>
    <row r="48" ht="15.75" customHeight="1">
      <c r="A48" s="11" t="s">
        <v>87</v>
      </c>
      <c r="B48" s="8">
        <f t="shared" si="1"/>
        <v>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10"/>
    </row>
    <row r="49" ht="15.75" customHeight="1">
      <c r="A49" s="11" t="s">
        <v>88</v>
      </c>
      <c r="B49" s="8">
        <f t="shared" si="1"/>
        <v>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10"/>
    </row>
    <row r="50" ht="15.75" customHeight="1">
      <c r="A50" s="11" t="s">
        <v>89</v>
      </c>
      <c r="B50" s="8">
        <f t="shared" si="1"/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10"/>
    </row>
    <row r="51" ht="15.75" customHeight="1">
      <c r="A51" s="11" t="s">
        <v>90</v>
      </c>
      <c r="B51" s="8">
        <f t="shared" si="1"/>
        <v>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20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10"/>
    </row>
    <row r="52" ht="15.75" customHeight="1">
      <c r="A52" s="11" t="s">
        <v>91</v>
      </c>
      <c r="B52" s="8">
        <f t="shared" si="1"/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10"/>
    </row>
    <row r="53" ht="15.75" customHeight="1">
      <c r="A53" s="11" t="s">
        <v>92</v>
      </c>
      <c r="B53" s="8">
        <f t="shared" si="1"/>
        <v>9.25</v>
      </c>
      <c r="C53" s="8"/>
      <c r="D53" s="8"/>
      <c r="E53" s="21">
        <v>2.0</v>
      </c>
      <c r="F53" s="21">
        <v>1.5</v>
      </c>
      <c r="G53" s="20">
        <v>2.0</v>
      </c>
      <c r="H53" s="8"/>
      <c r="I53" s="8"/>
      <c r="J53" s="20">
        <v>1.75</v>
      </c>
      <c r="K53" s="8"/>
      <c r="L53" s="20">
        <v>2.0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20"/>
      <c r="AE53" s="20"/>
      <c r="AF53" s="8"/>
      <c r="AG53" s="20"/>
      <c r="AH53" s="8"/>
      <c r="AI53" s="8"/>
      <c r="AJ53" s="20"/>
      <c r="AK53" s="8"/>
      <c r="AL53" s="8"/>
      <c r="AM53" s="8"/>
      <c r="AN53" s="20"/>
      <c r="AO53" s="20"/>
      <c r="AP53" s="8"/>
      <c r="AQ53" s="8"/>
      <c r="AR53" s="8"/>
      <c r="AS53" s="8"/>
      <c r="AT53" s="10"/>
    </row>
    <row r="54" ht="15.75" customHeight="1">
      <c r="A54" s="11" t="s">
        <v>93</v>
      </c>
      <c r="B54" s="8">
        <f t="shared" si="1"/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10"/>
    </row>
    <row r="55" ht="15.75" customHeight="1">
      <c r="A55" s="11" t="s">
        <v>94</v>
      </c>
      <c r="B55" s="8">
        <f t="shared" si="1"/>
        <v>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10"/>
    </row>
    <row r="56" ht="15.75" customHeight="1">
      <c r="A56" s="11" t="s">
        <v>95</v>
      </c>
      <c r="B56" s="8">
        <f t="shared" si="1"/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10"/>
    </row>
    <row r="57" ht="15.75" customHeight="1">
      <c r="A57" s="11" t="s">
        <v>96</v>
      </c>
      <c r="B57" s="8">
        <f t="shared" si="1"/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10"/>
    </row>
    <row r="58" ht="15.75" customHeight="1">
      <c r="A58" s="11" t="s">
        <v>97</v>
      </c>
      <c r="B58" s="8">
        <f t="shared" si="1"/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10"/>
    </row>
    <row r="59" ht="15.75" customHeight="1">
      <c r="A59" s="11" t="s">
        <v>98</v>
      </c>
      <c r="B59" s="8">
        <f t="shared" si="1"/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10"/>
    </row>
    <row r="60" ht="15.75" customHeight="1">
      <c r="A60" s="11" t="s">
        <v>99</v>
      </c>
      <c r="B60" s="8">
        <f t="shared" si="1"/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10"/>
    </row>
    <row r="61" ht="15.75" customHeight="1">
      <c r="A61" s="11" t="s">
        <v>100</v>
      </c>
      <c r="B61" s="8">
        <f t="shared" si="1"/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21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10"/>
    </row>
    <row r="62" ht="15.75" customHeight="1">
      <c r="A62" s="11" t="s">
        <v>101</v>
      </c>
      <c r="B62" s="8">
        <f t="shared" si="1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10"/>
    </row>
    <row r="63" ht="15.75" customHeight="1">
      <c r="A63" s="11" t="s">
        <v>102</v>
      </c>
      <c r="B63" s="8">
        <f t="shared" si="1"/>
        <v>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10"/>
    </row>
    <row r="64" ht="15.75" customHeight="1">
      <c r="A64" s="11" t="s">
        <v>103</v>
      </c>
      <c r="B64" s="8">
        <f t="shared" si="1"/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10"/>
    </row>
    <row r="65" ht="15.75" customHeight="1">
      <c r="A65" s="11" t="s">
        <v>104</v>
      </c>
      <c r="B65" s="8">
        <f t="shared" si="1"/>
        <v>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10"/>
    </row>
    <row r="66" ht="15.75" customHeight="1">
      <c r="A66" s="11" t="s">
        <v>105</v>
      </c>
      <c r="B66" s="8">
        <f t="shared" si="1"/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10"/>
    </row>
    <row r="67" ht="15.75" customHeight="1">
      <c r="A67" s="11" t="s">
        <v>106</v>
      </c>
      <c r="B67" s="8">
        <f t="shared" si="1"/>
        <v>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10"/>
    </row>
    <row r="68" ht="15.75" customHeight="1">
      <c r="A68" s="11" t="s">
        <v>107</v>
      </c>
      <c r="B68" s="8">
        <f t="shared" si="1"/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10"/>
    </row>
    <row r="69" ht="15.75" customHeight="1">
      <c r="A69" s="11" t="s">
        <v>108</v>
      </c>
      <c r="B69" s="8">
        <f t="shared" si="1"/>
        <v>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10"/>
    </row>
    <row r="70" ht="15.75" customHeight="1">
      <c r="A70" s="11" t="s">
        <v>109</v>
      </c>
      <c r="B70" s="8">
        <f t="shared" si="1"/>
        <v>3.75</v>
      </c>
      <c r="C70" s="8"/>
      <c r="D70" s="8"/>
      <c r="E70" s="21">
        <v>2.0</v>
      </c>
      <c r="F70" s="8"/>
      <c r="G70" s="8"/>
      <c r="H70" s="8"/>
      <c r="I70" s="20">
        <v>1.75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20"/>
      <c r="AG70" s="8"/>
      <c r="AH70" s="8"/>
      <c r="AI70" s="21"/>
      <c r="AJ70" s="8"/>
      <c r="AK70" s="20"/>
      <c r="AL70" s="8"/>
      <c r="AM70" s="8"/>
      <c r="AN70" s="8"/>
      <c r="AO70" s="20"/>
      <c r="AP70" s="8"/>
      <c r="AQ70" s="8"/>
      <c r="AR70" s="8"/>
      <c r="AS70" s="8"/>
      <c r="AT70" s="10"/>
    </row>
    <row r="71" ht="15.75" customHeight="1">
      <c r="A71" s="11" t="s">
        <v>110</v>
      </c>
      <c r="B71" s="8">
        <f t="shared" si="1"/>
        <v>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10"/>
    </row>
    <row r="72" ht="15.75" customHeight="1">
      <c r="A72" s="11" t="s">
        <v>111</v>
      </c>
      <c r="B72" s="8">
        <f t="shared" si="1"/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10"/>
    </row>
    <row r="73" ht="15.75" customHeight="1">
      <c r="A73" s="11" t="s">
        <v>112</v>
      </c>
      <c r="B73" s="8">
        <f t="shared" si="1"/>
        <v>0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10"/>
    </row>
    <row r="74" ht="15.75" customHeight="1">
      <c r="A74" s="11" t="s">
        <v>113</v>
      </c>
      <c r="B74" s="8">
        <f t="shared" si="1"/>
        <v>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10"/>
    </row>
    <row r="75" ht="15.75" customHeight="1">
      <c r="A75" s="11" t="s">
        <v>114</v>
      </c>
      <c r="B75" s="8">
        <f t="shared" si="1"/>
        <v>0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10"/>
    </row>
    <row r="76" ht="15.75" customHeight="1">
      <c r="A76" s="11" t="s">
        <v>115</v>
      </c>
      <c r="B76" s="8">
        <f t="shared" si="1"/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10"/>
    </row>
    <row r="77" ht="15.75" customHeight="1">
      <c r="A77" s="11" t="s">
        <v>116</v>
      </c>
      <c r="B77" s="8">
        <f t="shared" si="1"/>
        <v>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10"/>
    </row>
    <row r="78" ht="15.75" customHeight="1">
      <c r="A78" s="22" t="s">
        <v>117</v>
      </c>
      <c r="B78" s="8">
        <f t="shared" si="1"/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</row>
    <row r="79" ht="15.75" customHeight="1">
      <c r="A79" s="22" t="s">
        <v>118</v>
      </c>
      <c r="B79" s="8">
        <f t="shared" si="1"/>
        <v>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</row>
    <row r="80" ht="15.75" customHeight="1">
      <c r="A80" s="22" t="s">
        <v>119</v>
      </c>
      <c r="B80" s="8">
        <f t="shared" si="1"/>
        <v>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</row>
    <row r="81" ht="15.75" customHeight="1">
      <c r="A81" s="22" t="s">
        <v>120</v>
      </c>
      <c r="B81" s="8">
        <f t="shared" si="1"/>
        <v>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</row>
    <row r="82" ht="15.75" customHeight="1">
      <c r="A82" s="22" t="s">
        <v>121</v>
      </c>
      <c r="B82" s="8">
        <f t="shared" si="1"/>
        <v>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</row>
    <row r="83" ht="15.75" customHeight="1">
      <c r="A83" s="22" t="s">
        <v>122</v>
      </c>
      <c r="B83" s="8">
        <f t="shared" si="1"/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</row>
    <row r="84" ht="15.75" customHeight="1">
      <c r="A84" s="22" t="s">
        <v>123</v>
      </c>
      <c r="B84" s="8">
        <f t="shared" si="1"/>
        <v>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</row>
    <row r="85" ht="15.75" customHeight="1">
      <c r="A85" s="22" t="s">
        <v>124</v>
      </c>
      <c r="B85" s="8">
        <f t="shared" si="1"/>
        <v>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</row>
    <row r="86" ht="15.75" customHeight="1">
      <c r="A86" s="22" t="s">
        <v>125</v>
      </c>
      <c r="B86" s="8">
        <f t="shared" si="1"/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</row>
    <row r="87" ht="15.75" customHeight="1">
      <c r="A87" s="22" t="s">
        <v>126</v>
      </c>
      <c r="B87" s="8">
        <f t="shared" si="1"/>
        <v>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</row>
    <row r="88" ht="15.75" customHeight="1">
      <c r="A88" s="22" t="s">
        <v>127</v>
      </c>
      <c r="B88" s="8">
        <f t="shared" si="1"/>
        <v>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</row>
    <row r="89" ht="15.75" customHeight="1">
      <c r="A89" s="22" t="s">
        <v>128</v>
      </c>
      <c r="B89" s="8">
        <f t="shared" si="1"/>
        <v>0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</row>
    <row r="90" ht="15.75" customHeight="1">
      <c r="A90" s="22" t="s">
        <v>129</v>
      </c>
      <c r="B90" s="8">
        <f t="shared" si="1"/>
        <v>0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</row>
    <row r="91" ht="15.75" customHeight="1">
      <c r="A91" s="22" t="s">
        <v>130</v>
      </c>
      <c r="B91" s="8">
        <f t="shared" si="1"/>
        <v>0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</row>
    <row r="92" ht="15.75" customHeight="1">
      <c r="A92" s="22" t="s">
        <v>131</v>
      </c>
      <c r="B92" s="8">
        <f t="shared" si="1"/>
        <v>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</row>
    <row r="93" ht="15.75" customHeight="1">
      <c r="A93" s="22" t="s">
        <v>132</v>
      </c>
      <c r="B93" s="8">
        <f t="shared" si="1"/>
        <v>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</row>
    <row r="94" ht="15.75" customHeight="1">
      <c r="A94" s="22" t="s">
        <v>133</v>
      </c>
      <c r="B94" s="8">
        <f t="shared" si="1"/>
        <v>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</row>
    <row r="95" ht="15.75" customHeight="1">
      <c r="A95" s="22" t="s">
        <v>134</v>
      </c>
      <c r="B95" s="8">
        <f t="shared" si="1"/>
        <v>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</row>
    <row r="96" ht="15.75" customHeight="1">
      <c r="A96" s="22" t="s">
        <v>135</v>
      </c>
      <c r="B96" s="8">
        <f t="shared" si="1"/>
        <v>1.75</v>
      </c>
      <c r="C96" s="8"/>
      <c r="D96" s="8"/>
      <c r="E96" s="8"/>
      <c r="F96" s="21">
        <v>1.75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</row>
    <row r="97" ht="15.75" customHeight="1">
      <c r="A97" s="22" t="s">
        <v>136</v>
      </c>
      <c r="B97" s="8">
        <f t="shared" si="1"/>
        <v>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</row>
    <row r="98" ht="15.75" customHeight="1">
      <c r="A98" s="22" t="s">
        <v>137</v>
      </c>
      <c r="B98" s="8">
        <f t="shared" si="1"/>
        <v>1.5</v>
      </c>
      <c r="C98" s="8"/>
      <c r="D98" s="8"/>
      <c r="E98" s="8"/>
      <c r="F98" s="8"/>
      <c r="G98" s="8"/>
      <c r="H98" s="8"/>
      <c r="I98" s="8"/>
      <c r="J98" s="20">
        <v>1.5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</row>
    <row r="99" ht="15.75" customHeight="1">
      <c r="A99" s="22" t="s">
        <v>138</v>
      </c>
      <c r="B99" s="8">
        <f t="shared" si="1"/>
        <v>0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</row>
    <row r="100" ht="15.75" customHeight="1">
      <c r="A100" s="22" t="s">
        <v>139</v>
      </c>
      <c r="B100" s="8">
        <f t="shared" si="1"/>
        <v>16.75</v>
      </c>
      <c r="C100" s="20">
        <v>1.5</v>
      </c>
      <c r="D100" s="8"/>
      <c r="E100" s="21">
        <v>2.5</v>
      </c>
      <c r="F100" s="21">
        <v>1.75</v>
      </c>
      <c r="G100" s="20">
        <v>3.0</v>
      </c>
      <c r="H100" s="20">
        <v>2.0</v>
      </c>
      <c r="I100" s="8"/>
      <c r="J100" s="20">
        <v>2.0</v>
      </c>
      <c r="K100" s="8"/>
      <c r="L100" s="20">
        <v>2.0</v>
      </c>
      <c r="M100" s="20">
        <v>2.0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20"/>
      <c r="AE100" s="20"/>
      <c r="AF100" s="8"/>
      <c r="AG100" s="20"/>
      <c r="AH100" s="8"/>
      <c r="AI100" s="21"/>
      <c r="AJ100" s="20"/>
      <c r="AK100" s="8"/>
      <c r="AL100" s="20"/>
      <c r="AM100" s="20"/>
      <c r="AN100" s="20"/>
      <c r="AO100" s="8"/>
      <c r="AP100" s="8"/>
      <c r="AQ100" s="8"/>
      <c r="AR100" s="8"/>
      <c r="AS100" s="8"/>
      <c r="AT100" s="8"/>
    </row>
    <row r="101" ht="15.75" customHeight="1">
      <c r="A101" s="22" t="s">
        <v>140</v>
      </c>
      <c r="B101" s="8">
        <f t="shared" si="1"/>
        <v>0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</row>
    <row r="102" ht="15.75" customHeight="1">
      <c r="A102" s="22" t="s">
        <v>141</v>
      </c>
      <c r="B102" s="8">
        <f t="shared" si="1"/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</row>
    <row r="103" ht="15.75" customHeight="1">
      <c r="A103" s="22" t="s">
        <v>142</v>
      </c>
      <c r="B103" s="8">
        <f t="shared" si="1"/>
        <v>10.5</v>
      </c>
      <c r="C103" s="8"/>
      <c r="D103" s="20">
        <v>2.0</v>
      </c>
      <c r="E103" s="8"/>
      <c r="F103" s="21">
        <v>1.75</v>
      </c>
      <c r="G103" s="20">
        <v>3.0</v>
      </c>
      <c r="H103" s="8"/>
      <c r="I103" s="20">
        <v>1.75</v>
      </c>
      <c r="J103" s="8"/>
      <c r="K103" s="8"/>
      <c r="L103" s="8"/>
      <c r="M103" s="8"/>
      <c r="N103" s="20">
        <v>2.0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20"/>
      <c r="AG103" s="8"/>
      <c r="AH103" s="8"/>
      <c r="AI103" s="8"/>
      <c r="AJ103" s="20"/>
      <c r="AK103" s="20"/>
      <c r="AL103" s="8"/>
      <c r="AM103" s="8"/>
      <c r="AN103" s="20"/>
      <c r="AO103" s="8"/>
      <c r="AP103" s="8"/>
      <c r="AQ103" s="8"/>
      <c r="AR103" s="8"/>
      <c r="AS103" s="8"/>
      <c r="AT103" s="8"/>
    </row>
    <row r="104" ht="15.75" customHeight="1">
      <c r="A104" s="22" t="s">
        <v>143</v>
      </c>
      <c r="B104" s="8">
        <f t="shared" si="1"/>
        <v>1.5</v>
      </c>
      <c r="C104" s="8"/>
      <c r="D104" s="8"/>
      <c r="E104" s="8"/>
      <c r="F104" s="8"/>
      <c r="G104" s="8"/>
      <c r="H104" s="8"/>
      <c r="I104" s="20">
        <v>1.5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21"/>
      <c r="AJ104" s="8"/>
      <c r="AK104" s="8"/>
      <c r="AL104" s="8"/>
      <c r="AM104" s="8"/>
      <c r="AN104" s="8"/>
      <c r="AO104" s="20"/>
      <c r="AP104" s="8"/>
      <c r="AQ104" s="8"/>
      <c r="AR104" s="8"/>
      <c r="AS104" s="8"/>
      <c r="AT104" s="8"/>
    </row>
    <row r="105" ht="15.75" customHeight="1">
      <c r="A105" s="22" t="s">
        <v>144</v>
      </c>
      <c r="B105" s="8">
        <f t="shared" si="1"/>
        <v>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</row>
    <row r="106" ht="15.75" customHeight="1">
      <c r="A106" s="22" t="s">
        <v>145</v>
      </c>
      <c r="B106" s="8">
        <f t="shared" si="1"/>
        <v>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</row>
    <row r="107" ht="15.75" customHeight="1">
      <c r="A107" s="22" t="s">
        <v>146</v>
      </c>
      <c r="B107" s="8">
        <f t="shared" si="1"/>
        <v>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20"/>
      <c r="AK107" s="8"/>
      <c r="AL107" s="8"/>
      <c r="AM107" s="8"/>
      <c r="AN107" s="8"/>
      <c r="AO107" s="8"/>
      <c r="AP107" s="8"/>
      <c r="AQ107" s="8"/>
      <c r="AR107" s="8"/>
      <c r="AS107" s="8"/>
      <c r="AT107" s="8"/>
    </row>
    <row r="108" ht="15.75" customHeight="1">
      <c r="A108" s="22" t="s">
        <v>147</v>
      </c>
      <c r="B108" s="8">
        <f t="shared" si="1"/>
        <v>24.75</v>
      </c>
      <c r="C108" s="20">
        <v>2.0</v>
      </c>
      <c r="D108" s="20">
        <v>2.0</v>
      </c>
      <c r="E108" s="21">
        <v>2.0</v>
      </c>
      <c r="F108" s="21">
        <v>2.0</v>
      </c>
      <c r="G108" s="20">
        <v>2.0</v>
      </c>
      <c r="H108" s="20">
        <v>2.0</v>
      </c>
      <c r="I108" s="20">
        <v>1.5</v>
      </c>
      <c r="J108" s="20">
        <v>1.5</v>
      </c>
      <c r="K108" s="21">
        <v>2.0</v>
      </c>
      <c r="L108" s="20">
        <v>2.0</v>
      </c>
      <c r="M108" s="20">
        <v>1.75</v>
      </c>
      <c r="N108" s="20">
        <v>2.0</v>
      </c>
      <c r="O108" s="20">
        <v>2.0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20"/>
      <c r="AE108" s="8"/>
      <c r="AF108" s="8"/>
      <c r="AG108" s="8"/>
      <c r="AH108" s="8"/>
      <c r="AI108" s="8"/>
      <c r="AJ108" s="20"/>
      <c r="AK108" s="20"/>
      <c r="AL108" s="8"/>
      <c r="AM108" s="20"/>
      <c r="AN108" s="20"/>
      <c r="AO108" s="20"/>
      <c r="AP108" s="8"/>
      <c r="AQ108" s="8"/>
      <c r="AR108" s="8"/>
      <c r="AS108" s="8"/>
      <c r="AT108" s="8"/>
    </row>
    <row r="109" ht="15.75" customHeight="1">
      <c r="A109" s="22" t="s">
        <v>148</v>
      </c>
      <c r="B109" s="8">
        <f t="shared" si="1"/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</row>
    <row r="110" ht="15.75" customHeight="1">
      <c r="A110" s="22" t="s">
        <v>149</v>
      </c>
      <c r="B110" s="8">
        <f t="shared" si="1"/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</row>
    <row r="111" ht="15.75" customHeight="1">
      <c r="A111" s="22" t="s">
        <v>150</v>
      </c>
      <c r="B111" s="8">
        <f t="shared" si="1"/>
        <v>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20"/>
      <c r="AL111" s="8"/>
      <c r="AM111" s="8"/>
      <c r="AN111" s="8"/>
      <c r="AO111" s="8"/>
      <c r="AP111" s="8"/>
      <c r="AQ111" s="8"/>
      <c r="AR111" s="8"/>
      <c r="AS111" s="8"/>
      <c r="AT111" s="8"/>
    </row>
    <row r="112" ht="15.75" customHeight="1">
      <c r="A112" s="22" t="s">
        <v>151</v>
      </c>
      <c r="B112" s="8">
        <f t="shared" si="1"/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</row>
    <row r="113" ht="15.75" customHeight="1">
      <c r="A113" s="22" t="s">
        <v>152</v>
      </c>
      <c r="B113" s="8">
        <f t="shared" si="1"/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</row>
    <row r="114" ht="15.75" customHeight="1">
      <c r="A114" s="22" t="s">
        <v>153</v>
      </c>
      <c r="B114" s="8">
        <f t="shared" si="1"/>
        <v>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</row>
    <row r="115" ht="15.75" customHeight="1">
      <c r="A115" s="23" t="s">
        <v>154</v>
      </c>
      <c r="B115" s="8">
        <f t="shared" si="1"/>
        <v>0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20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</row>
    <row r="116" ht="15.75" customHeight="1">
      <c r="A116" s="23" t="s">
        <v>155</v>
      </c>
      <c r="B116" s="8">
        <f t="shared" si="1"/>
        <v>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20"/>
      <c r="AE116" s="8"/>
      <c r="AF116" s="8"/>
      <c r="AG116" s="20"/>
      <c r="AH116" s="8"/>
      <c r="AI116" s="8"/>
      <c r="AJ116" s="20"/>
      <c r="AK116" s="8"/>
      <c r="AL116" s="8"/>
      <c r="AM116" s="8"/>
      <c r="AN116" s="8"/>
      <c r="AO116" s="8"/>
      <c r="AP116" s="8"/>
      <c r="AQ116" s="8"/>
      <c r="AR116" s="8"/>
      <c r="AS116" s="8"/>
      <c r="AT116" s="8"/>
    </row>
    <row r="117" ht="15.75" customHeight="1">
      <c r="A117" s="23" t="s">
        <v>156</v>
      </c>
      <c r="B117" s="8">
        <f t="shared" si="1"/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20"/>
      <c r="AE117" s="20"/>
      <c r="AF117" s="20"/>
      <c r="AG117" s="20"/>
      <c r="AH117" s="20"/>
      <c r="AI117" s="20"/>
      <c r="AJ117" s="20"/>
      <c r="AK117" s="20"/>
      <c r="AL117" s="8"/>
      <c r="AM117" s="8"/>
      <c r="AN117" s="8"/>
      <c r="AO117" s="8"/>
      <c r="AP117" s="8"/>
      <c r="AQ117" s="8"/>
      <c r="AR117" s="8"/>
      <c r="AS117" s="8"/>
      <c r="AT117" s="8"/>
    </row>
    <row r="118" ht="15.75" customHeight="1">
      <c r="A118" s="23" t="s">
        <v>157</v>
      </c>
      <c r="B118" s="8">
        <f t="shared" si="1"/>
        <v>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20"/>
      <c r="AF118" s="8"/>
      <c r="AG118" s="8"/>
      <c r="AH118" s="8"/>
      <c r="AI118" s="8"/>
      <c r="AJ118" s="8"/>
      <c r="AK118" s="20"/>
      <c r="AL118" s="8"/>
      <c r="AM118" s="8"/>
      <c r="AN118" s="8"/>
      <c r="AO118" s="8"/>
      <c r="AP118" s="8"/>
      <c r="AQ118" s="8"/>
      <c r="AR118" s="8"/>
      <c r="AS118" s="8"/>
      <c r="AT118" s="8"/>
    </row>
    <row r="119" ht="15.75" customHeight="1">
      <c r="A119" s="23" t="s">
        <v>158</v>
      </c>
      <c r="B119" s="8">
        <f t="shared" si="1"/>
        <v>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20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</row>
    <row r="120" ht="15.75" customHeight="1">
      <c r="A120" s="23" t="s">
        <v>159</v>
      </c>
      <c r="B120" s="8">
        <f t="shared" si="1"/>
        <v>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20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</row>
    <row r="121" ht="15.75" customHeight="1">
      <c r="A121" s="23" t="s">
        <v>160</v>
      </c>
      <c r="B121" s="8">
        <f t="shared" si="1"/>
        <v>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20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</row>
    <row r="122" ht="15.75" customHeight="1">
      <c r="A122" s="23" t="s">
        <v>161</v>
      </c>
      <c r="B122" s="8">
        <f t="shared" si="1"/>
        <v>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20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</row>
    <row r="123" ht="15.75" customHeight="1">
      <c r="A123" s="23" t="s">
        <v>162</v>
      </c>
      <c r="B123" s="8">
        <f t="shared" si="1"/>
        <v>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20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</row>
    <row r="124" ht="15.75" customHeight="1">
      <c r="A124" s="23" t="s">
        <v>163</v>
      </c>
      <c r="B124" s="8">
        <f t="shared" si="1"/>
        <v>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20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</row>
    <row r="125" ht="15.75" customHeight="1">
      <c r="A125" s="23" t="s">
        <v>164</v>
      </c>
      <c r="B125" s="8">
        <f t="shared" si="1"/>
        <v>2</v>
      </c>
      <c r="C125" s="8"/>
      <c r="D125" s="8"/>
      <c r="E125" s="8"/>
      <c r="F125" s="8"/>
      <c r="G125" s="8"/>
      <c r="H125" s="8"/>
      <c r="I125" s="8"/>
      <c r="J125" s="8"/>
      <c r="K125" s="21">
        <v>2.0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20"/>
      <c r="AF125" s="8"/>
      <c r="AG125" s="20"/>
      <c r="AH125" s="20"/>
      <c r="AI125" s="21"/>
      <c r="AJ125" s="8"/>
      <c r="AK125" s="8"/>
      <c r="AL125" s="8"/>
      <c r="AM125" s="20"/>
      <c r="AN125" s="8"/>
      <c r="AO125" s="8"/>
      <c r="AP125" s="8"/>
      <c r="AQ125" s="8"/>
      <c r="AR125" s="8"/>
      <c r="AS125" s="8"/>
      <c r="AT125" s="8"/>
    </row>
    <row r="126" ht="15.75" customHeight="1">
      <c r="A126" s="23" t="s">
        <v>165</v>
      </c>
      <c r="B126" s="8">
        <f t="shared" si="1"/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20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</row>
    <row r="127" ht="15.75" customHeight="1">
      <c r="A127" s="23" t="s">
        <v>166</v>
      </c>
      <c r="B127" s="8">
        <f t="shared" si="1"/>
        <v>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20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</row>
    <row r="128" ht="15.75" customHeight="1">
      <c r="A128" s="23" t="s">
        <v>167</v>
      </c>
      <c r="B128" s="8">
        <f t="shared" si="1"/>
        <v>6</v>
      </c>
      <c r="C128" s="20">
        <v>1.5</v>
      </c>
      <c r="D128" s="8"/>
      <c r="E128" s="21">
        <v>2.5</v>
      </c>
      <c r="F128" s="21"/>
      <c r="G128" s="8"/>
      <c r="H128" s="8"/>
      <c r="I128" s="8"/>
      <c r="J128" s="8"/>
      <c r="K128" s="8"/>
      <c r="L128" s="8"/>
      <c r="M128" s="8"/>
      <c r="N128" s="20">
        <v>2.0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20"/>
      <c r="AF128" s="8"/>
      <c r="AG128" s="8"/>
      <c r="AH128" s="8"/>
      <c r="AI128" s="8"/>
      <c r="AJ128" s="20"/>
      <c r="AK128" s="8"/>
      <c r="AL128" s="21"/>
      <c r="AM128" s="8"/>
      <c r="AN128" s="20"/>
      <c r="AO128" s="8"/>
      <c r="AP128" s="8"/>
      <c r="AQ128" s="8"/>
      <c r="AR128" s="8"/>
      <c r="AS128" s="8"/>
      <c r="AT128" s="8"/>
    </row>
    <row r="129" ht="15.75" customHeight="1">
      <c r="A129" s="23" t="s">
        <v>168</v>
      </c>
      <c r="B129" s="8">
        <f t="shared" si="1"/>
        <v>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20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</row>
    <row r="130" ht="15.75" customHeight="1">
      <c r="A130" s="23" t="s">
        <v>169</v>
      </c>
      <c r="B130" s="8">
        <f t="shared" si="1"/>
        <v>0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20"/>
      <c r="AG130" s="20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</row>
    <row r="131" ht="15.75" customHeight="1">
      <c r="A131" s="23" t="s">
        <v>170</v>
      </c>
      <c r="B131" s="8">
        <f t="shared" si="1"/>
        <v>0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20"/>
      <c r="AG131" s="20"/>
      <c r="AH131" s="8"/>
      <c r="AI131" s="8"/>
      <c r="AJ131" s="20"/>
      <c r="AK131" s="20"/>
      <c r="AL131" s="8"/>
      <c r="AM131" s="8"/>
      <c r="AN131" s="8"/>
      <c r="AO131" s="8"/>
      <c r="AP131" s="8"/>
      <c r="AQ131" s="8"/>
      <c r="AR131" s="8"/>
      <c r="AS131" s="8"/>
      <c r="AT131" s="8"/>
    </row>
    <row r="132" ht="15.75" customHeight="1">
      <c r="A132" s="23" t="s">
        <v>171</v>
      </c>
      <c r="B132" s="8">
        <f t="shared" si="1"/>
        <v>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20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</row>
    <row r="133" ht="15.75" customHeight="1">
      <c r="A133" s="23" t="s">
        <v>172</v>
      </c>
      <c r="B133" s="8">
        <f t="shared" si="1"/>
        <v>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20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</row>
    <row r="134" ht="15.75" customHeight="1">
      <c r="A134" s="23" t="s">
        <v>173</v>
      </c>
      <c r="B134" s="8">
        <f t="shared" si="1"/>
        <v>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20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</row>
    <row r="135" ht="15.75" customHeight="1">
      <c r="A135" s="23" t="s">
        <v>174</v>
      </c>
      <c r="B135" s="8">
        <f t="shared" si="1"/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20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</row>
    <row r="136" ht="15.75" customHeight="1">
      <c r="A136" s="23" t="s">
        <v>175</v>
      </c>
      <c r="B136" s="8">
        <f t="shared" si="1"/>
        <v>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20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 ht="15.75" customHeight="1">
      <c r="A137" s="23" t="s">
        <v>176</v>
      </c>
      <c r="B137" s="8">
        <f t="shared" si="1"/>
        <v>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20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</row>
    <row r="138" ht="15.75" customHeight="1">
      <c r="A138" s="23" t="s">
        <v>177</v>
      </c>
      <c r="B138" s="8">
        <f t="shared" si="1"/>
        <v>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20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</row>
    <row r="139" ht="15.75" customHeight="1">
      <c r="A139" s="23" t="s">
        <v>178</v>
      </c>
      <c r="B139" s="8">
        <f t="shared" si="1"/>
        <v>19.25</v>
      </c>
      <c r="C139" s="8"/>
      <c r="D139" s="20">
        <v>2.0</v>
      </c>
      <c r="E139" s="21">
        <v>2.5</v>
      </c>
      <c r="F139" s="21">
        <v>1.75</v>
      </c>
      <c r="G139" s="20">
        <v>3.0</v>
      </c>
      <c r="H139" s="20">
        <v>2.0</v>
      </c>
      <c r="I139" s="8"/>
      <c r="J139" s="20">
        <v>2.0</v>
      </c>
      <c r="K139" s="21">
        <v>2.0</v>
      </c>
      <c r="L139" s="8"/>
      <c r="M139" s="8"/>
      <c r="N139" s="20">
        <v>2.0</v>
      </c>
      <c r="O139" s="20">
        <v>2.0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20"/>
      <c r="AG139" s="20"/>
      <c r="AH139" s="20"/>
      <c r="AI139" s="20"/>
      <c r="AJ139" s="20"/>
      <c r="AK139" s="20"/>
      <c r="AL139" s="8"/>
      <c r="AM139" s="8"/>
      <c r="AN139" s="8"/>
      <c r="AO139" s="8"/>
      <c r="AP139" s="8"/>
      <c r="AQ139" s="8"/>
      <c r="AR139" s="8"/>
      <c r="AS139" s="8"/>
      <c r="AT139" s="8"/>
    </row>
    <row r="140" ht="15.75" customHeight="1">
      <c r="A140" s="23" t="s">
        <v>179</v>
      </c>
      <c r="B140" s="8">
        <f t="shared" si="1"/>
        <v>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20"/>
      <c r="AG140" s="8"/>
      <c r="AH140" s="8"/>
      <c r="AI140" s="8"/>
      <c r="AJ140" s="20"/>
      <c r="AK140" s="8"/>
      <c r="AL140" s="8"/>
      <c r="AM140" s="8"/>
      <c r="AN140" s="8"/>
      <c r="AO140" s="8"/>
      <c r="AP140" s="8"/>
      <c r="AQ140" s="8"/>
      <c r="AR140" s="8"/>
      <c r="AS140" s="8"/>
      <c r="AT140" s="8"/>
    </row>
    <row r="141" ht="15.75" customHeight="1">
      <c r="A141" s="23" t="s">
        <v>180</v>
      </c>
      <c r="B141" s="8">
        <f t="shared" si="1"/>
        <v>0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20"/>
      <c r="AG141" s="8"/>
      <c r="AH141" s="8"/>
      <c r="AI141" s="21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</row>
    <row r="142" ht="15.75" customHeight="1">
      <c r="A142" s="23" t="s">
        <v>181</v>
      </c>
      <c r="B142" s="8">
        <f t="shared" si="1"/>
        <v>13.5</v>
      </c>
      <c r="C142" s="20">
        <v>2.0</v>
      </c>
      <c r="D142" s="8"/>
      <c r="E142" s="8"/>
      <c r="F142" s="8"/>
      <c r="G142" s="8"/>
      <c r="H142" s="20">
        <v>2.0</v>
      </c>
      <c r="I142" s="20">
        <v>1.5</v>
      </c>
      <c r="J142" s="8"/>
      <c r="K142" s="21">
        <v>2.0</v>
      </c>
      <c r="L142" s="20">
        <v>2.0</v>
      </c>
      <c r="M142" s="8"/>
      <c r="N142" s="20">
        <v>2.0</v>
      </c>
      <c r="O142" s="20">
        <v>2.0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20"/>
      <c r="AH142" s="20"/>
      <c r="AI142" s="20"/>
      <c r="AJ142" s="20"/>
      <c r="AK142" s="8"/>
      <c r="AL142" s="21"/>
      <c r="AM142" s="20"/>
      <c r="AN142" s="20"/>
      <c r="AO142" s="8"/>
      <c r="AP142" s="8"/>
      <c r="AQ142" s="8"/>
      <c r="AR142" s="8"/>
      <c r="AS142" s="8"/>
      <c r="AT142" s="8"/>
    </row>
    <row r="143" ht="15.75" customHeight="1">
      <c r="A143" s="23" t="s">
        <v>182</v>
      </c>
      <c r="B143" s="8">
        <f t="shared" si="1"/>
        <v>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20"/>
      <c r="AH143" s="8"/>
      <c r="AI143" s="8"/>
      <c r="AJ143" s="8"/>
      <c r="AK143" s="8"/>
      <c r="AL143" s="8"/>
      <c r="AM143" s="8"/>
      <c r="AN143" s="20"/>
      <c r="AO143" s="8"/>
      <c r="AP143" s="8"/>
      <c r="AQ143" s="8"/>
      <c r="AR143" s="8"/>
      <c r="AS143" s="8"/>
      <c r="AT143" s="8"/>
    </row>
    <row r="144" ht="15.75" customHeight="1">
      <c r="A144" s="23" t="s">
        <v>183</v>
      </c>
      <c r="B144" s="8">
        <f t="shared" si="1"/>
        <v>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20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</row>
    <row r="145" ht="15.75" customHeight="1">
      <c r="A145" s="23" t="s">
        <v>184</v>
      </c>
      <c r="B145" s="8">
        <f t="shared" si="1"/>
        <v>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20"/>
      <c r="AH145" s="8"/>
      <c r="AI145" s="8"/>
      <c r="AJ145" s="8"/>
      <c r="AK145" s="20"/>
      <c r="AL145" s="8"/>
      <c r="AM145" s="8"/>
      <c r="AN145" s="8"/>
      <c r="AO145" s="8"/>
      <c r="AP145" s="8"/>
      <c r="AQ145" s="8"/>
      <c r="AR145" s="8"/>
      <c r="AS145" s="8"/>
      <c r="AT145" s="8"/>
    </row>
    <row r="146" ht="15.75" customHeight="1">
      <c r="A146" s="23" t="s">
        <v>185</v>
      </c>
      <c r="B146" s="8">
        <f t="shared" si="1"/>
        <v>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20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</row>
    <row r="147" ht="15.75" customHeight="1">
      <c r="A147" s="23" t="s">
        <v>186</v>
      </c>
      <c r="B147" s="8">
        <f t="shared" si="1"/>
        <v>7.5</v>
      </c>
      <c r="C147" s="20">
        <v>2.0</v>
      </c>
      <c r="D147" s="8"/>
      <c r="E147" s="8"/>
      <c r="F147" s="8"/>
      <c r="G147" s="8"/>
      <c r="H147" s="20">
        <v>2.0</v>
      </c>
      <c r="I147" s="20">
        <v>1.5</v>
      </c>
      <c r="J147" s="8"/>
      <c r="K147" s="21">
        <v>2.0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20"/>
      <c r="AH147" s="8"/>
      <c r="AI147" s="8"/>
      <c r="AJ147" s="8"/>
      <c r="AK147" s="20"/>
      <c r="AL147" s="21"/>
      <c r="AM147" s="20"/>
      <c r="AN147" s="20"/>
      <c r="AO147" s="8"/>
      <c r="AP147" s="8"/>
      <c r="AQ147" s="8"/>
      <c r="AR147" s="8"/>
      <c r="AS147" s="8"/>
      <c r="AT147" s="8"/>
    </row>
    <row r="148" ht="15.75" customHeight="1">
      <c r="A148" s="23" t="s">
        <v>187</v>
      </c>
      <c r="B148" s="8">
        <f t="shared" si="1"/>
        <v>2</v>
      </c>
      <c r="C148" s="20">
        <v>2.0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20"/>
      <c r="AH148" s="8"/>
      <c r="AI148" s="8"/>
      <c r="AJ148" s="8"/>
      <c r="AK148" s="20"/>
      <c r="AL148" s="8"/>
      <c r="AM148" s="8"/>
      <c r="AN148" s="8"/>
      <c r="AO148" s="8"/>
      <c r="AP148" s="8"/>
      <c r="AQ148" s="8"/>
      <c r="AR148" s="8"/>
      <c r="AS148" s="8"/>
      <c r="AT148" s="8"/>
    </row>
    <row r="149" ht="15.75" customHeight="1">
      <c r="A149" s="23" t="s">
        <v>188</v>
      </c>
      <c r="B149" s="8">
        <f t="shared" si="1"/>
        <v>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20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</row>
    <row r="150" ht="15.75" customHeight="1">
      <c r="A150" s="23" t="s">
        <v>189</v>
      </c>
      <c r="B150" s="8">
        <f t="shared" si="1"/>
        <v>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20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</row>
    <row r="151" ht="15.75" customHeight="1">
      <c r="A151" s="23" t="s">
        <v>190</v>
      </c>
      <c r="B151" s="8">
        <f t="shared" si="1"/>
        <v>12.25</v>
      </c>
      <c r="C151" s="20">
        <v>1.5</v>
      </c>
      <c r="D151" s="20">
        <v>2.0</v>
      </c>
      <c r="E151" s="21">
        <v>2.5</v>
      </c>
      <c r="F151" s="21">
        <v>1.5</v>
      </c>
      <c r="G151" s="8"/>
      <c r="H151" s="8"/>
      <c r="I151" s="20">
        <v>1.25</v>
      </c>
      <c r="J151" s="20">
        <v>1.5</v>
      </c>
      <c r="K151" s="8"/>
      <c r="L151" s="8"/>
      <c r="M151" s="8"/>
      <c r="N151" s="20">
        <v>2.0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20"/>
      <c r="AH151" s="8"/>
      <c r="AI151" s="8"/>
      <c r="AJ151" s="8"/>
      <c r="AK151" s="20"/>
      <c r="AL151" s="20"/>
      <c r="AM151" s="20"/>
      <c r="AN151" s="20"/>
      <c r="AO151" s="20"/>
      <c r="AP151" s="8"/>
      <c r="AQ151" s="8"/>
      <c r="AR151" s="8"/>
      <c r="AS151" s="8"/>
      <c r="AT151" s="8"/>
    </row>
    <row r="152" ht="15.75" customHeight="1">
      <c r="A152" s="23" t="s">
        <v>191</v>
      </c>
      <c r="B152" s="8">
        <f t="shared" si="1"/>
        <v>0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20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</row>
    <row r="153" ht="15.75" customHeight="1">
      <c r="A153" s="23" t="s">
        <v>192</v>
      </c>
      <c r="B153" s="8">
        <f t="shared" si="1"/>
        <v>0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20"/>
      <c r="AI153" s="21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</row>
    <row r="154" ht="15.75" customHeight="1">
      <c r="A154" s="23" t="s">
        <v>193</v>
      </c>
      <c r="B154" s="8">
        <f t="shared" si="1"/>
        <v>0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20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</row>
    <row r="155" ht="15.75" customHeight="1">
      <c r="A155" s="23" t="s">
        <v>194</v>
      </c>
      <c r="B155" s="8">
        <f t="shared" si="1"/>
        <v>0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20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</row>
    <row r="156" ht="15.75" customHeight="1">
      <c r="A156" s="23" t="s">
        <v>195</v>
      </c>
      <c r="B156" s="8">
        <f t="shared" si="1"/>
        <v>0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20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</row>
    <row r="157" ht="15.75" customHeight="1">
      <c r="A157" s="23" t="s">
        <v>196</v>
      </c>
      <c r="B157" s="8">
        <f t="shared" si="1"/>
        <v>0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20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</row>
    <row r="158" ht="15.75" customHeight="1">
      <c r="A158" s="23" t="s">
        <v>197</v>
      </c>
      <c r="B158" s="8">
        <f t="shared" si="1"/>
        <v>0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20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</row>
    <row r="159" ht="15.75" customHeight="1">
      <c r="A159" s="23" t="s">
        <v>198</v>
      </c>
      <c r="B159" s="8">
        <f t="shared" si="1"/>
        <v>0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20"/>
      <c r="AI159" s="20"/>
      <c r="AJ159" s="20"/>
      <c r="AK159" s="8"/>
      <c r="AL159" s="8"/>
      <c r="AM159" s="8"/>
      <c r="AN159" s="8"/>
      <c r="AO159" s="8"/>
      <c r="AP159" s="8"/>
      <c r="AQ159" s="8"/>
      <c r="AR159" s="8"/>
      <c r="AS159" s="8"/>
      <c r="AT159" s="8"/>
    </row>
    <row r="160" ht="15.75" customHeight="1">
      <c r="A160" s="23" t="s">
        <v>199</v>
      </c>
      <c r="B160" s="8">
        <f t="shared" si="1"/>
        <v>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20"/>
      <c r="AI160" s="20"/>
      <c r="AJ160" s="20"/>
      <c r="AK160" s="8"/>
      <c r="AL160" s="8"/>
      <c r="AM160" s="8"/>
      <c r="AN160" s="8"/>
      <c r="AO160" s="8"/>
      <c r="AP160" s="8"/>
      <c r="AQ160" s="8"/>
      <c r="AR160" s="8"/>
      <c r="AS160" s="8"/>
      <c r="AT160" s="8"/>
    </row>
    <row r="161" ht="15.75" customHeight="1">
      <c r="A161" s="23" t="s">
        <v>200</v>
      </c>
      <c r="B161" s="8">
        <f t="shared" si="1"/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20"/>
      <c r="AI161" s="20"/>
      <c r="AJ161" s="20"/>
      <c r="AK161" s="8"/>
      <c r="AL161" s="8"/>
      <c r="AM161" s="8"/>
      <c r="AN161" s="8"/>
      <c r="AO161" s="8"/>
      <c r="AP161" s="8"/>
      <c r="AQ161" s="8"/>
      <c r="AR161" s="8"/>
      <c r="AS161" s="8"/>
      <c r="AT161" s="8"/>
    </row>
    <row r="162" ht="15.75" customHeight="1">
      <c r="A162" s="23" t="s">
        <v>201</v>
      </c>
      <c r="B162" s="8">
        <f t="shared" si="1"/>
        <v>0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20"/>
      <c r="AI162" s="20"/>
      <c r="AJ162" s="20"/>
      <c r="AK162" s="8"/>
      <c r="AL162" s="8"/>
      <c r="AM162" s="8"/>
      <c r="AN162" s="8"/>
      <c r="AO162" s="8"/>
      <c r="AP162" s="8"/>
      <c r="AQ162" s="8"/>
      <c r="AR162" s="8"/>
      <c r="AS162" s="8"/>
      <c r="AT162" s="8"/>
    </row>
    <row r="163" ht="15.75" customHeight="1">
      <c r="A163" s="24" t="s">
        <v>202</v>
      </c>
      <c r="B163" s="8">
        <f t="shared" si="1"/>
        <v>0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21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</row>
    <row r="164" ht="15.75" customHeight="1">
      <c r="A164" s="24" t="s">
        <v>203</v>
      </c>
      <c r="B164" s="8">
        <f t="shared" si="1"/>
        <v>0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21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</row>
    <row r="165" ht="15.75" customHeight="1">
      <c r="A165" s="24" t="s">
        <v>204</v>
      </c>
      <c r="B165" s="8">
        <f t="shared" si="1"/>
        <v>0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21"/>
      <c r="AJ165" s="8"/>
      <c r="AK165" s="20"/>
      <c r="AL165" s="8"/>
      <c r="AM165" s="8"/>
      <c r="AN165" s="8"/>
      <c r="AO165" s="20"/>
      <c r="AP165" s="8"/>
      <c r="AQ165" s="8"/>
      <c r="AR165" s="8"/>
      <c r="AS165" s="8"/>
      <c r="AT165" s="8"/>
    </row>
    <row r="166" ht="15.75" customHeight="1">
      <c r="A166" s="24" t="s">
        <v>205</v>
      </c>
      <c r="B166" s="8">
        <f t="shared" si="1"/>
        <v>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21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</row>
    <row r="167" ht="15.75" customHeight="1">
      <c r="A167" s="24" t="s">
        <v>206</v>
      </c>
      <c r="B167" s="8">
        <f t="shared" si="1"/>
        <v>0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21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</row>
    <row r="168" ht="15.75" customHeight="1">
      <c r="A168" s="23" t="s">
        <v>5</v>
      </c>
      <c r="B168" s="8">
        <f t="shared" si="1"/>
        <v>0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20"/>
      <c r="AK168" s="8"/>
      <c r="AL168" s="8"/>
      <c r="AM168" s="8"/>
      <c r="AN168" s="8"/>
      <c r="AO168" s="8"/>
      <c r="AP168" s="8"/>
      <c r="AQ168" s="8"/>
      <c r="AR168" s="8"/>
      <c r="AS168" s="8"/>
      <c r="AT168" s="8"/>
    </row>
    <row r="169" ht="15.75" customHeight="1">
      <c r="A169" s="23" t="s">
        <v>207</v>
      </c>
      <c r="B169" s="8">
        <f t="shared" si="1"/>
        <v>15</v>
      </c>
      <c r="C169" s="8"/>
      <c r="D169" s="20">
        <v>2.0</v>
      </c>
      <c r="E169" s="21">
        <v>2.0</v>
      </c>
      <c r="F169" s="21">
        <v>2.0</v>
      </c>
      <c r="G169" s="8"/>
      <c r="H169" s="8"/>
      <c r="I169" s="20">
        <v>1.25</v>
      </c>
      <c r="J169" s="20">
        <v>2.0</v>
      </c>
      <c r="K169" s="8"/>
      <c r="L169" s="20">
        <v>2.0</v>
      </c>
      <c r="M169" s="20">
        <v>1.75</v>
      </c>
      <c r="N169" s="20">
        <v>2.0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20"/>
      <c r="AK169" s="20"/>
      <c r="AL169" s="8"/>
      <c r="AM169" s="20"/>
      <c r="AN169" s="20"/>
      <c r="AO169" s="20"/>
      <c r="AP169" s="8"/>
      <c r="AQ169" s="8"/>
      <c r="AR169" s="8"/>
      <c r="AS169" s="8"/>
      <c r="AT169" s="8"/>
    </row>
    <row r="170" ht="15.75" customHeight="1">
      <c r="A170" s="23" t="s">
        <v>208</v>
      </c>
      <c r="B170" s="8">
        <f t="shared" si="1"/>
        <v>15.25</v>
      </c>
      <c r="C170" s="20">
        <v>1.5</v>
      </c>
      <c r="D170" s="20">
        <v>2.0</v>
      </c>
      <c r="E170" s="8"/>
      <c r="F170" s="21">
        <v>1.75</v>
      </c>
      <c r="G170" s="8"/>
      <c r="H170" s="20">
        <v>2.0</v>
      </c>
      <c r="I170" s="8"/>
      <c r="J170" s="20">
        <v>2.0</v>
      </c>
      <c r="K170" s="21">
        <v>2.0</v>
      </c>
      <c r="L170" s="20">
        <v>2.0</v>
      </c>
      <c r="M170" s="8"/>
      <c r="N170" s="8"/>
      <c r="O170" s="20">
        <v>2.0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20"/>
      <c r="AL170" s="8"/>
      <c r="AM170" s="20"/>
      <c r="AN170" s="8"/>
      <c r="AO170" s="20"/>
      <c r="AP170" s="8"/>
      <c r="AQ170" s="8"/>
      <c r="AR170" s="8"/>
      <c r="AS170" s="8"/>
      <c r="AT170" s="8"/>
    </row>
    <row r="171" ht="15.75" customHeight="1">
      <c r="A171" s="23" t="s">
        <v>209</v>
      </c>
      <c r="B171" s="8">
        <f t="shared" si="1"/>
        <v>5.25</v>
      </c>
      <c r="C171" s="20">
        <v>1.5</v>
      </c>
      <c r="D171" s="8"/>
      <c r="E171" s="8"/>
      <c r="F171" s="21">
        <v>1.75</v>
      </c>
      <c r="G171" s="8"/>
      <c r="H171" s="20">
        <v>2.0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20"/>
      <c r="AO171" s="8"/>
      <c r="AP171" s="8"/>
      <c r="AQ171" s="8"/>
      <c r="AR171" s="8"/>
      <c r="AS171" s="8"/>
      <c r="AT171" s="8"/>
    </row>
    <row r="172" ht="15.75" customHeight="1">
      <c r="A172" s="23" t="s">
        <v>210</v>
      </c>
      <c r="B172" s="8">
        <f t="shared" si="1"/>
        <v>0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20"/>
      <c r="AL172" s="8"/>
      <c r="AM172" s="8"/>
      <c r="AN172" s="8"/>
      <c r="AO172" s="8"/>
      <c r="AP172" s="8"/>
      <c r="AQ172" s="8"/>
      <c r="AR172" s="8"/>
      <c r="AS172" s="8"/>
      <c r="AT172" s="8"/>
    </row>
    <row r="173" ht="15.75" customHeight="1">
      <c r="A173" s="23" t="s">
        <v>211</v>
      </c>
      <c r="B173" s="8">
        <f t="shared" si="1"/>
        <v>0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20"/>
      <c r="AL173" s="8"/>
      <c r="AM173" s="8"/>
      <c r="AN173" s="8"/>
      <c r="AO173" s="20"/>
      <c r="AP173" s="8"/>
      <c r="AQ173" s="8"/>
      <c r="AR173" s="8"/>
      <c r="AS173" s="8"/>
      <c r="AT173" s="8"/>
    </row>
    <row r="174" ht="15.75" customHeight="1">
      <c r="A174" s="23" t="s">
        <v>212</v>
      </c>
      <c r="B174" s="8">
        <f t="shared" si="1"/>
        <v>0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20"/>
      <c r="AL174" s="8"/>
      <c r="AM174" s="8"/>
      <c r="AN174" s="8"/>
      <c r="AO174" s="8"/>
      <c r="AP174" s="8"/>
      <c r="AQ174" s="8"/>
      <c r="AR174" s="8"/>
      <c r="AS174" s="8"/>
      <c r="AT174" s="8"/>
    </row>
    <row r="175" ht="15.75" customHeight="1">
      <c r="A175" s="24" t="s">
        <v>213</v>
      </c>
      <c r="B175" s="8">
        <f t="shared" si="1"/>
        <v>0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21"/>
      <c r="AM175" s="8"/>
      <c r="AN175" s="8"/>
      <c r="AO175" s="8"/>
      <c r="AP175" s="8"/>
      <c r="AQ175" s="8"/>
      <c r="AR175" s="8"/>
      <c r="AS175" s="8"/>
      <c r="AT175" s="8"/>
    </row>
    <row r="176" ht="15.75" customHeight="1">
      <c r="A176" s="24" t="s">
        <v>214</v>
      </c>
      <c r="B176" s="8">
        <f t="shared" si="1"/>
        <v>4</v>
      </c>
      <c r="C176" s="8"/>
      <c r="D176" s="20">
        <v>2.0</v>
      </c>
      <c r="E176" s="8"/>
      <c r="F176" s="8"/>
      <c r="G176" s="8"/>
      <c r="H176" s="8"/>
      <c r="I176" s="8"/>
      <c r="J176" s="20">
        <v>2.0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21"/>
      <c r="AM176" s="8"/>
      <c r="AN176" s="20"/>
      <c r="AO176" s="8"/>
      <c r="AP176" s="8"/>
      <c r="AQ176" s="8"/>
      <c r="AR176" s="8"/>
      <c r="AS176" s="8"/>
      <c r="AT176" s="8"/>
    </row>
    <row r="177" ht="15.75" customHeight="1">
      <c r="A177" s="24" t="s">
        <v>215</v>
      </c>
      <c r="B177" s="8">
        <f t="shared" si="1"/>
        <v>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21"/>
      <c r="AM177" s="8"/>
      <c r="AN177" s="8"/>
      <c r="AO177" s="8"/>
      <c r="AP177" s="8"/>
      <c r="AQ177" s="8"/>
      <c r="AR177" s="8"/>
      <c r="AS177" s="8"/>
      <c r="AT177" s="8"/>
    </row>
    <row r="178" ht="15.75" customHeight="1">
      <c r="A178" s="24" t="s">
        <v>216</v>
      </c>
      <c r="B178" s="8">
        <f t="shared" si="1"/>
        <v>15.5</v>
      </c>
      <c r="C178" s="20">
        <v>2.0</v>
      </c>
      <c r="D178" s="20">
        <v>2.0</v>
      </c>
      <c r="E178" s="21">
        <v>2.0</v>
      </c>
      <c r="F178" s="21">
        <v>2.0</v>
      </c>
      <c r="G178" s="8"/>
      <c r="H178" s="8"/>
      <c r="I178" s="8"/>
      <c r="J178" s="20">
        <v>1.5</v>
      </c>
      <c r="K178" s="21">
        <v>2.0</v>
      </c>
      <c r="L178" s="8"/>
      <c r="M178" s="8"/>
      <c r="N178" s="20">
        <v>2.0</v>
      </c>
      <c r="O178" s="20">
        <v>2.0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21"/>
      <c r="AM178" s="20"/>
      <c r="AN178" s="20"/>
      <c r="AO178" s="20"/>
      <c r="AP178" s="8"/>
      <c r="AQ178" s="8"/>
      <c r="AR178" s="8"/>
      <c r="AS178" s="8"/>
      <c r="AT178" s="8"/>
    </row>
    <row r="179" ht="15.75" customHeight="1">
      <c r="A179" s="24" t="s">
        <v>217</v>
      </c>
      <c r="B179" s="8">
        <f t="shared" si="1"/>
        <v>0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21"/>
      <c r="AM179" s="8"/>
      <c r="AN179" s="8"/>
      <c r="AO179" s="8"/>
      <c r="AP179" s="8"/>
      <c r="AQ179" s="8"/>
      <c r="AR179" s="8"/>
      <c r="AS179" s="8"/>
      <c r="AT179" s="8"/>
    </row>
    <row r="180" ht="15.75" customHeight="1">
      <c r="A180" s="24" t="s">
        <v>218</v>
      </c>
      <c r="B180" s="8">
        <f t="shared" si="1"/>
        <v>16.5</v>
      </c>
      <c r="C180" s="8"/>
      <c r="D180" s="20">
        <v>2.0</v>
      </c>
      <c r="E180" s="21">
        <v>2.25</v>
      </c>
      <c r="F180" s="21">
        <v>1.75</v>
      </c>
      <c r="G180" s="20">
        <v>3.0</v>
      </c>
      <c r="H180" s="8"/>
      <c r="I180" s="20">
        <v>1.75</v>
      </c>
      <c r="J180" s="8"/>
      <c r="K180" s="8"/>
      <c r="L180" s="20">
        <v>2.0</v>
      </c>
      <c r="M180" s="20">
        <v>1.75</v>
      </c>
      <c r="N180" s="8"/>
      <c r="O180" s="20">
        <v>2.0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20"/>
      <c r="AM180" s="8"/>
      <c r="AN180" s="8"/>
      <c r="AO180" s="8"/>
      <c r="AP180" s="8"/>
      <c r="AQ180" s="8"/>
      <c r="AR180" s="8"/>
      <c r="AS180" s="8"/>
      <c r="AT180" s="8"/>
    </row>
    <row r="181" ht="15.75" customHeight="1">
      <c r="A181" s="23" t="s">
        <v>219</v>
      </c>
      <c r="B181" s="8">
        <f t="shared" si="1"/>
        <v>23.75</v>
      </c>
      <c r="C181" s="20">
        <v>2.0</v>
      </c>
      <c r="D181" s="20">
        <v>2.0</v>
      </c>
      <c r="E181" s="21">
        <v>2.0</v>
      </c>
      <c r="F181" s="21">
        <v>2.0</v>
      </c>
      <c r="G181" s="20">
        <v>2.0</v>
      </c>
      <c r="H181" s="20">
        <v>2.0</v>
      </c>
      <c r="I181" s="8"/>
      <c r="J181" s="20">
        <v>2.0</v>
      </c>
      <c r="K181" s="21">
        <v>2.0</v>
      </c>
      <c r="L181" s="20">
        <v>2.0</v>
      </c>
      <c r="M181" s="20">
        <v>1.75</v>
      </c>
      <c r="N181" s="20">
        <v>2.0</v>
      </c>
      <c r="O181" s="20">
        <v>2.0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20"/>
      <c r="AM181" s="20"/>
      <c r="AN181" s="20"/>
      <c r="AO181" s="20"/>
      <c r="AP181" s="8"/>
      <c r="AQ181" s="8"/>
      <c r="AR181" s="8"/>
      <c r="AS181" s="8"/>
      <c r="AT181" s="8"/>
    </row>
    <row r="182" ht="15.75" customHeight="1">
      <c r="A182" s="23" t="s">
        <v>220</v>
      </c>
      <c r="B182" s="8">
        <f t="shared" si="1"/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20"/>
      <c r="AM182" s="8"/>
      <c r="AN182" s="8"/>
      <c r="AO182" s="8"/>
      <c r="AP182" s="8"/>
      <c r="AQ182" s="8"/>
      <c r="AR182" s="8"/>
      <c r="AS182" s="8"/>
      <c r="AT182" s="8"/>
    </row>
    <row r="183" ht="15.75" customHeight="1">
      <c r="A183" s="23" t="s">
        <v>221</v>
      </c>
      <c r="B183" s="8">
        <f t="shared" si="1"/>
        <v>0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20"/>
      <c r="AN183" s="20"/>
      <c r="AO183" s="8"/>
      <c r="AP183" s="8"/>
      <c r="AQ183" s="8"/>
      <c r="AR183" s="8"/>
      <c r="AS183" s="8"/>
      <c r="AT183" s="8"/>
    </row>
    <row r="184" ht="15.75" customHeight="1">
      <c r="A184" s="23" t="s">
        <v>222</v>
      </c>
      <c r="B184" s="8">
        <f t="shared" si="1"/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20"/>
      <c r="AN184" s="8"/>
      <c r="AO184" s="20"/>
      <c r="AP184" s="8"/>
      <c r="AQ184" s="8"/>
      <c r="AR184" s="8"/>
      <c r="AS184" s="8"/>
      <c r="AT184" s="8"/>
    </row>
    <row r="185" ht="15.75" customHeight="1">
      <c r="A185" s="23" t="s">
        <v>223</v>
      </c>
      <c r="B185" s="8">
        <f t="shared" si="1"/>
        <v>0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20"/>
      <c r="AN185" s="8"/>
      <c r="AO185" s="8"/>
      <c r="AP185" s="8"/>
      <c r="AQ185" s="8"/>
      <c r="AR185" s="8"/>
      <c r="AS185" s="8"/>
      <c r="AT185" s="8"/>
    </row>
    <row r="186" ht="15.75" customHeight="1">
      <c r="A186" s="23" t="s">
        <v>224</v>
      </c>
      <c r="B186" s="8">
        <f t="shared" si="1"/>
        <v>2</v>
      </c>
      <c r="C186" s="8"/>
      <c r="D186" s="8"/>
      <c r="E186" s="8"/>
      <c r="F186" s="8"/>
      <c r="G186" s="8"/>
      <c r="H186" s="20">
        <v>2.0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20"/>
      <c r="AO186" s="8"/>
      <c r="AP186" s="8"/>
      <c r="AQ186" s="8"/>
      <c r="AR186" s="8"/>
      <c r="AS186" s="8"/>
      <c r="AT186" s="8"/>
    </row>
    <row r="187" ht="15.75" customHeight="1">
      <c r="A187" s="23" t="s">
        <v>225</v>
      </c>
      <c r="B187" s="8">
        <f t="shared" si="1"/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20"/>
      <c r="AO187" s="8"/>
      <c r="AP187" s="8"/>
      <c r="AQ187" s="8"/>
      <c r="AR187" s="8"/>
      <c r="AS187" s="8"/>
      <c r="AT187" s="8"/>
    </row>
    <row r="188" ht="15.75" customHeight="1">
      <c r="A188" s="23" t="s">
        <v>226</v>
      </c>
      <c r="B188" s="8">
        <f t="shared" si="1"/>
        <v>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20"/>
      <c r="AO188" s="8"/>
      <c r="AP188" s="8"/>
      <c r="AQ188" s="8"/>
      <c r="AR188" s="8"/>
      <c r="AS188" s="8"/>
      <c r="AT188" s="8"/>
    </row>
    <row r="189" ht="15.75" customHeight="1">
      <c r="A189" s="23" t="s">
        <v>227</v>
      </c>
      <c r="B189" s="8">
        <f t="shared" si="1"/>
        <v>0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20"/>
      <c r="AO189" s="8"/>
      <c r="AP189" s="8"/>
      <c r="AQ189" s="8"/>
      <c r="AR189" s="8"/>
      <c r="AS189" s="8"/>
      <c r="AT189" s="8"/>
    </row>
    <row r="190" ht="15.75" customHeight="1">
      <c r="A190" s="23" t="s">
        <v>228</v>
      </c>
      <c r="B190" s="8">
        <f t="shared" si="1"/>
        <v>0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20"/>
      <c r="AO190" s="8"/>
      <c r="AP190" s="8"/>
      <c r="AQ190" s="8"/>
      <c r="AR190" s="8"/>
      <c r="AS190" s="8"/>
      <c r="AT190" s="8"/>
    </row>
    <row r="191" ht="15.75" customHeight="1">
      <c r="A191" s="23" t="s">
        <v>229</v>
      </c>
      <c r="B191" s="8">
        <f t="shared" si="1"/>
        <v>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20"/>
      <c r="AO191" s="8"/>
      <c r="AP191" s="8"/>
      <c r="AQ191" s="8"/>
      <c r="AR191" s="8"/>
      <c r="AS191" s="8"/>
      <c r="AT191" s="8"/>
    </row>
    <row r="192" ht="15.75" customHeight="1">
      <c r="A192" s="23" t="s">
        <v>60</v>
      </c>
      <c r="B192" s="8">
        <f t="shared" si="1"/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20"/>
      <c r="AP192" s="8"/>
      <c r="AQ192" s="8"/>
      <c r="AR192" s="8"/>
      <c r="AS192" s="8"/>
      <c r="AT192" s="8"/>
    </row>
    <row r="193" ht="15.75" customHeight="1">
      <c r="A193" s="23" t="s">
        <v>230</v>
      </c>
      <c r="B193" s="8">
        <f t="shared" si="1"/>
        <v>3.75</v>
      </c>
      <c r="C193" s="8"/>
      <c r="D193" s="8"/>
      <c r="E193" s="8"/>
      <c r="F193" s="8"/>
      <c r="G193" s="8"/>
      <c r="H193" s="20">
        <v>1.75</v>
      </c>
      <c r="I193" s="8"/>
      <c r="J193" s="8"/>
      <c r="K193" s="8"/>
      <c r="L193" s="20">
        <v>2.0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20"/>
      <c r="AP193" s="8"/>
      <c r="AQ193" s="8"/>
      <c r="AR193" s="8"/>
      <c r="AS193" s="8"/>
      <c r="AT193" s="8"/>
    </row>
    <row r="194" ht="15.75" customHeight="1">
      <c r="A194" s="23" t="s">
        <v>231</v>
      </c>
      <c r="B194" s="8">
        <f t="shared" si="1"/>
        <v>7</v>
      </c>
      <c r="C194" s="20">
        <v>1.5</v>
      </c>
      <c r="D194" s="20">
        <v>2.0</v>
      </c>
      <c r="E194" s="21">
        <v>1.5</v>
      </c>
      <c r="F194" s="8"/>
      <c r="G194" s="20">
        <v>2.0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20"/>
      <c r="AP194" s="8"/>
      <c r="AQ194" s="8"/>
      <c r="AR194" s="8"/>
      <c r="AS194" s="8"/>
      <c r="AT194" s="8"/>
    </row>
    <row r="195" ht="15.75" customHeight="1">
      <c r="A195" s="23" t="s">
        <v>232</v>
      </c>
      <c r="B195" s="8">
        <f t="shared" si="1"/>
        <v>0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20"/>
      <c r="AP195" s="8"/>
      <c r="AQ195" s="8"/>
      <c r="AR195" s="8"/>
      <c r="AS195" s="8"/>
      <c r="AT195" s="8"/>
    </row>
    <row r="196" ht="15.75" customHeight="1">
      <c r="A196" s="23" t="s">
        <v>233</v>
      </c>
      <c r="B196" s="8">
        <f t="shared" si="1"/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20"/>
      <c r="AP196" s="8"/>
      <c r="AQ196" s="8"/>
      <c r="AR196" s="8"/>
      <c r="AS196" s="8"/>
      <c r="AT196" s="8"/>
    </row>
    <row r="197" ht="15.75" customHeight="1">
      <c r="A197" s="23" t="s">
        <v>234</v>
      </c>
      <c r="B197" s="8">
        <f t="shared" si="1"/>
        <v>0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20"/>
      <c r="AP197" s="8"/>
      <c r="AQ197" s="8"/>
      <c r="AR197" s="8"/>
      <c r="AS197" s="8"/>
      <c r="AT197" s="8"/>
    </row>
    <row r="198" ht="15.75" customHeight="1">
      <c r="A198" s="23" t="s">
        <v>363</v>
      </c>
      <c r="B198" s="8">
        <f t="shared" si="1"/>
        <v>9.5</v>
      </c>
      <c r="C198" s="20">
        <v>2.0</v>
      </c>
      <c r="D198" s="20">
        <v>2.0</v>
      </c>
      <c r="E198" s="21">
        <v>2.0</v>
      </c>
      <c r="F198" s="8"/>
      <c r="G198" s="8"/>
      <c r="H198" s="8"/>
      <c r="I198" s="20">
        <v>1.5</v>
      </c>
      <c r="J198" s="8"/>
      <c r="K198" s="8"/>
      <c r="L198" s="8"/>
      <c r="M198" s="8"/>
      <c r="N198" s="8"/>
      <c r="O198" s="20">
        <v>2.0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</row>
    <row r="199" ht="15.75" customHeight="1">
      <c r="A199" s="23" t="s">
        <v>364</v>
      </c>
      <c r="B199" s="8">
        <f t="shared" si="1"/>
        <v>2</v>
      </c>
      <c r="C199" s="20">
        <v>2.0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</row>
    <row r="200" ht="15.75" customHeight="1">
      <c r="A200" s="23" t="s">
        <v>365</v>
      </c>
      <c r="B200" s="8">
        <f t="shared" si="1"/>
        <v>4</v>
      </c>
      <c r="C200" s="20">
        <v>2.0</v>
      </c>
      <c r="D200" s="8"/>
      <c r="E200" s="8"/>
      <c r="F200" s="8"/>
      <c r="G200" s="20">
        <v>2.0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</row>
    <row r="201" ht="15.75" customHeight="1">
      <c r="A201" s="23" t="s">
        <v>366</v>
      </c>
      <c r="B201" s="8">
        <f t="shared" si="1"/>
        <v>2</v>
      </c>
      <c r="C201" s="20">
        <v>2.0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</row>
    <row r="202" ht="15.75" customHeight="1">
      <c r="A202" s="23" t="s">
        <v>367</v>
      </c>
      <c r="B202" s="8">
        <f t="shared" si="1"/>
        <v>1.5</v>
      </c>
      <c r="C202" s="20">
        <v>1.5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</row>
    <row r="203" ht="15.75" customHeight="1">
      <c r="A203" s="23" t="s">
        <v>368</v>
      </c>
      <c r="B203" s="8">
        <f t="shared" si="1"/>
        <v>4</v>
      </c>
      <c r="C203" s="20">
        <v>1.5</v>
      </c>
      <c r="D203" s="8"/>
      <c r="E203" s="21">
        <v>2.5</v>
      </c>
      <c r="F203" s="21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</row>
    <row r="204" ht="15.75" customHeight="1">
      <c r="A204" s="23" t="s">
        <v>347</v>
      </c>
      <c r="B204" s="8">
        <f t="shared" si="1"/>
        <v>1.5</v>
      </c>
      <c r="C204" s="20">
        <v>1.5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</row>
    <row r="205" ht="15.75" customHeight="1">
      <c r="A205" s="23" t="s">
        <v>369</v>
      </c>
      <c r="B205" s="8">
        <f t="shared" si="1"/>
        <v>2</v>
      </c>
      <c r="C205" s="8"/>
      <c r="D205" s="20">
        <v>2.0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</row>
    <row r="206" ht="15.75" customHeight="1">
      <c r="A206" s="23" t="s">
        <v>370</v>
      </c>
      <c r="B206" s="8">
        <f t="shared" si="1"/>
        <v>2</v>
      </c>
      <c r="C206" s="8"/>
      <c r="D206" s="20">
        <v>2.0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</row>
    <row r="207" ht="15.75" customHeight="1">
      <c r="A207" s="23" t="s">
        <v>371</v>
      </c>
      <c r="B207" s="8">
        <f t="shared" si="1"/>
        <v>2</v>
      </c>
      <c r="C207" s="8"/>
      <c r="D207" s="20">
        <v>2.0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</row>
    <row r="208" ht="15.75" customHeight="1">
      <c r="A208" s="23" t="s">
        <v>372</v>
      </c>
      <c r="B208" s="8">
        <f t="shared" si="1"/>
        <v>12.75</v>
      </c>
      <c r="C208" s="8"/>
      <c r="D208" s="20">
        <v>2.0</v>
      </c>
      <c r="E208" s="8"/>
      <c r="F208" s="8"/>
      <c r="G208" s="20">
        <v>3.0</v>
      </c>
      <c r="H208" s="8"/>
      <c r="I208" s="8"/>
      <c r="J208" s="8"/>
      <c r="K208" s="8"/>
      <c r="L208" s="20">
        <v>2.0</v>
      </c>
      <c r="M208" s="20">
        <v>1.75</v>
      </c>
      <c r="N208" s="20">
        <v>2.0</v>
      </c>
      <c r="O208" s="20">
        <v>2.0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</row>
    <row r="209" ht="15.75" customHeight="1">
      <c r="A209" s="24" t="s">
        <v>250</v>
      </c>
      <c r="B209" s="8">
        <f t="shared" si="1"/>
        <v>9.75</v>
      </c>
      <c r="C209" s="8"/>
      <c r="D209" s="8"/>
      <c r="E209" s="21">
        <v>2.0</v>
      </c>
      <c r="F209" s="21">
        <v>2.0</v>
      </c>
      <c r="G209" s="20">
        <v>2.0</v>
      </c>
      <c r="H209" s="20">
        <v>2.0</v>
      </c>
      <c r="I209" s="20">
        <v>1.75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</row>
    <row r="210" ht="15.75" customHeight="1">
      <c r="A210" s="24" t="s">
        <v>373</v>
      </c>
      <c r="B210" s="8">
        <f t="shared" si="1"/>
        <v>2</v>
      </c>
      <c r="C210" s="8"/>
      <c r="D210" s="8"/>
      <c r="E210" s="21">
        <v>2.0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</row>
    <row r="211" ht="15.75" customHeight="1">
      <c r="A211" s="24" t="s">
        <v>374</v>
      </c>
      <c r="B211" s="8">
        <f t="shared" si="1"/>
        <v>4</v>
      </c>
      <c r="C211" s="8"/>
      <c r="D211" s="8"/>
      <c r="E211" s="21">
        <v>2.0</v>
      </c>
      <c r="F211" s="8"/>
      <c r="G211" s="8"/>
      <c r="H211" s="20">
        <v>2.0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</row>
    <row r="212" ht="15.75" customHeight="1">
      <c r="A212" s="24" t="s">
        <v>375</v>
      </c>
      <c r="B212" s="8">
        <f t="shared" si="1"/>
        <v>2.5</v>
      </c>
      <c r="C212" s="8"/>
      <c r="D212" s="8"/>
      <c r="E212" s="21">
        <v>2.5</v>
      </c>
      <c r="F212" s="2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</row>
    <row r="213" ht="15.75" customHeight="1">
      <c r="A213" s="24" t="s">
        <v>376</v>
      </c>
      <c r="B213" s="8">
        <f t="shared" si="1"/>
        <v>2.5</v>
      </c>
      <c r="C213" s="8"/>
      <c r="D213" s="8"/>
      <c r="E213" s="21">
        <v>2.5</v>
      </c>
      <c r="F213" s="2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</row>
    <row r="214" ht="15.75" customHeight="1">
      <c r="A214" s="24" t="s">
        <v>377</v>
      </c>
      <c r="B214" s="8">
        <f t="shared" si="1"/>
        <v>2</v>
      </c>
      <c r="C214" s="8"/>
      <c r="D214" s="8"/>
      <c r="E214" s="8"/>
      <c r="F214" s="21">
        <v>2.0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</row>
    <row r="215" ht="15.75" customHeight="1">
      <c r="A215" s="24" t="s">
        <v>378</v>
      </c>
      <c r="B215" s="8">
        <f t="shared" si="1"/>
        <v>3.75</v>
      </c>
      <c r="C215" s="8"/>
      <c r="D215" s="8"/>
      <c r="E215" s="8"/>
      <c r="F215" s="21">
        <v>1.75</v>
      </c>
      <c r="G215" s="8"/>
      <c r="H215" s="8"/>
      <c r="I215" s="8"/>
      <c r="J215" s="8"/>
      <c r="K215" s="8"/>
      <c r="L215" s="20">
        <v>2.0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</row>
    <row r="216" ht="15.75" customHeight="1">
      <c r="A216" s="24" t="s">
        <v>257</v>
      </c>
      <c r="B216" s="8">
        <f t="shared" si="1"/>
        <v>1.75</v>
      </c>
      <c r="C216" s="8"/>
      <c r="D216" s="8"/>
      <c r="E216" s="8"/>
      <c r="F216" s="21">
        <v>1.75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</row>
    <row r="217" ht="15.75" customHeight="1">
      <c r="A217" s="24" t="s">
        <v>379</v>
      </c>
      <c r="B217" s="8">
        <f t="shared" si="1"/>
        <v>1.75</v>
      </c>
      <c r="C217" s="8"/>
      <c r="D217" s="8"/>
      <c r="E217" s="8"/>
      <c r="F217" s="21">
        <v>1.75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</row>
    <row r="218" ht="15.75" customHeight="1">
      <c r="A218" s="24" t="s">
        <v>380</v>
      </c>
      <c r="B218" s="8">
        <f t="shared" si="1"/>
        <v>1.75</v>
      </c>
      <c r="C218" s="8"/>
      <c r="D218" s="8"/>
      <c r="E218" s="8"/>
      <c r="F218" s="21">
        <v>1.75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</row>
    <row r="219" ht="15.75" customHeight="1">
      <c r="A219" s="23" t="s">
        <v>381</v>
      </c>
      <c r="B219" s="8">
        <f t="shared" si="1"/>
        <v>4</v>
      </c>
      <c r="C219" s="8"/>
      <c r="D219" s="8"/>
      <c r="E219" s="8"/>
      <c r="F219" s="8"/>
      <c r="G219" s="20">
        <v>2.0</v>
      </c>
      <c r="H219" s="8"/>
      <c r="I219" s="8"/>
      <c r="J219" s="20">
        <v>2.0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</row>
    <row r="220" ht="15.75" customHeight="1">
      <c r="A220" s="23" t="s">
        <v>382</v>
      </c>
      <c r="B220" s="8">
        <f t="shared" si="1"/>
        <v>2</v>
      </c>
      <c r="C220" s="8"/>
      <c r="D220" s="8"/>
      <c r="E220" s="8"/>
      <c r="F220" s="8"/>
      <c r="G220" s="20">
        <v>2.0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</row>
    <row r="221" ht="15.75" customHeight="1">
      <c r="A221" s="23" t="s">
        <v>383</v>
      </c>
      <c r="B221" s="8">
        <f t="shared" si="1"/>
        <v>2</v>
      </c>
      <c r="C221" s="8"/>
      <c r="D221" s="8"/>
      <c r="E221" s="8"/>
      <c r="F221" s="8"/>
      <c r="G221" s="20">
        <v>2.0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</row>
    <row r="222" ht="15.75" customHeight="1">
      <c r="A222" s="23" t="s">
        <v>245</v>
      </c>
      <c r="B222" s="8">
        <f t="shared" si="1"/>
        <v>5.75</v>
      </c>
      <c r="C222" s="8"/>
      <c r="D222" s="8"/>
      <c r="E222" s="8"/>
      <c r="F222" s="8"/>
      <c r="G222" s="20">
        <v>2.0</v>
      </c>
      <c r="H222" s="8"/>
      <c r="I222" s="20">
        <v>1.75</v>
      </c>
      <c r="J222" s="8"/>
      <c r="K222" s="8"/>
      <c r="L222" s="8"/>
      <c r="M222" s="8"/>
      <c r="N222" s="8"/>
      <c r="O222" s="20">
        <v>2.0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</row>
    <row r="223" ht="15.75" customHeight="1">
      <c r="A223" s="23" t="s">
        <v>384</v>
      </c>
      <c r="B223" s="8">
        <f t="shared" si="1"/>
        <v>3</v>
      </c>
      <c r="C223" s="8"/>
      <c r="D223" s="8"/>
      <c r="E223" s="8"/>
      <c r="F223" s="8"/>
      <c r="G223" s="20">
        <v>3.0</v>
      </c>
      <c r="H223" s="2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</row>
    <row r="224" ht="15.75" customHeight="1">
      <c r="A224" s="23" t="s">
        <v>385</v>
      </c>
      <c r="B224" s="8">
        <f t="shared" si="1"/>
        <v>7</v>
      </c>
      <c r="C224" s="8"/>
      <c r="D224" s="8"/>
      <c r="E224" s="8"/>
      <c r="F224" s="8"/>
      <c r="G224" s="20">
        <v>3.0</v>
      </c>
      <c r="H224" s="20">
        <v>2.0</v>
      </c>
      <c r="I224" s="8"/>
      <c r="J224" s="8"/>
      <c r="K224" s="8"/>
      <c r="L224" s="20">
        <v>2.0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</row>
    <row r="225" ht="15.75" customHeight="1">
      <c r="A225" s="23" t="s">
        <v>386</v>
      </c>
      <c r="B225" s="8">
        <f t="shared" si="1"/>
        <v>3.25</v>
      </c>
      <c r="C225" s="8"/>
      <c r="D225" s="8"/>
      <c r="E225" s="8"/>
      <c r="F225" s="8"/>
      <c r="G225" s="8"/>
      <c r="H225" s="20">
        <v>2.0</v>
      </c>
      <c r="I225" s="20">
        <v>1.25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</row>
    <row r="226" ht="15.75" customHeight="1">
      <c r="A226" s="23" t="s">
        <v>387</v>
      </c>
      <c r="B226" s="8">
        <f t="shared" si="1"/>
        <v>5</v>
      </c>
      <c r="C226" s="8"/>
      <c r="D226" s="8"/>
      <c r="E226" s="8"/>
      <c r="F226" s="8"/>
      <c r="G226" s="8"/>
      <c r="H226" s="20">
        <v>2.0</v>
      </c>
      <c r="I226" s="20">
        <v>1.25</v>
      </c>
      <c r="J226" s="8"/>
      <c r="K226" s="21">
        <v>1.75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</row>
    <row r="227" ht="15.75" customHeight="1">
      <c r="A227" s="23" t="s">
        <v>388</v>
      </c>
      <c r="B227" s="8">
        <f t="shared" si="1"/>
        <v>2</v>
      </c>
      <c r="C227" s="8"/>
      <c r="D227" s="8"/>
      <c r="E227" s="8"/>
      <c r="F227" s="8"/>
      <c r="G227" s="8"/>
      <c r="H227" s="20">
        <v>2.0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</row>
    <row r="228" ht="15.75" customHeight="1">
      <c r="A228" s="23" t="s">
        <v>389</v>
      </c>
      <c r="B228" s="8">
        <f t="shared" si="1"/>
        <v>7.75</v>
      </c>
      <c r="C228" s="8"/>
      <c r="D228" s="8"/>
      <c r="E228" s="8"/>
      <c r="F228" s="8"/>
      <c r="G228" s="8"/>
      <c r="H228" s="20">
        <v>2.0</v>
      </c>
      <c r="I228" s="8"/>
      <c r="J228" s="8"/>
      <c r="K228" s="21">
        <v>2.0</v>
      </c>
      <c r="L228" s="20">
        <v>1.75</v>
      </c>
      <c r="M228" s="8"/>
      <c r="N228" s="8"/>
      <c r="O228" s="20">
        <v>2.0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</row>
    <row r="229" ht="15.75" customHeight="1">
      <c r="A229" s="23" t="s">
        <v>281</v>
      </c>
      <c r="B229" s="8">
        <f t="shared" si="1"/>
        <v>2</v>
      </c>
      <c r="C229" s="8"/>
      <c r="D229" s="8"/>
      <c r="E229" s="8"/>
      <c r="F229" s="8"/>
      <c r="G229" s="8"/>
      <c r="H229" s="20">
        <v>2.0</v>
      </c>
      <c r="I229" s="8"/>
      <c r="J229" s="8"/>
      <c r="K229" s="8"/>
      <c r="L229" s="8"/>
      <c r="M229" s="8"/>
      <c r="N229" s="8"/>
      <c r="O229" s="20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</row>
    <row r="230" ht="15.75" customHeight="1">
      <c r="A230" s="23" t="s">
        <v>282</v>
      </c>
      <c r="B230" s="8">
        <f t="shared" si="1"/>
        <v>1.75</v>
      </c>
      <c r="C230" s="8"/>
      <c r="D230" s="8"/>
      <c r="E230" s="8"/>
      <c r="F230" s="8"/>
      <c r="G230" s="8"/>
      <c r="H230" s="20">
        <v>1.75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</row>
    <row r="231" ht="15.75" customHeight="1">
      <c r="A231" s="23" t="s">
        <v>390</v>
      </c>
      <c r="B231" s="8">
        <f t="shared" si="1"/>
        <v>1.75</v>
      </c>
      <c r="C231" s="8"/>
      <c r="D231" s="8"/>
      <c r="E231" s="8"/>
      <c r="F231" s="8"/>
      <c r="G231" s="8"/>
      <c r="H231" s="20">
        <v>1.75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</row>
    <row r="232" ht="15.75" customHeight="1">
      <c r="A232" s="23" t="s">
        <v>391</v>
      </c>
      <c r="B232" s="8">
        <f t="shared" si="1"/>
        <v>1.75</v>
      </c>
      <c r="C232" s="8"/>
      <c r="D232" s="8"/>
      <c r="E232" s="8"/>
      <c r="F232" s="8"/>
      <c r="G232" s="8"/>
      <c r="H232" s="20">
        <v>1.75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</row>
    <row r="233" ht="15.75" customHeight="1">
      <c r="A233" s="23" t="s">
        <v>392</v>
      </c>
      <c r="B233" s="8">
        <f t="shared" si="1"/>
        <v>5.5</v>
      </c>
      <c r="C233" s="8"/>
      <c r="D233" s="8"/>
      <c r="E233" s="8"/>
      <c r="F233" s="8"/>
      <c r="G233" s="8"/>
      <c r="H233" s="20">
        <v>2.0</v>
      </c>
      <c r="I233" s="20">
        <v>1.75</v>
      </c>
      <c r="J233" s="8"/>
      <c r="K233" s="8"/>
      <c r="L233" s="8"/>
      <c r="M233" s="20">
        <v>1.75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</row>
    <row r="234" ht="15.75" customHeight="1">
      <c r="A234" s="23" t="s">
        <v>393</v>
      </c>
      <c r="B234" s="8">
        <f t="shared" si="1"/>
        <v>1.5</v>
      </c>
      <c r="C234" s="8"/>
      <c r="D234" s="8"/>
      <c r="E234" s="8"/>
      <c r="F234" s="8"/>
      <c r="G234" s="8"/>
      <c r="H234" s="8"/>
      <c r="I234" s="20">
        <v>1.5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</row>
    <row r="235" ht="15.75" customHeight="1">
      <c r="A235" s="23" t="s">
        <v>394</v>
      </c>
      <c r="B235" s="8">
        <f t="shared" si="1"/>
        <v>1.5</v>
      </c>
      <c r="C235" s="8"/>
      <c r="D235" s="8"/>
      <c r="E235" s="8"/>
      <c r="F235" s="8"/>
      <c r="G235" s="8"/>
      <c r="H235" s="8"/>
      <c r="I235" s="20">
        <v>1.5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</row>
    <row r="236" ht="15.75" customHeight="1">
      <c r="A236" s="23" t="s">
        <v>395</v>
      </c>
      <c r="B236" s="8">
        <f t="shared" si="1"/>
        <v>1.75</v>
      </c>
      <c r="C236" s="8"/>
      <c r="D236" s="8"/>
      <c r="E236" s="8"/>
      <c r="F236" s="8"/>
      <c r="G236" s="8"/>
      <c r="H236" s="8"/>
      <c r="I236" s="20">
        <v>1.75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</row>
    <row r="237" ht="15.75" customHeight="1">
      <c r="A237" s="23" t="s">
        <v>396</v>
      </c>
      <c r="B237" s="8">
        <f t="shared" si="1"/>
        <v>3</v>
      </c>
      <c r="C237" s="8"/>
      <c r="D237" s="8"/>
      <c r="E237" s="8"/>
      <c r="F237" s="8"/>
      <c r="G237" s="8"/>
      <c r="H237" s="8"/>
      <c r="I237" s="20">
        <v>1.5</v>
      </c>
      <c r="J237" s="8"/>
      <c r="K237" s="8"/>
      <c r="L237" s="8"/>
      <c r="M237" s="20">
        <v>1.5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</row>
    <row r="238" ht="15.75" customHeight="1">
      <c r="A238" s="23" t="s">
        <v>397</v>
      </c>
      <c r="B238" s="8">
        <f t="shared" si="1"/>
        <v>4.25</v>
      </c>
      <c r="C238" s="8"/>
      <c r="D238" s="8"/>
      <c r="E238" s="8"/>
      <c r="F238" s="8"/>
      <c r="G238" s="8"/>
      <c r="H238" s="8"/>
      <c r="I238" s="20">
        <v>1.5</v>
      </c>
      <c r="J238" s="8"/>
      <c r="K238" s="8"/>
      <c r="L238" s="8"/>
      <c r="M238" s="20">
        <v>1.75</v>
      </c>
      <c r="N238" s="20">
        <v>1.0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</row>
    <row r="239" ht="15.75" customHeight="1">
      <c r="A239" s="23" t="s">
        <v>398</v>
      </c>
      <c r="B239" s="8">
        <f t="shared" si="1"/>
        <v>1.5</v>
      </c>
      <c r="C239" s="8"/>
      <c r="D239" s="8"/>
      <c r="E239" s="8"/>
      <c r="F239" s="8"/>
      <c r="G239" s="8"/>
      <c r="H239" s="8"/>
      <c r="I239" s="8"/>
      <c r="J239" s="20">
        <v>1.5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</row>
    <row r="240" ht="15.75" customHeight="1">
      <c r="A240" s="23" t="s">
        <v>399</v>
      </c>
      <c r="B240" s="8">
        <f t="shared" si="1"/>
        <v>1.5</v>
      </c>
      <c r="C240" s="8"/>
      <c r="D240" s="8"/>
      <c r="E240" s="8"/>
      <c r="F240" s="8"/>
      <c r="G240" s="8"/>
      <c r="H240" s="8"/>
      <c r="I240" s="8"/>
      <c r="J240" s="20">
        <v>1.5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</row>
    <row r="241" ht="15.75" customHeight="1">
      <c r="A241" s="23" t="s">
        <v>400</v>
      </c>
      <c r="B241" s="8">
        <f t="shared" si="1"/>
        <v>1.5</v>
      </c>
      <c r="C241" s="8"/>
      <c r="D241" s="8"/>
      <c r="E241" s="8"/>
      <c r="F241" s="8"/>
      <c r="G241" s="8"/>
      <c r="H241" s="8"/>
      <c r="I241" s="8"/>
      <c r="J241" s="20">
        <v>1.5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</row>
    <row r="242" ht="15.75" customHeight="1">
      <c r="A242" s="23" t="s">
        <v>401</v>
      </c>
      <c r="B242" s="8">
        <f t="shared" si="1"/>
        <v>1.5</v>
      </c>
      <c r="C242" s="8"/>
      <c r="D242" s="8"/>
      <c r="E242" s="8"/>
      <c r="F242" s="8"/>
      <c r="G242" s="8"/>
      <c r="H242" s="8"/>
      <c r="I242" s="8"/>
      <c r="J242" s="20">
        <v>1.5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</row>
    <row r="243" ht="15.75" customHeight="1">
      <c r="A243" s="23" t="s">
        <v>402</v>
      </c>
      <c r="B243" s="8">
        <f t="shared" si="1"/>
        <v>1.5</v>
      </c>
      <c r="C243" s="8"/>
      <c r="D243" s="8"/>
      <c r="E243" s="8"/>
      <c r="F243" s="8"/>
      <c r="G243" s="8"/>
      <c r="H243" s="8"/>
      <c r="I243" s="8"/>
      <c r="J243" s="20">
        <v>1.5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</row>
    <row r="244" ht="15.75" customHeight="1">
      <c r="A244" s="23" t="s">
        <v>403</v>
      </c>
      <c r="B244" s="8">
        <f t="shared" si="1"/>
        <v>1.5</v>
      </c>
      <c r="C244" s="8"/>
      <c r="D244" s="8"/>
      <c r="E244" s="8"/>
      <c r="F244" s="8"/>
      <c r="G244" s="8"/>
      <c r="H244" s="8"/>
      <c r="I244" s="8"/>
      <c r="J244" s="20">
        <v>1.5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</row>
    <row r="245" ht="15.75" customHeight="1">
      <c r="A245" s="23" t="s">
        <v>404</v>
      </c>
      <c r="B245" s="8">
        <f t="shared" si="1"/>
        <v>1.5</v>
      </c>
      <c r="C245" s="8"/>
      <c r="D245" s="8"/>
      <c r="E245" s="8"/>
      <c r="F245" s="8"/>
      <c r="G245" s="8"/>
      <c r="H245" s="8"/>
      <c r="I245" s="8"/>
      <c r="J245" s="20">
        <v>1.5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</row>
    <row r="246" ht="15.75" customHeight="1">
      <c r="A246" s="23" t="s">
        <v>405</v>
      </c>
      <c r="B246" s="8">
        <f t="shared" si="1"/>
        <v>1.5</v>
      </c>
      <c r="C246" s="8"/>
      <c r="D246" s="8"/>
      <c r="E246" s="8"/>
      <c r="F246" s="8"/>
      <c r="G246" s="8"/>
      <c r="H246" s="8"/>
      <c r="I246" s="8"/>
      <c r="J246" s="20">
        <v>1.5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</row>
    <row r="247" ht="15.75" customHeight="1">
      <c r="A247" s="23" t="s">
        <v>406</v>
      </c>
      <c r="B247" s="8">
        <f t="shared" si="1"/>
        <v>1.5</v>
      </c>
      <c r="C247" s="8"/>
      <c r="D247" s="8"/>
      <c r="E247" s="8"/>
      <c r="F247" s="8"/>
      <c r="G247" s="8"/>
      <c r="H247" s="8"/>
      <c r="I247" s="8"/>
      <c r="J247" s="20">
        <v>1.5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</row>
    <row r="248" ht="15.75" customHeight="1">
      <c r="A248" s="23" t="s">
        <v>407</v>
      </c>
      <c r="B248" s="8">
        <f t="shared" si="1"/>
        <v>1.5</v>
      </c>
      <c r="C248" s="8"/>
      <c r="D248" s="8"/>
      <c r="E248" s="8"/>
      <c r="F248" s="8"/>
      <c r="G248" s="8"/>
      <c r="H248" s="8"/>
      <c r="I248" s="8"/>
      <c r="J248" s="20">
        <v>1.5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</row>
    <row r="249" ht="15.75" customHeight="1">
      <c r="A249" s="23" t="s">
        <v>408</v>
      </c>
      <c r="B249" s="8">
        <f t="shared" si="1"/>
        <v>1.5</v>
      </c>
      <c r="C249" s="8"/>
      <c r="D249" s="8"/>
      <c r="E249" s="8"/>
      <c r="F249" s="8"/>
      <c r="G249" s="8"/>
      <c r="H249" s="8"/>
      <c r="I249" s="8"/>
      <c r="J249" s="20">
        <v>1.5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</row>
    <row r="250" ht="15.75" customHeight="1">
      <c r="A250" s="23" t="s">
        <v>409</v>
      </c>
      <c r="B250" s="8">
        <f t="shared" si="1"/>
        <v>1.5</v>
      </c>
      <c r="C250" s="8"/>
      <c r="D250" s="8"/>
      <c r="E250" s="8"/>
      <c r="F250" s="8"/>
      <c r="G250" s="8"/>
      <c r="H250" s="8"/>
      <c r="I250" s="8"/>
      <c r="J250" s="20">
        <v>1.5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</row>
    <row r="251" ht="15.75" customHeight="1">
      <c r="A251" s="23" t="s">
        <v>410</v>
      </c>
      <c r="B251" s="8">
        <f t="shared" si="1"/>
        <v>1.5</v>
      </c>
      <c r="C251" s="8"/>
      <c r="D251" s="8"/>
      <c r="E251" s="8"/>
      <c r="F251" s="8"/>
      <c r="G251" s="8"/>
      <c r="H251" s="8"/>
      <c r="I251" s="8"/>
      <c r="J251" s="20">
        <v>1.5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</row>
    <row r="252" ht="15.75" customHeight="1">
      <c r="A252" s="23" t="s">
        <v>411</v>
      </c>
      <c r="B252" s="8">
        <f t="shared" si="1"/>
        <v>1.5</v>
      </c>
      <c r="C252" s="8"/>
      <c r="D252" s="8"/>
      <c r="E252" s="8"/>
      <c r="F252" s="8"/>
      <c r="G252" s="8"/>
      <c r="H252" s="8"/>
      <c r="I252" s="8"/>
      <c r="J252" s="20">
        <v>1.5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</row>
    <row r="253" ht="15.75" customHeight="1">
      <c r="A253" s="23" t="s">
        <v>412</v>
      </c>
      <c r="B253" s="8">
        <f t="shared" si="1"/>
        <v>1.5</v>
      </c>
      <c r="C253" s="8"/>
      <c r="D253" s="8"/>
      <c r="E253" s="8"/>
      <c r="F253" s="8"/>
      <c r="G253" s="8"/>
      <c r="H253" s="8"/>
      <c r="I253" s="8"/>
      <c r="J253" s="20">
        <v>1.5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</row>
    <row r="254" ht="15.75" customHeight="1">
      <c r="A254" s="23" t="s">
        <v>413</v>
      </c>
      <c r="B254" s="8">
        <f t="shared" si="1"/>
        <v>1.5</v>
      </c>
      <c r="C254" s="8"/>
      <c r="D254" s="8"/>
      <c r="E254" s="8"/>
      <c r="F254" s="8"/>
      <c r="G254" s="8"/>
      <c r="H254" s="8"/>
      <c r="I254" s="8"/>
      <c r="J254" s="20">
        <v>1.5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</row>
    <row r="255" ht="15.75" customHeight="1">
      <c r="A255" s="23" t="s">
        <v>414</v>
      </c>
      <c r="B255" s="8">
        <f t="shared" si="1"/>
        <v>1.5</v>
      </c>
      <c r="C255" s="8"/>
      <c r="D255" s="8"/>
      <c r="E255" s="8"/>
      <c r="F255" s="8"/>
      <c r="G255" s="8"/>
      <c r="H255" s="8"/>
      <c r="I255" s="8"/>
      <c r="J255" s="20">
        <v>1.5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</row>
    <row r="256" ht="15.75" customHeight="1">
      <c r="A256" s="23" t="s">
        <v>415</v>
      </c>
      <c r="B256" s="8">
        <f t="shared" si="1"/>
        <v>2</v>
      </c>
      <c r="C256" s="8"/>
      <c r="D256" s="8"/>
      <c r="E256" s="8"/>
      <c r="F256" s="8"/>
      <c r="G256" s="8"/>
      <c r="H256" s="8"/>
      <c r="I256" s="8"/>
      <c r="J256" s="20">
        <v>2.0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</row>
    <row r="257" ht="15.75" customHeight="1">
      <c r="A257" s="23" t="s">
        <v>416</v>
      </c>
      <c r="B257" s="8">
        <f t="shared" si="1"/>
        <v>1.5</v>
      </c>
      <c r="C257" s="8"/>
      <c r="D257" s="8"/>
      <c r="E257" s="8"/>
      <c r="F257" s="8"/>
      <c r="G257" s="8"/>
      <c r="H257" s="8"/>
      <c r="I257" s="8"/>
      <c r="J257" s="20">
        <v>1.5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</row>
    <row r="258" ht="15.75" customHeight="1">
      <c r="A258" s="23" t="s">
        <v>417</v>
      </c>
      <c r="B258" s="8">
        <f t="shared" si="1"/>
        <v>1.5</v>
      </c>
      <c r="C258" s="8"/>
      <c r="D258" s="8"/>
      <c r="E258" s="8"/>
      <c r="F258" s="8"/>
      <c r="G258" s="8"/>
      <c r="H258" s="8"/>
      <c r="I258" s="8"/>
      <c r="J258" s="20">
        <v>1.5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</row>
    <row r="259" ht="15.75" customHeight="1">
      <c r="A259" s="24" t="s">
        <v>418</v>
      </c>
      <c r="B259" s="8">
        <f t="shared" si="1"/>
        <v>2</v>
      </c>
      <c r="C259" s="8"/>
      <c r="D259" s="8"/>
      <c r="E259" s="8"/>
      <c r="F259" s="8"/>
      <c r="G259" s="8"/>
      <c r="H259" s="8"/>
      <c r="I259" s="8"/>
      <c r="J259" s="8"/>
      <c r="K259" s="21">
        <v>2.0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</row>
    <row r="260" ht="15.75" customHeight="1">
      <c r="A260" s="24" t="s">
        <v>419</v>
      </c>
      <c r="B260" s="8">
        <f t="shared" si="1"/>
        <v>2</v>
      </c>
      <c r="C260" s="8"/>
      <c r="D260" s="8"/>
      <c r="E260" s="8"/>
      <c r="F260" s="8"/>
      <c r="G260" s="8"/>
      <c r="H260" s="8"/>
      <c r="I260" s="8"/>
      <c r="J260" s="8"/>
      <c r="K260" s="21">
        <v>2.0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</row>
    <row r="261" ht="15.75" customHeight="1">
      <c r="A261" s="24" t="s">
        <v>420</v>
      </c>
      <c r="B261" s="8">
        <f t="shared" si="1"/>
        <v>4</v>
      </c>
      <c r="C261" s="8"/>
      <c r="D261" s="8"/>
      <c r="E261" s="8"/>
      <c r="F261" s="8"/>
      <c r="G261" s="8"/>
      <c r="H261" s="8"/>
      <c r="I261" s="8"/>
      <c r="J261" s="8"/>
      <c r="K261" s="21">
        <v>2.0</v>
      </c>
      <c r="L261" s="8"/>
      <c r="M261" s="8"/>
      <c r="N261" s="20">
        <v>2.0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</row>
    <row r="262" ht="15.75" customHeight="1">
      <c r="A262" s="24" t="s">
        <v>421</v>
      </c>
      <c r="B262" s="8">
        <f t="shared" si="1"/>
        <v>2</v>
      </c>
      <c r="C262" s="8"/>
      <c r="D262" s="8"/>
      <c r="E262" s="8"/>
      <c r="F262" s="8"/>
      <c r="G262" s="8"/>
      <c r="H262" s="8"/>
      <c r="I262" s="8"/>
      <c r="J262" s="8"/>
      <c r="K262" s="21">
        <v>2.0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</row>
    <row r="263" ht="15.75" customHeight="1">
      <c r="A263" s="24" t="s">
        <v>422</v>
      </c>
      <c r="B263" s="8">
        <f t="shared" si="1"/>
        <v>1.75</v>
      </c>
      <c r="C263" s="8"/>
      <c r="D263" s="8"/>
      <c r="E263" s="8"/>
      <c r="F263" s="8"/>
      <c r="G263" s="8"/>
      <c r="H263" s="8"/>
      <c r="I263" s="8"/>
      <c r="J263" s="8"/>
      <c r="K263" s="21">
        <v>1.75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</row>
    <row r="264" ht="15.75" customHeight="1">
      <c r="A264" s="24" t="s">
        <v>423</v>
      </c>
      <c r="B264" s="8">
        <f t="shared" si="1"/>
        <v>1.75</v>
      </c>
      <c r="C264" s="8"/>
      <c r="D264" s="8"/>
      <c r="E264" s="8"/>
      <c r="F264" s="8"/>
      <c r="G264" s="8"/>
      <c r="H264" s="8"/>
      <c r="I264" s="8"/>
      <c r="J264" s="8"/>
      <c r="K264" s="21">
        <v>1.75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</row>
    <row r="265" ht="15.75" customHeight="1">
      <c r="A265" s="24" t="s">
        <v>424</v>
      </c>
      <c r="B265" s="8">
        <f t="shared" si="1"/>
        <v>2</v>
      </c>
      <c r="C265" s="8"/>
      <c r="D265" s="8"/>
      <c r="E265" s="8"/>
      <c r="F265" s="8"/>
      <c r="G265" s="8"/>
      <c r="H265" s="8"/>
      <c r="I265" s="8"/>
      <c r="J265" s="8"/>
      <c r="K265" s="21">
        <v>2.0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</row>
    <row r="266" ht="15.75" customHeight="1">
      <c r="A266" s="24" t="s">
        <v>425</v>
      </c>
      <c r="B266" s="8">
        <f t="shared" si="1"/>
        <v>2</v>
      </c>
      <c r="C266" s="8"/>
      <c r="D266" s="8"/>
      <c r="E266" s="8"/>
      <c r="F266" s="8"/>
      <c r="G266" s="8"/>
      <c r="H266" s="8"/>
      <c r="I266" s="8"/>
      <c r="J266" s="8"/>
      <c r="K266" s="21">
        <v>2.0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</row>
    <row r="267" ht="15.75" customHeight="1">
      <c r="A267" s="24" t="s">
        <v>426</v>
      </c>
      <c r="B267" s="8">
        <f t="shared" si="1"/>
        <v>2</v>
      </c>
      <c r="C267" s="8"/>
      <c r="D267" s="8"/>
      <c r="E267" s="8"/>
      <c r="F267" s="8"/>
      <c r="G267" s="8"/>
      <c r="H267" s="8"/>
      <c r="I267" s="8"/>
      <c r="J267" s="8"/>
      <c r="K267" s="21">
        <v>2.0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</row>
    <row r="268" ht="15.75" customHeight="1">
      <c r="A268" s="24" t="s">
        <v>427</v>
      </c>
      <c r="B268" s="8">
        <f t="shared" si="1"/>
        <v>2</v>
      </c>
      <c r="C268" s="8"/>
      <c r="D268" s="8"/>
      <c r="E268" s="8"/>
      <c r="F268" s="8"/>
      <c r="G268" s="8"/>
      <c r="H268" s="8"/>
      <c r="I268" s="8"/>
      <c r="J268" s="8"/>
      <c r="K268" s="21">
        <v>2.0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</row>
    <row r="269" ht="15.75" customHeight="1">
      <c r="A269" s="24" t="s">
        <v>428</v>
      </c>
      <c r="B269" s="8">
        <f t="shared" si="1"/>
        <v>2</v>
      </c>
      <c r="C269" s="8"/>
      <c r="D269" s="8"/>
      <c r="E269" s="8"/>
      <c r="F269" s="8"/>
      <c r="G269" s="8"/>
      <c r="H269" s="8"/>
      <c r="I269" s="8"/>
      <c r="J269" s="8"/>
      <c r="K269" s="21">
        <v>2.0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</row>
    <row r="270" ht="15.75" customHeight="1">
      <c r="A270" s="24" t="s">
        <v>429</v>
      </c>
      <c r="B270" s="8">
        <f t="shared" si="1"/>
        <v>2</v>
      </c>
      <c r="C270" s="8"/>
      <c r="D270" s="8"/>
      <c r="E270" s="8"/>
      <c r="F270" s="8"/>
      <c r="G270" s="8"/>
      <c r="H270" s="8"/>
      <c r="I270" s="8"/>
      <c r="J270" s="8"/>
      <c r="K270" s="21">
        <v>2.0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</row>
    <row r="271" ht="15.75" customHeight="1">
      <c r="A271" s="24" t="s">
        <v>430</v>
      </c>
      <c r="B271" s="8">
        <f t="shared" si="1"/>
        <v>2</v>
      </c>
      <c r="C271" s="8"/>
      <c r="D271" s="8"/>
      <c r="E271" s="8"/>
      <c r="F271" s="8"/>
      <c r="G271" s="8"/>
      <c r="H271" s="8"/>
      <c r="I271" s="8"/>
      <c r="J271" s="8"/>
      <c r="K271" s="21">
        <v>2.0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</row>
    <row r="272" ht="15.75" customHeight="1">
      <c r="A272" s="23" t="s">
        <v>431</v>
      </c>
      <c r="B272" s="8">
        <f t="shared" si="1"/>
        <v>1.75</v>
      </c>
      <c r="C272" s="8"/>
      <c r="D272" s="8"/>
      <c r="E272" s="8"/>
      <c r="F272" s="8"/>
      <c r="G272" s="8"/>
      <c r="H272" s="8"/>
      <c r="I272" s="8"/>
      <c r="J272" s="8"/>
      <c r="K272" s="8"/>
      <c r="L272" s="20">
        <v>1.75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</row>
    <row r="273" ht="15.75" customHeight="1">
      <c r="A273" s="23" t="s">
        <v>432</v>
      </c>
      <c r="B273" s="8">
        <f t="shared" si="1"/>
        <v>2</v>
      </c>
      <c r="C273" s="8"/>
      <c r="D273" s="8"/>
      <c r="E273" s="8"/>
      <c r="F273" s="8"/>
      <c r="G273" s="8"/>
      <c r="H273" s="8"/>
      <c r="I273" s="8"/>
      <c r="J273" s="8"/>
      <c r="K273" s="8"/>
      <c r="L273" s="20">
        <v>2.0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</row>
    <row r="274" ht="15.75" customHeight="1">
      <c r="A274" s="23" t="s">
        <v>264</v>
      </c>
      <c r="B274" s="8">
        <f t="shared" si="1"/>
        <v>3.5</v>
      </c>
      <c r="C274" s="8"/>
      <c r="D274" s="8"/>
      <c r="E274" s="8"/>
      <c r="F274" s="8"/>
      <c r="G274" s="8"/>
      <c r="H274" s="8"/>
      <c r="I274" s="8"/>
      <c r="J274" s="8"/>
      <c r="K274" s="8"/>
      <c r="L274" s="20">
        <v>1.75</v>
      </c>
      <c r="M274" s="8"/>
      <c r="N274" s="20">
        <v>1.75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</row>
    <row r="275" ht="15.75" customHeight="1">
      <c r="A275" s="23" t="s">
        <v>433</v>
      </c>
      <c r="B275" s="8">
        <f t="shared" si="1"/>
        <v>1</v>
      </c>
      <c r="C275" s="8"/>
      <c r="D275" s="8"/>
      <c r="E275" s="8"/>
      <c r="F275" s="8"/>
      <c r="G275" s="8"/>
      <c r="H275" s="8"/>
      <c r="I275" s="8"/>
      <c r="J275" s="8"/>
      <c r="K275" s="8"/>
      <c r="L275" s="20">
        <v>1.0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</row>
    <row r="276" ht="15.75" customHeight="1">
      <c r="A276" s="23" t="s">
        <v>434</v>
      </c>
      <c r="B276" s="8">
        <f t="shared" si="1"/>
        <v>2</v>
      </c>
      <c r="C276" s="8"/>
      <c r="D276" s="8"/>
      <c r="E276" s="8"/>
      <c r="F276" s="8"/>
      <c r="G276" s="8"/>
      <c r="H276" s="8"/>
      <c r="I276" s="8"/>
      <c r="J276" s="8"/>
      <c r="K276" s="8"/>
      <c r="L276" s="20">
        <v>2.0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</row>
    <row r="277" ht="15.75" customHeight="1">
      <c r="A277" s="23" t="s">
        <v>288</v>
      </c>
      <c r="B277" s="8">
        <f t="shared" si="1"/>
        <v>4</v>
      </c>
      <c r="C277" s="8"/>
      <c r="D277" s="8"/>
      <c r="E277" s="8"/>
      <c r="F277" s="8"/>
      <c r="G277" s="8"/>
      <c r="H277" s="8"/>
      <c r="I277" s="8"/>
      <c r="J277" s="8"/>
      <c r="K277" s="8"/>
      <c r="L277" s="20">
        <v>2.0</v>
      </c>
      <c r="M277" s="8"/>
      <c r="N277" s="20">
        <v>2.0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</row>
    <row r="278" ht="15.75" customHeight="1">
      <c r="A278" s="23" t="s">
        <v>435</v>
      </c>
      <c r="B278" s="8">
        <f t="shared" si="1"/>
        <v>2</v>
      </c>
      <c r="C278" s="8"/>
      <c r="D278" s="8"/>
      <c r="E278" s="8"/>
      <c r="F278" s="8"/>
      <c r="G278" s="8"/>
      <c r="H278" s="8"/>
      <c r="I278" s="8"/>
      <c r="J278" s="8"/>
      <c r="K278" s="8"/>
      <c r="L278" s="20">
        <v>2.0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</row>
    <row r="279" ht="15.75" customHeight="1">
      <c r="A279" s="23" t="s">
        <v>301</v>
      </c>
      <c r="B279" s="8">
        <f t="shared" si="1"/>
        <v>2</v>
      </c>
      <c r="C279" s="8"/>
      <c r="D279" s="8"/>
      <c r="E279" s="8"/>
      <c r="F279" s="8"/>
      <c r="G279" s="8"/>
      <c r="H279" s="8"/>
      <c r="I279" s="8"/>
      <c r="J279" s="8"/>
      <c r="K279" s="8"/>
      <c r="L279" s="20">
        <v>2.0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</row>
    <row r="280" ht="15.75" customHeight="1">
      <c r="A280" s="23" t="s">
        <v>436</v>
      </c>
      <c r="B280" s="8">
        <f t="shared" si="1"/>
        <v>1.75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20">
        <v>1.75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</row>
    <row r="281" ht="15.75" customHeight="1">
      <c r="A281" s="23" t="s">
        <v>437</v>
      </c>
      <c r="B281" s="8">
        <f t="shared" si="1"/>
        <v>1.75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20">
        <v>1.75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</row>
    <row r="282" ht="15.75" customHeight="1">
      <c r="A282" s="23" t="s">
        <v>258</v>
      </c>
      <c r="B282" s="8">
        <f t="shared" si="1"/>
        <v>5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20">
        <v>1.75</v>
      </c>
      <c r="N282" s="20">
        <v>1.5</v>
      </c>
      <c r="O282" s="20">
        <v>1.75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</row>
    <row r="283" ht="15.75" customHeight="1">
      <c r="A283" s="23" t="s">
        <v>438</v>
      </c>
      <c r="B283" s="8">
        <f t="shared" si="1"/>
        <v>1.75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20">
        <v>1.75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</row>
    <row r="284" ht="15.75" customHeight="1">
      <c r="A284" s="23" t="s">
        <v>439</v>
      </c>
      <c r="B284" s="8">
        <f t="shared" si="1"/>
        <v>1.75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20">
        <v>1.75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</row>
    <row r="285" ht="15.75" customHeight="1">
      <c r="A285" s="23" t="s">
        <v>273</v>
      </c>
      <c r="B285" s="8">
        <f t="shared" si="1"/>
        <v>1.75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20">
        <v>1.75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</row>
    <row r="286" ht="15.75" customHeight="1">
      <c r="A286" s="23" t="s">
        <v>440</v>
      </c>
      <c r="B286" s="8">
        <f t="shared" si="1"/>
        <v>2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20">
        <v>2.0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</row>
    <row r="287" ht="15.75" customHeight="1">
      <c r="A287" s="23" t="s">
        <v>441</v>
      </c>
      <c r="B287" s="8">
        <f t="shared" si="1"/>
        <v>2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20">
        <v>2.0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</row>
    <row r="288" ht="15.75" customHeight="1">
      <c r="A288" s="23" t="s">
        <v>442</v>
      </c>
      <c r="B288" s="8">
        <f t="shared" si="1"/>
        <v>2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20">
        <v>2.0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</row>
    <row r="289" ht="15.75" customHeight="1">
      <c r="A289" s="23" t="s">
        <v>443</v>
      </c>
      <c r="B289" s="8">
        <f t="shared" si="1"/>
        <v>1.75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20">
        <v>1.75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</row>
    <row r="290" ht="15.75" customHeight="1">
      <c r="A290" s="23" t="s">
        <v>444</v>
      </c>
      <c r="B290" s="8">
        <f t="shared" si="1"/>
        <v>1.75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20">
        <v>1.75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</row>
    <row r="291" ht="15.75" customHeight="1">
      <c r="A291" s="23" t="s">
        <v>445</v>
      </c>
      <c r="B291" s="8">
        <f t="shared" si="1"/>
        <v>1.75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20">
        <v>1.75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</row>
    <row r="292" ht="15.75" customHeight="1">
      <c r="A292" s="23" t="s">
        <v>446</v>
      </c>
      <c r="B292" s="8">
        <f t="shared" si="1"/>
        <v>2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20">
        <v>2.0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</row>
    <row r="293" ht="15.75" customHeight="1">
      <c r="A293" s="23" t="s">
        <v>284</v>
      </c>
      <c r="B293" s="8">
        <f t="shared" si="1"/>
        <v>1.75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20">
        <v>1.75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</row>
    <row r="294" ht="15.75" customHeight="1">
      <c r="A294" s="23" t="s">
        <v>447</v>
      </c>
      <c r="B294" s="8">
        <f t="shared" si="1"/>
        <v>1.75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20">
        <v>1.75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</row>
    <row r="295" ht="15.75" customHeight="1">
      <c r="A295" s="23" t="s">
        <v>448</v>
      </c>
      <c r="B295" s="8">
        <f t="shared" si="1"/>
        <v>2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20">
        <v>2.0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</row>
    <row r="296" ht="15.75" customHeight="1">
      <c r="A296" s="22"/>
      <c r="B296" s="8">
        <f t="shared" si="1"/>
        <v>0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</row>
    <row r="297" ht="15.75" customHeight="1">
      <c r="A297" s="22"/>
      <c r="B297" s="8">
        <f t="shared" si="1"/>
        <v>0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</row>
    <row r="298" ht="15.75" customHeight="1">
      <c r="A298" s="22"/>
      <c r="B298" s="8">
        <f t="shared" si="1"/>
        <v>0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</row>
    <row r="299" ht="15.75" customHeight="1">
      <c r="A299" s="22"/>
      <c r="B299" s="8">
        <f t="shared" si="1"/>
        <v>0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</row>
    <row r="300" ht="15.75" customHeight="1">
      <c r="A300" s="22"/>
      <c r="B300" s="8">
        <f t="shared" si="1"/>
        <v>0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</row>
    <row r="301" ht="15.75" customHeight="1">
      <c r="A301" s="22"/>
      <c r="B301" s="8">
        <f t="shared" si="1"/>
        <v>0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</row>
    <row r="302" ht="15.75" customHeight="1">
      <c r="A302" s="22"/>
      <c r="B302" s="8">
        <f t="shared" si="1"/>
        <v>0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</row>
    <row r="303" ht="15.75" customHeight="1">
      <c r="A303" s="22"/>
      <c r="B303" s="8">
        <f t="shared" si="1"/>
        <v>0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</row>
    <row r="304" ht="15.75" customHeight="1">
      <c r="A304" s="22"/>
      <c r="B304" s="8">
        <f t="shared" si="1"/>
        <v>0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</row>
    <row r="305" ht="15.75" customHeight="1">
      <c r="A305" s="22"/>
      <c r="B305" s="8">
        <f t="shared" si="1"/>
        <v>0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</row>
    <row r="306" ht="15.75" customHeight="1">
      <c r="A306" s="22"/>
      <c r="B306" s="8">
        <f t="shared" si="1"/>
        <v>0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</row>
    <row r="307" ht="15.75" customHeight="1">
      <c r="A307" s="22"/>
      <c r="B307" s="8">
        <f t="shared" si="1"/>
        <v>0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</row>
    <row r="308" ht="15.75" customHeight="1">
      <c r="A308" s="22"/>
      <c r="B308" s="8">
        <f t="shared" si="1"/>
        <v>0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</row>
    <row r="309" ht="15.75" customHeight="1">
      <c r="A309" s="22"/>
      <c r="B309" s="8">
        <f t="shared" si="1"/>
        <v>0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</row>
    <row r="310" ht="15.75" customHeight="1">
      <c r="A310" s="22"/>
      <c r="B310" s="8">
        <f t="shared" si="1"/>
        <v>0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</row>
    <row r="311" ht="15.75" customHeight="1">
      <c r="A311" s="22"/>
      <c r="B311" s="8">
        <f t="shared" si="1"/>
        <v>0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</row>
    <row r="312" ht="15.75" customHeight="1">
      <c r="A312" s="22"/>
      <c r="B312" s="8">
        <f t="shared" si="1"/>
        <v>0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</row>
    <row r="313" ht="15.75" customHeight="1">
      <c r="A313" s="22"/>
      <c r="B313" s="8">
        <f t="shared" si="1"/>
        <v>0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</row>
    <row r="314" ht="15.75" customHeight="1">
      <c r="A314" s="22"/>
      <c r="B314" s="8">
        <f t="shared" si="1"/>
        <v>0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</row>
    <row r="315" ht="15.75" customHeight="1">
      <c r="A315" s="22"/>
      <c r="B315" s="8">
        <f t="shared" si="1"/>
        <v>0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</row>
    <row r="316" ht="15.75" customHeight="1">
      <c r="A316" s="22"/>
      <c r="B316" s="8">
        <f t="shared" si="1"/>
        <v>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</row>
    <row r="317" ht="15.75" customHeight="1">
      <c r="A317" s="22"/>
      <c r="B317" s="8">
        <f t="shared" si="1"/>
        <v>0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</row>
    <row r="318" ht="15.75" customHeight="1">
      <c r="A318" s="22"/>
      <c r="B318" s="8">
        <f t="shared" si="1"/>
        <v>0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</row>
    <row r="319" ht="15.75" customHeight="1">
      <c r="A319" s="22"/>
      <c r="B319" s="8">
        <f t="shared" si="1"/>
        <v>0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</row>
    <row r="320" ht="15.75" customHeight="1">
      <c r="A320" s="22"/>
      <c r="B320" s="8">
        <f t="shared" si="1"/>
        <v>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</row>
    <row r="321" ht="15.75" customHeight="1">
      <c r="A321" s="22"/>
      <c r="B321" s="8">
        <f t="shared" si="1"/>
        <v>0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</row>
    <row r="322" ht="15.75" customHeight="1">
      <c r="A322" s="22"/>
      <c r="B322" s="8">
        <f t="shared" si="1"/>
        <v>0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</row>
    <row r="323" ht="15.75" customHeight="1">
      <c r="A323" s="22"/>
      <c r="B323" s="8">
        <f t="shared" si="1"/>
        <v>0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</row>
    <row r="324" ht="15.75" customHeight="1">
      <c r="A324" s="22"/>
      <c r="B324" s="8">
        <f t="shared" si="1"/>
        <v>0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</row>
    <row r="325" ht="15.75" customHeight="1">
      <c r="A325" s="22"/>
      <c r="B325" s="8">
        <f t="shared" si="1"/>
        <v>0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</row>
    <row r="326" ht="15.75" customHeight="1">
      <c r="A326" s="22"/>
      <c r="B326" s="8">
        <f t="shared" si="1"/>
        <v>0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</row>
    <row r="327" ht="15.75" customHeight="1">
      <c r="A327" s="22"/>
      <c r="B327" s="8">
        <f t="shared" si="1"/>
        <v>0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</row>
    <row r="328" ht="15.75" customHeight="1">
      <c r="A328" s="22"/>
      <c r="B328" s="8">
        <f t="shared" si="1"/>
        <v>0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</row>
    <row r="329" ht="15.75" customHeight="1">
      <c r="A329" s="22"/>
      <c r="B329" s="8">
        <f t="shared" si="1"/>
        <v>0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</row>
    <row r="330" ht="15.75" customHeight="1">
      <c r="A330" s="22"/>
      <c r="B330" s="8">
        <f t="shared" si="1"/>
        <v>0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</row>
    <row r="331" ht="15.75" customHeight="1">
      <c r="A331" s="22"/>
      <c r="B331" s="8">
        <f t="shared" si="1"/>
        <v>0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</row>
    <row r="332" ht="15.75" customHeight="1">
      <c r="A332" s="22"/>
      <c r="B332" s="8">
        <f t="shared" si="1"/>
        <v>0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</row>
    <row r="333" ht="15.75" customHeight="1">
      <c r="A333" s="22"/>
      <c r="B333" s="8">
        <f t="shared" si="1"/>
        <v>0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</row>
    <row r="334" ht="15.75" customHeight="1">
      <c r="A334" s="22"/>
      <c r="B334" s="8">
        <f t="shared" si="1"/>
        <v>0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</row>
    <row r="335" ht="15.75" customHeight="1">
      <c r="A335" s="22"/>
      <c r="B335" s="8">
        <f t="shared" si="1"/>
        <v>0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</row>
    <row r="336" ht="15.75" customHeight="1">
      <c r="A336" s="22"/>
      <c r="B336" s="8">
        <f t="shared" si="1"/>
        <v>0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</row>
    <row r="337" ht="15.75" customHeight="1">
      <c r="A337" s="22"/>
      <c r="B337" s="8">
        <f t="shared" si="1"/>
        <v>0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</row>
    <row r="338" ht="15.75" customHeight="1">
      <c r="A338" s="22"/>
      <c r="B338" s="8">
        <f t="shared" si="1"/>
        <v>0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</row>
    <row r="339" ht="15.75" customHeight="1">
      <c r="A339" s="22"/>
      <c r="B339" s="8">
        <f t="shared" si="1"/>
        <v>0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</row>
    <row r="340" ht="15.75" customHeight="1">
      <c r="A340" s="22"/>
      <c r="B340" s="8">
        <f t="shared" si="1"/>
        <v>0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</row>
    <row r="341" ht="15.75" customHeight="1">
      <c r="A341" s="22"/>
      <c r="B341" s="8">
        <f t="shared" si="1"/>
        <v>0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</row>
    <row r="342" ht="15.75" customHeight="1">
      <c r="A342" s="22"/>
      <c r="B342" s="8">
        <f t="shared" si="1"/>
        <v>0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</row>
    <row r="343" ht="15.75" customHeight="1">
      <c r="A343" s="22"/>
      <c r="B343" s="8">
        <f t="shared" si="1"/>
        <v>0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</row>
    <row r="344" ht="15.75" customHeight="1">
      <c r="A344" s="22"/>
      <c r="B344" s="8">
        <f t="shared" si="1"/>
        <v>0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</row>
    <row r="345" ht="15.75" customHeight="1">
      <c r="A345" s="22"/>
      <c r="B345" s="8">
        <f t="shared" si="1"/>
        <v>0</v>
      </c>
      <c r="C345" s="8"/>
      <c r="D345" s="8"/>
      <c r="E345" s="8"/>
      <c r="F345" s="8"/>
      <c r="G345" s="8"/>
      <c r="H345" s="8"/>
      <c r="I345" s="8"/>
      <c r="J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</row>
    <row r="346" ht="15.75" customHeight="1">
      <c r="A346" s="22"/>
      <c r="B346" s="8">
        <f t="shared" si="1"/>
        <v>0</v>
      </c>
      <c r="C346" s="8"/>
      <c r="D346" s="8"/>
      <c r="E346" s="8"/>
      <c r="F346" s="8"/>
      <c r="G346" s="8"/>
      <c r="H346" s="8"/>
      <c r="I346" s="8"/>
      <c r="J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</row>
    <row r="347" ht="15.75" customHeight="1">
      <c r="A347" s="22"/>
      <c r="B347" s="8">
        <f t="shared" si="1"/>
        <v>0</v>
      </c>
      <c r="C347" s="8"/>
      <c r="D347" s="8"/>
      <c r="E347" s="8"/>
      <c r="F347" s="8"/>
      <c r="G347" s="8"/>
      <c r="H347" s="8"/>
      <c r="I347" s="8"/>
      <c r="J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2" width="18.63"/>
    <col customWidth="1" min="3" max="4" width="14.75"/>
    <col customWidth="1" min="5" max="7" width="9.38"/>
    <col customWidth="1" min="8" max="27" width="8.63"/>
    <col customWidth="1" min="28" max="30" width="10.25"/>
    <col customWidth="1" min="31" max="31" width="10.38"/>
    <col customWidth="1" min="32" max="34" width="10.25"/>
    <col customWidth="1" min="35" max="36" width="10.38"/>
    <col customWidth="1" min="37" max="39" width="10.25"/>
    <col customWidth="1" min="40" max="41" width="10.38"/>
    <col customWidth="1" min="42" max="43" width="8.63"/>
    <col customWidth="1" min="44" max="46" width="10.25"/>
  </cols>
  <sheetData>
    <row r="1">
      <c r="A1" s="1" t="s">
        <v>0</v>
      </c>
      <c r="B1" s="2" t="s">
        <v>1</v>
      </c>
      <c r="C1" s="5">
        <v>46025.0</v>
      </c>
      <c r="D1" s="5">
        <v>46032.0</v>
      </c>
      <c r="E1" s="5">
        <v>46039.0</v>
      </c>
      <c r="F1" s="5">
        <v>46046.0</v>
      </c>
      <c r="G1" s="5">
        <v>46053.0</v>
      </c>
      <c r="H1" s="5">
        <v>46060.0</v>
      </c>
      <c r="I1" s="5">
        <v>46067.0</v>
      </c>
      <c r="J1" s="5">
        <v>46074.0</v>
      </c>
      <c r="K1" s="5">
        <v>46081.0</v>
      </c>
      <c r="L1" s="5">
        <v>46088.0</v>
      </c>
      <c r="M1" s="5">
        <v>46095.0</v>
      </c>
      <c r="N1" s="5">
        <v>46102.0</v>
      </c>
      <c r="O1" s="5">
        <v>46109.0</v>
      </c>
      <c r="P1" s="5">
        <v>46116.0</v>
      </c>
      <c r="Q1" s="5">
        <v>46123.0</v>
      </c>
      <c r="R1" s="5">
        <v>46130.0</v>
      </c>
      <c r="S1" s="5">
        <v>46137.0</v>
      </c>
      <c r="T1" s="5">
        <v>46144.0</v>
      </c>
      <c r="U1" s="5">
        <v>46151.0</v>
      </c>
      <c r="V1" s="5">
        <v>46158.0</v>
      </c>
      <c r="W1" s="5">
        <v>46165.0</v>
      </c>
      <c r="X1" s="5">
        <v>46172.0</v>
      </c>
      <c r="Y1" s="5">
        <v>46179.0</v>
      </c>
      <c r="Z1" s="5">
        <v>46186.0</v>
      </c>
      <c r="AA1" s="5">
        <v>46193.0</v>
      </c>
      <c r="AB1" s="5">
        <v>46200.0</v>
      </c>
      <c r="AC1" s="5">
        <v>46207.0</v>
      </c>
      <c r="AD1" s="5">
        <v>46214.0</v>
      </c>
      <c r="AE1" s="5">
        <v>46221.0</v>
      </c>
      <c r="AF1" s="5">
        <v>46228.0</v>
      </c>
      <c r="AG1" s="5">
        <v>46235.0</v>
      </c>
      <c r="AH1" s="5">
        <v>46242.0</v>
      </c>
      <c r="AI1" s="5">
        <v>46249.0</v>
      </c>
      <c r="AJ1" s="5">
        <v>46256.0</v>
      </c>
      <c r="AK1" s="5">
        <v>46263.0</v>
      </c>
      <c r="AL1" s="5">
        <v>46270.0</v>
      </c>
      <c r="AM1" s="5">
        <v>46277.0</v>
      </c>
      <c r="AN1" s="5">
        <v>46284.0</v>
      </c>
      <c r="AO1" s="5">
        <v>46291.0</v>
      </c>
      <c r="AP1" s="5">
        <v>46298.0</v>
      </c>
      <c r="AQ1" s="5">
        <v>46305.0</v>
      </c>
      <c r="AR1" s="5">
        <v>46312.0</v>
      </c>
      <c r="AS1" s="5">
        <v>46319.0</v>
      </c>
      <c r="AT1" s="5">
        <v>46326.0</v>
      </c>
    </row>
    <row r="2">
      <c r="A2" s="1">
        <v>16.0</v>
      </c>
      <c r="B2" s="7">
        <f>SUM(B3:B315)</f>
        <v>287</v>
      </c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10"/>
    </row>
    <row r="3">
      <c r="A3" s="11" t="s">
        <v>3</v>
      </c>
      <c r="B3" s="8">
        <f t="shared" ref="B3:B344" si="1">SUM(C3:CB3)</f>
        <v>0</v>
      </c>
      <c r="C3" s="20" t="s">
        <v>62</v>
      </c>
      <c r="D3" s="20" t="s">
        <v>62</v>
      </c>
      <c r="E3" s="21" t="s">
        <v>62</v>
      </c>
      <c r="F3" s="21" t="s">
        <v>62</v>
      </c>
      <c r="G3" s="8"/>
      <c r="H3" s="20" t="s">
        <v>62</v>
      </c>
      <c r="I3" s="8"/>
      <c r="J3" s="20" t="s">
        <v>311</v>
      </c>
      <c r="K3" s="21" t="s">
        <v>62</v>
      </c>
      <c r="L3" s="8"/>
      <c r="M3" s="8"/>
      <c r="N3" s="20" t="s">
        <v>62</v>
      </c>
      <c r="O3" s="20" t="s">
        <v>62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0"/>
      <c r="AF3" s="20"/>
      <c r="AG3" s="20"/>
      <c r="AH3" s="20"/>
      <c r="AI3" s="21"/>
      <c r="AJ3" s="20"/>
      <c r="AK3" s="20"/>
      <c r="AL3" s="20"/>
      <c r="AM3" s="20"/>
      <c r="AN3" s="20"/>
      <c r="AO3" s="20"/>
      <c r="AP3" s="8"/>
      <c r="AQ3" s="8"/>
      <c r="AR3" s="8"/>
      <c r="AS3" s="8"/>
      <c r="AT3" s="10"/>
    </row>
    <row r="4">
      <c r="A4" s="11" t="s">
        <v>6</v>
      </c>
      <c r="B4" s="8">
        <f t="shared" si="1"/>
        <v>0</v>
      </c>
      <c r="C4" s="20"/>
      <c r="D4" s="20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8"/>
      <c r="AP4" s="8"/>
      <c r="AQ4" s="8"/>
      <c r="AR4" s="8"/>
      <c r="AS4" s="8"/>
      <c r="AT4" s="10"/>
    </row>
    <row r="5">
      <c r="A5" s="11" t="s">
        <v>7</v>
      </c>
      <c r="B5" s="8">
        <f t="shared" si="1"/>
        <v>2</v>
      </c>
      <c r="C5" s="20"/>
      <c r="D5" s="20"/>
      <c r="E5" s="8"/>
      <c r="F5" s="8"/>
      <c r="G5" s="20">
        <v>2.0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20"/>
      <c r="AE5" s="20"/>
      <c r="AF5" s="20"/>
      <c r="AG5" s="20"/>
      <c r="AH5" s="8"/>
      <c r="AI5" s="21"/>
      <c r="AJ5" s="20"/>
      <c r="AK5" s="20"/>
      <c r="AL5" s="20"/>
      <c r="AM5" s="8"/>
      <c r="AN5" s="20"/>
      <c r="AO5" s="20"/>
      <c r="AP5" s="8"/>
      <c r="AQ5" s="8"/>
      <c r="AR5" s="8"/>
      <c r="AS5" s="8"/>
      <c r="AT5" s="10"/>
    </row>
    <row r="6">
      <c r="A6" s="11" t="s">
        <v>51</v>
      </c>
      <c r="B6" s="8">
        <f t="shared" si="1"/>
        <v>1</v>
      </c>
      <c r="C6" s="8"/>
      <c r="D6" s="8"/>
      <c r="E6" s="8"/>
      <c r="F6" s="8"/>
      <c r="G6" s="8"/>
      <c r="H6" s="8"/>
      <c r="I6" s="8"/>
      <c r="J6" s="8"/>
      <c r="K6" s="21">
        <v>1.0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20"/>
      <c r="AM6" s="8"/>
      <c r="AN6" s="8"/>
      <c r="AO6" s="8"/>
      <c r="AP6" s="8"/>
      <c r="AQ6" s="8"/>
      <c r="AR6" s="8"/>
      <c r="AS6" s="8"/>
      <c r="AT6" s="10"/>
    </row>
    <row r="7">
      <c r="A7" s="11" t="s">
        <v>13</v>
      </c>
      <c r="B7" s="8">
        <f t="shared" si="1"/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10"/>
    </row>
    <row r="8">
      <c r="A8" s="11" t="s">
        <v>55</v>
      </c>
      <c r="B8" s="8">
        <f t="shared" si="1"/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10"/>
    </row>
    <row r="9">
      <c r="A9" s="11" t="s">
        <v>17</v>
      </c>
      <c r="B9" s="8">
        <f t="shared" si="1"/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10"/>
    </row>
    <row r="10">
      <c r="A10" s="11" t="s">
        <v>64</v>
      </c>
      <c r="B10" s="8">
        <f t="shared" si="1"/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0"/>
    </row>
    <row r="11">
      <c r="A11" s="11" t="s">
        <v>65</v>
      </c>
      <c r="B11" s="8">
        <f t="shared" si="1"/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10"/>
    </row>
    <row r="12">
      <c r="A12" s="11" t="s">
        <v>66</v>
      </c>
      <c r="B12" s="8">
        <f t="shared" si="1"/>
        <v>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10"/>
    </row>
    <row r="13">
      <c r="A13" s="11" t="s">
        <v>23</v>
      </c>
      <c r="B13" s="8">
        <f t="shared" si="1"/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0"/>
    </row>
    <row r="14">
      <c r="A14" s="11" t="s">
        <v>24</v>
      </c>
      <c r="B14" s="8">
        <f t="shared" si="1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0"/>
    </row>
    <row r="15">
      <c r="A15" s="11" t="s">
        <v>33</v>
      </c>
      <c r="B15" s="8">
        <f t="shared" si="1"/>
        <v>0</v>
      </c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21"/>
      <c r="AJ15" s="20"/>
      <c r="AK15" s="8"/>
      <c r="AL15" s="8"/>
      <c r="AM15" s="8"/>
      <c r="AN15" s="8"/>
      <c r="AO15" s="8"/>
      <c r="AP15" s="8"/>
      <c r="AQ15" s="8"/>
      <c r="AR15" s="8"/>
      <c r="AS15" s="8"/>
      <c r="AT15" s="10"/>
    </row>
    <row r="16">
      <c r="A16" s="11" t="s">
        <v>61</v>
      </c>
      <c r="B16" s="8">
        <f t="shared" si="1"/>
        <v>0</v>
      </c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21"/>
      <c r="AJ16" s="20"/>
      <c r="AK16" s="8"/>
      <c r="AL16" s="8"/>
      <c r="AM16" s="8"/>
      <c r="AN16" s="8"/>
      <c r="AO16" s="8"/>
      <c r="AP16" s="8"/>
      <c r="AQ16" s="8"/>
      <c r="AR16" s="8"/>
      <c r="AS16" s="8"/>
      <c r="AT16" s="10"/>
    </row>
    <row r="17">
      <c r="A17" s="11" t="s">
        <v>67</v>
      </c>
      <c r="B17" s="8">
        <f t="shared" si="1"/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10"/>
    </row>
    <row r="18">
      <c r="A18" s="11" t="s">
        <v>68</v>
      </c>
      <c r="B18" s="8">
        <f t="shared" si="1"/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10"/>
    </row>
    <row r="19">
      <c r="A19" s="11" t="s">
        <v>69</v>
      </c>
      <c r="B19" s="8">
        <f t="shared" si="1"/>
        <v>2</v>
      </c>
      <c r="C19" s="8"/>
      <c r="D19" s="8"/>
      <c r="E19" s="8"/>
      <c r="F19" s="8"/>
      <c r="G19" s="8"/>
      <c r="H19" s="20">
        <v>2.0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20"/>
      <c r="AF19" s="20"/>
      <c r="AG19" s="20"/>
      <c r="AH19" s="20"/>
      <c r="AI19" s="20"/>
      <c r="AJ19" s="20"/>
      <c r="AK19" s="8"/>
      <c r="AL19" s="20"/>
      <c r="AM19" s="8"/>
      <c r="AN19" s="8"/>
      <c r="AO19" s="8"/>
      <c r="AP19" s="8"/>
      <c r="AQ19" s="8"/>
      <c r="AR19" s="8"/>
      <c r="AS19" s="8"/>
      <c r="AT19" s="10"/>
    </row>
    <row r="20">
      <c r="A20" s="11" t="s">
        <v>70</v>
      </c>
      <c r="B20" s="8">
        <f t="shared" si="1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0"/>
    </row>
    <row r="21" ht="15.75" customHeight="1">
      <c r="A21" s="11" t="s">
        <v>52</v>
      </c>
      <c r="B21" s="8">
        <f t="shared" si="1"/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10"/>
    </row>
    <row r="22" ht="15.75" customHeight="1">
      <c r="A22" s="11" t="s">
        <v>16</v>
      </c>
      <c r="B22" s="8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0"/>
    </row>
    <row r="23" ht="15.75" customHeight="1">
      <c r="A23" s="11" t="s">
        <v>46</v>
      </c>
      <c r="B23" s="8">
        <f t="shared" si="1"/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0"/>
    </row>
    <row r="24" ht="15.75" customHeight="1">
      <c r="A24" s="11" t="s">
        <v>71</v>
      </c>
      <c r="B24" s="8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10"/>
    </row>
    <row r="25" ht="15.75" customHeight="1">
      <c r="A25" s="11" t="s">
        <v>72</v>
      </c>
      <c r="B25" s="8">
        <f t="shared" si="1"/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0"/>
    </row>
    <row r="26" ht="15.75" customHeight="1">
      <c r="A26" s="12" t="s">
        <v>48</v>
      </c>
      <c r="B26" s="8">
        <f t="shared" si="1"/>
        <v>7.25</v>
      </c>
      <c r="C26" s="8"/>
      <c r="D26" s="8"/>
      <c r="E26" s="8"/>
      <c r="F26" s="8"/>
      <c r="G26" s="20">
        <v>2.0</v>
      </c>
      <c r="H26" s="8"/>
      <c r="I26" s="20">
        <v>1.5</v>
      </c>
      <c r="J26" s="8"/>
      <c r="K26" s="8"/>
      <c r="L26" s="20">
        <v>2.0</v>
      </c>
      <c r="M26" s="20">
        <v>1.75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0"/>
    </row>
    <row r="27" ht="15.75" customHeight="1">
      <c r="A27" s="11" t="s">
        <v>41</v>
      </c>
      <c r="B27" s="8">
        <f t="shared" si="1"/>
        <v>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20">
        <v>2.0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10"/>
    </row>
    <row r="28" ht="15.75" customHeight="1">
      <c r="A28" s="11" t="s">
        <v>40</v>
      </c>
      <c r="B28" s="8">
        <f t="shared" si="1"/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20"/>
      <c r="AO28" s="8"/>
      <c r="AP28" s="8"/>
      <c r="AQ28" s="8"/>
      <c r="AR28" s="8"/>
      <c r="AS28" s="8"/>
      <c r="AT28" s="10"/>
    </row>
    <row r="29" ht="15.75" customHeight="1">
      <c r="A29" s="11" t="s">
        <v>10</v>
      </c>
      <c r="B29" s="8">
        <f t="shared" si="1"/>
        <v>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20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0"/>
    </row>
    <row r="30" ht="15.75" customHeight="1">
      <c r="A30" s="11" t="s">
        <v>9</v>
      </c>
      <c r="B30" s="8">
        <f t="shared" si="1"/>
        <v>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10"/>
    </row>
    <row r="31" ht="15.75" customHeight="1">
      <c r="A31" s="11" t="s">
        <v>73</v>
      </c>
      <c r="B31" s="8">
        <f t="shared" si="1"/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0"/>
    </row>
    <row r="32" ht="15.75" customHeight="1">
      <c r="A32" s="11" t="s">
        <v>31</v>
      </c>
      <c r="B32" s="8">
        <f t="shared" si="1"/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0"/>
    </row>
    <row r="33" ht="15.75" customHeight="1">
      <c r="A33" s="11" t="s">
        <v>74</v>
      </c>
      <c r="B33" s="8">
        <f t="shared" si="1"/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10"/>
    </row>
    <row r="34" ht="15.75" customHeight="1">
      <c r="A34" s="11" t="s">
        <v>75</v>
      </c>
      <c r="B34" s="8">
        <f t="shared" si="1"/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0"/>
    </row>
    <row r="35" ht="15.75" customHeight="1">
      <c r="A35" s="11" t="s">
        <v>15</v>
      </c>
      <c r="B35" s="8">
        <f t="shared" si="1"/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0"/>
    </row>
    <row r="36" ht="15.75" customHeight="1">
      <c r="A36" s="11" t="s">
        <v>12</v>
      </c>
      <c r="B36" s="8">
        <f t="shared" si="1"/>
        <v>2</v>
      </c>
      <c r="C36" s="8"/>
      <c r="D36" s="8"/>
      <c r="E36" s="8"/>
      <c r="F36" s="8"/>
      <c r="G36" s="8"/>
      <c r="H36" s="20">
        <v>2.0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10"/>
    </row>
    <row r="37" ht="15.75" customHeight="1">
      <c r="A37" s="11" t="s">
        <v>76</v>
      </c>
      <c r="B37" s="8">
        <f t="shared" si="1"/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10"/>
    </row>
    <row r="38" ht="15.75" customHeight="1">
      <c r="A38" s="11" t="s">
        <v>77</v>
      </c>
      <c r="B38" s="8">
        <f t="shared" si="1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20"/>
      <c r="AL38" s="8"/>
      <c r="AM38" s="8"/>
      <c r="AN38" s="8"/>
      <c r="AO38" s="8"/>
      <c r="AP38" s="8"/>
      <c r="AQ38" s="8"/>
      <c r="AR38" s="8"/>
      <c r="AS38" s="8"/>
      <c r="AT38" s="10"/>
    </row>
    <row r="39" ht="15.75" customHeight="1">
      <c r="A39" s="11" t="s">
        <v>78</v>
      </c>
      <c r="B39" s="8">
        <f t="shared" si="1"/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10"/>
    </row>
    <row r="40" ht="15.75" customHeight="1">
      <c r="A40" s="11" t="s">
        <v>79</v>
      </c>
      <c r="B40" s="8">
        <f t="shared" si="1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20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10"/>
    </row>
    <row r="41" ht="15.75" customHeight="1">
      <c r="A41" s="11" t="s">
        <v>80</v>
      </c>
      <c r="B41" s="8">
        <f t="shared" si="1"/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10"/>
    </row>
    <row r="42" ht="15.75" customHeight="1">
      <c r="A42" s="11" t="s">
        <v>81</v>
      </c>
      <c r="B42" s="8">
        <f t="shared" si="1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10"/>
    </row>
    <row r="43" ht="15.75" customHeight="1">
      <c r="A43" s="11" t="s">
        <v>82</v>
      </c>
      <c r="B43" s="8">
        <f t="shared" si="1"/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10"/>
    </row>
    <row r="44" ht="15.75" customHeight="1">
      <c r="A44" s="11" t="s">
        <v>83</v>
      </c>
      <c r="B44" s="8">
        <f t="shared" si="1"/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10"/>
    </row>
    <row r="45" ht="15.75" customHeight="1">
      <c r="A45" s="11" t="s">
        <v>84</v>
      </c>
      <c r="B45" s="8">
        <f t="shared" si="1"/>
        <v>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20">
        <v>2.0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10"/>
    </row>
    <row r="46" ht="15.75" customHeight="1">
      <c r="A46" s="12" t="s">
        <v>362</v>
      </c>
      <c r="B46" s="8">
        <f t="shared" si="1"/>
        <v>2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20">
        <v>2.0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10"/>
    </row>
    <row r="47" ht="15.75" customHeight="1">
      <c r="A47" s="11" t="s">
        <v>86</v>
      </c>
      <c r="B47" s="8">
        <f t="shared" si="1"/>
        <v>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10"/>
    </row>
    <row r="48" ht="15.75" customHeight="1">
      <c r="A48" s="11" t="s">
        <v>87</v>
      </c>
      <c r="B48" s="8">
        <f t="shared" si="1"/>
        <v>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10"/>
    </row>
    <row r="49" ht="15.75" customHeight="1">
      <c r="A49" s="11" t="s">
        <v>88</v>
      </c>
      <c r="B49" s="8">
        <f t="shared" si="1"/>
        <v>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10"/>
    </row>
    <row r="50" ht="15.75" customHeight="1">
      <c r="A50" s="11" t="s">
        <v>89</v>
      </c>
      <c r="B50" s="8">
        <f t="shared" si="1"/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10"/>
    </row>
    <row r="51" ht="15.75" customHeight="1">
      <c r="A51" s="11" t="s">
        <v>90</v>
      </c>
      <c r="B51" s="8">
        <f t="shared" si="1"/>
        <v>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20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10"/>
    </row>
    <row r="52" ht="15.75" customHeight="1">
      <c r="A52" s="11" t="s">
        <v>91</v>
      </c>
      <c r="B52" s="8">
        <f t="shared" si="1"/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10"/>
    </row>
    <row r="53" ht="15.75" customHeight="1">
      <c r="A53" s="11" t="s">
        <v>92</v>
      </c>
      <c r="B53" s="8">
        <f t="shared" si="1"/>
        <v>4</v>
      </c>
      <c r="C53" s="8"/>
      <c r="D53" s="8"/>
      <c r="E53" s="21">
        <v>2.0</v>
      </c>
      <c r="F53" s="8"/>
      <c r="G53" s="20">
        <v>2.0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20"/>
      <c r="AE53" s="20"/>
      <c r="AF53" s="8"/>
      <c r="AG53" s="20"/>
      <c r="AH53" s="8"/>
      <c r="AI53" s="8"/>
      <c r="AJ53" s="20"/>
      <c r="AK53" s="8"/>
      <c r="AL53" s="8"/>
      <c r="AM53" s="8"/>
      <c r="AN53" s="20"/>
      <c r="AO53" s="20"/>
      <c r="AP53" s="8"/>
      <c r="AQ53" s="8"/>
      <c r="AR53" s="8"/>
      <c r="AS53" s="8"/>
      <c r="AT53" s="10"/>
    </row>
    <row r="54" ht="15.75" customHeight="1">
      <c r="A54" s="11" t="s">
        <v>93</v>
      </c>
      <c r="B54" s="8">
        <f t="shared" si="1"/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10"/>
    </row>
    <row r="55" ht="15.75" customHeight="1">
      <c r="A55" s="11" t="s">
        <v>94</v>
      </c>
      <c r="B55" s="8">
        <f t="shared" si="1"/>
        <v>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10"/>
    </row>
    <row r="56" ht="15.75" customHeight="1">
      <c r="A56" s="11" t="s">
        <v>95</v>
      </c>
      <c r="B56" s="8">
        <f t="shared" si="1"/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10"/>
    </row>
    <row r="57" ht="15.75" customHeight="1">
      <c r="A57" s="11" t="s">
        <v>96</v>
      </c>
      <c r="B57" s="8">
        <f t="shared" si="1"/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10"/>
    </row>
    <row r="58" ht="15.75" customHeight="1">
      <c r="A58" s="11" t="s">
        <v>97</v>
      </c>
      <c r="B58" s="8">
        <f t="shared" si="1"/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10"/>
    </row>
    <row r="59" ht="15.75" customHeight="1">
      <c r="A59" s="11" t="s">
        <v>98</v>
      </c>
      <c r="B59" s="8">
        <f t="shared" si="1"/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10"/>
    </row>
    <row r="60" ht="15.75" customHeight="1">
      <c r="A60" s="11" t="s">
        <v>99</v>
      </c>
      <c r="B60" s="8">
        <f t="shared" si="1"/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10"/>
    </row>
    <row r="61" ht="15.75" customHeight="1">
      <c r="A61" s="11" t="s">
        <v>100</v>
      </c>
      <c r="B61" s="8">
        <f t="shared" si="1"/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21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10"/>
    </row>
    <row r="62" ht="15.75" customHeight="1">
      <c r="A62" s="11" t="s">
        <v>101</v>
      </c>
      <c r="B62" s="8">
        <f t="shared" si="1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10"/>
    </row>
    <row r="63" ht="15.75" customHeight="1">
      <c r="A63" s="11" t="s">
        <v>102</v>
      </c>
      <c r="B63" s="8">
        <f t="shared" si="1"/>
        <v>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10"/>
    </row>
    <row r="64" ht="15.75" customHeight="1">
      <c r="A64" s="11" t="s">
        <v>103</v>
      </c>
      <c r="B64" s="8">
        <f t="shared" si="1"/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10"/>
    </row>
    <row r="65" ht="15.75" customHeight="1">
      <c r="A65" s="11" t="s">
        <v>104</v>
      </c>
      <c r="B65" s="8">
        <f t="shared" si="1"/>
        <v>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10"/>
    </row>
    <row r="66" ht="15.75" customHeight="1">
      <c r="A66" s="11" t="s">
        <v>105</v>
      </c>
      <c r="B66" s="8">
        <f t="shared" si="1"/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10"/>
    </row>
    <row r="67" ht="15.75" customHeight="1">
      <c r="A67" s="11" t="s">
        <v>106</v>
      </c>
      <c r="B67" s="8">
        <f t="shared" si="1"/>
        <v>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10"/>
    </row>
    <row r="68" ht="15.75" customHeight="1">
      <c r="A68" s="11" t="s">
        <v>107</v>
      </c>
      <c r="B68" s="8">
        <f t="shared" si="1"/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10"/>
    </row>
    <row r="69" ht="15.75" customHeight="1">
      <c r="A69" s="11" t="s">
        <v>108</v>
      </c>
      <c r="B69" s="8">
        <f t="shared" si="1"/>
        <v>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10"/>
    </row>
    <row r="70" ht="15.75" customHeight="1">
      <c r="A70" s="11" t="s">
        <v>109</v>
      </c>
      <c r="B70" s="8">
        <f t="shared" si="1"/>
        <v>2</v>
      </c>
      <c r="C70" s="8"/>
      <c r="D70" s="8"/>
      <c r="E70" s="21">
        <v>2.0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20"/>
      <c r="AG70" s="8"/>
      <c r="AH70" s="8"/>
      <c r="AI70" s="21"/>
      <c r="AJ70" s="8"/>
      <c r="AK70" s="20"/>
      <c r="AL70" s="8"/>
      <c r="AM70" s="8"/>
      <c r="AN70" s="8"/>
      <c r="AO70" s="20"/>
      <c r="AP70" s="8"/>
      <c r="AQ70" s="8"/>
      <c r="AR70" s="8"/>
      <c r="AS70" s="8"/>
      <c r="AT70" s="10"/>
    </row>
    <row r="71" ht="15.75" customHeight="1">
      <c r="A71" s="11" t="s">
        <v>110</v>
      </c>
      <c r="B71" s="8">
        <f t="shared" si="1"/>
        <v>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10"/>
    </row>
    <row r="72" ht="15.75" customHeight="1">
      <c r="A72" s="11" t="s">
        <v>111</v>
      </c>
      <c r="B72" s="8">
        <f t="shared" si="1"/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10"/>
    </row>
    <row r="73" ht="15.75" customHeight="1">
      <c r="A73" s="11" t="s">
        <v>112</v>
      </c>
      <c r="B73" s="8">
        <f t="shared" si="1"/>
        <v>0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10"/>
    </row>
    <row r="74" ht="15.75" customHeight="1">
      <c r="A74" s="11" t="s">
        <v>113</v>
      </c>
      <c r="B74" s="8">
        <f t="shared" si="1"/>
        <v>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10"/>
    </row>
    <row r="75" ht="15.75" customHeight="1">
      <c r="A75" s="11" t="s">
        <v>114</v>
      </c>
      <c r="B75" s="8">
        <f t="shared" si="1"/>
        <v>0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10"/>
    </row>
    <row r="76" ht="15.75" customHeight="1">
      <c r="A76" s="11" t="s">
        <v>115</v>
      </c>
      <c r="B76" s="8">
        <f t="shared" si="1"/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10"/>
    </row>
    <row r="77" ht="15.75" customHeight="1">
      <c r="A77" s="11" t="s">
        <v>116</v>
      </c>
      <c r="B77" s="8">
        <f t="shared" si="1"/>
        <v>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10"/>
    </row>
    <row r="78" ht="15.75" customHeight="1">
      <c r="A78" s="22" t="s">
        <v>117</v>
      </c>
      <c r="B78" s="8">
        <f t="shared" si="1"/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</row>
    <row r="79" ht="15.75" customHeight="1">
      <c r="A79" s="22" t="s">
        <v>118</v>
      </c>
      <c r="B79" s="8">
        <f t="shared" si="1"/>
        <v>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</row>
    <row r="80" ht="15.75" customHeight="1">
      <c r="A80" s="22" t="s">
        <v>119</v>
      </c>
      <c r="B80" s="8">
        <f t="shared" si="1"/>
        <v>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</row>
    <row r="81" ht="15.75" customHeight="1">
      <c r="A81" s="22" t="s">
        <v>120</v>
      </c>
      <c r="B81" s="8">
        <f t="shared" si="1"/>
        <v>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</row>
    <row r="82" ht="15.75" customHeight="1">
      <c r="A82" s="22" t="s">
        <v>121</v>
      </c>
      <c r="B82" s="8">
        <f t="shared" si="1"/>
        <v>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</row>
    <row r="83" ht="15.75" customHeight="1">
      <c r="A83" s="22" t="s">
        <v>122</v>
      </c>
      <c r="B83" s="8">
        <f t="shared" si="1"/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</row>
    <row r="84" ht="15.75" customHeight="1">
      <c r="A84" s="22" t="s">
        <v>123</v>
      </c>
      <c r="B84" s="8">
        <f t="shared" si="1"/>
        <v>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</row>
    <row r="85" ht="15.75" customHeight="1">
      <c r="A85" s="22" t="s">
        <v>124</v>
      </c>
      <c r="B85" s="8">
        <f t="shared" si="1"/>
        <v>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</row>
    <row r="86" ht="15.75" customHeight="1">
      <c r="A86" s="22" t="s">
        <v>125</v>
      </c>
      <c r="B86" s="8">
        <f t="shared" si="1"/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</row>
    <row r="87" ht="15.75" customHeight="1">
      <c r="A87" s="22" t="s">
        <v>126</v>
      </c>
      <c r="B87" s="8">
        <f t="shared" si="1"/>
        <v>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</row>
    <row r="88" ht="15.75" customHeight="1">
      <c r="A88" s="22" t="s">
        <v>127</v>
      </c>
      <c r="B88" s="8">
        <f t="shared" si="1"/>
        <v>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</row>
    <row r="89" ht="15.75" customHeight="1">
      <c r="A89" s="22" t="s">
        <v>128</v>
      </c>
      <c r="B89" s="8">
        <f t="shared" si="1"/>
        <v>0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</row>
    <row r="90" ht="15.75" customHeight="1">
      <c r="A90" s="22" t="s">
        <v>129</v>
      </c>
      <c r="B90" s="8">
        <f t="shared" si="1"/>
        <v>0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</row>
    <row r="91" ht="15.75" customHeight="1">
      <c r="A91" s="22" t="s">
        <v>130</v>
      </c>
      <c r="B91" s="8">
        <f t="shared" si="1"/>
        <v>0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</row>
    <row r="92" ht="15.75" customHeight="1">
      <c r="A92" s="22" t="s">
        <v>131</v>
      </c>
      <c r="B92" s="8">
        <f t="shared" si="1"/>
        <v>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</row>
    <row r="93" ht="15.75" customHeight="1">
      <c r="A93" s="22" t="s">
        <v>132</v>
      </c>
      <c r="B93" s="8">
        <f t="shared" si="1"/>
        <v>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</row>
    <row r="94" ht="15.75" customHeight="1">
      <c r="A94" s="22" t="s">
        <v>133</v>
      </c>
      <c r="B94" s="8">
        <f t="shared" si="1"/>
        <v>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</row>
    <row r="95" ht="15.75" customHeight="1">
      <c r="A95" s="22" t="s">
        <v>134</v>
      </c>
      <c r="B95" s="8">
        <f t="shared" si="1"/>
        <v>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</row>
    <row r="96" ht="15.75" customHeight="1">
      <c r="A96" s="22" t="s">
        <v>135</v>
      </c>
      <c r="B96" s="8">
        <f t="shared" si="1"/>
        <v>0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</row>
    <row r="97" ht="15.75" customHeight="1">
      <c r="A97" s="22" t="s">
        <v>136</v>
      </c>
      <c r="B97" s="8">
        <f t="shared" si="1"/>
        <v>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</row>
    <row r="98" ht="15.75" customHeight="1">
      <c r="A98" s="22" t="s">
        <v>137</v>
      </c>
      <c r="B98" s="8">
        <f t="shared" si="1"/>
        <v>1.5</v>
      </c>
      <c r="C98" s="8"/>
      <c r="D98" s="8"/>
      <c r="E98" s="8"/>
      <c r="F98" s="8"/>
      <c r="G98" s="8"/>
      <c r="H98" s="8"/>
      <c r="I98" s="8"/>
      <c r="J98" s="20">
        <v>1.5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</row>
    <row r="99" ht="15.75" customHeight="1">
      <c r="A99" s="22" t="s">
        <v>138</v>
      </c>
      <c r="B99" s="8">
        <f t="shared" si="1"/>
        <v>0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</row>
    <row r="100" ht="15.75" customHeight="1">
      <c r="A100" s="22" t="s">
        <v>139</v>
      </c>
      <c r="B100" s="8">
        <f t="shared" si="1"/>
        <v>0</v>
      </c>
      <c r="C100" s="2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20"/>
      <c r="AE100" s="20"/>
      <c r="AF100" s="8"/>
      <c r="AG100" s="20"/>
      <c r="AH100" s="8"/>
      <c r="AI100" s="21"/>
      <c r="AJ100" s="20"/>
      <c r="AK100" s="8"/>
      <c r="AL100" s="20"/>
      <c r="AM100" s="20"/>
      <c r="AN100" s="20"/>
      <c r="AO100" s="8"/>
      <c r="AP100" s="8"/>
      <c r="AQ100" s="8"/>
      <c r="AR100" s="8"/>
      <c r="AS100" s="8"/>
      <c r="AT100" s="8"/>
    </row>
    <row r="101" ht="15.75" customHeight="1">
      <c r="A101" s="22" t="s">
        <v>140</v>
      </c>
      <c r="B101" s="8">
        <f t="shared" si="1"/>
        <v>0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</row>
    <row r="102" ht="15.75" customHeight="1">
      <c r="A102" s="22" t="s">
        <v>141</v>
      </c>
      <c r="B102" s="8">
        <f t="shared" si="1"/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</row>
    <row r="103" ht="15.75" customHeight="1">
      <c r="A103" s="22" t="s">
        <v>142</v>
      </c>
      <c r="B103" s="8">
        <f t="shared" si="1"/>
        <v>2</v>
      </c>
      <c r="C103" s="8"/>
      <c r="D103" s="20"/>
      <c r="E103" s="8"/>
      <c r="F103" s="8"/>
      <c r="G103" s="8"/>
      <c r="H103" s="8"/>
      <c r="I103" s="8"/>
      <c r="J103" s="8"/>
      <c r="K103" s="8"/>
      <c r="L103" s="8"/>
      <c r="M103" s="8"/>
      <c r="N103" s="20">
        <v>2.0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20"/>
      <c r="AG103" s="8"/>
      <c r="AH103" s="8"/>
      <c r="AI103" s="8"/>
      <c r="AJ103" s="20"/>
      <c r="AK103" s="20"/>
      <c r="AL103" s="8"/>
      <c r="AM103" s="8"/>
      <c r="AN103" s="20"/>
      <c r="AO103" s="8"/>
      <c r="AP103" s="8"/>
      <c r="AQ103" s="8"/>
      <c r="AR103" s="8"/>
      <c r="AS103" s="8"/>
      <c r="AT103" s="8"/>
    </row>
    <row r="104" ht="15.75" customHeight="1">
      <c r="A104" s="22" t="s">
        <v>143</v>
      </c>
      <c r="B104" s="8">
        <f t="shared" si="1"/>
        <v>1.5</v>
      </c>
      <c r="C104" s="8"/>
      <c r="D104" s="8"/>
      <c r="E104" s="8"/>
      <c r="F104" s="8"/>
      <c r="G104" s="8"/>
      <c r="H104" s="8"/>
      <c r="I104" s="20">
        <v>1.5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21"/>
      <c r="AJ104" s="8"/>
      <c r="AK104" s="8"/>
      <c r="AL104" s="8"/>
      <c r="AM104" s="8"/>
      <c r="AN104" s="8"/>
      <c r="AO104" s="20"/>
      <c r="AP104" s="8"/>
      <c r="AQ104" s="8"/>
      <c r="AR104" s="8"/>
      <c r="AS104" s="8"/>
      <c r="AT104" s="8"/>
    </row>
    <row r="105" ht="15.75" customHeight="1">
      <c r="A105" s="22" t="s">
        <v>144</v>
      </c>
      <c r="B105" s="8">
        <f t="shared" si="1"/>
        <v>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</row>
    <row r="106" ht="15.75" customHeight="1">
      <c r="A106" s="22" t="s">
        <v>145</v>
      </c>
      <c r="B106" s="8">
        <f t="shared" si="1"/>
        <v>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</row>
    <row r="107" ht="15.75" customHeight="1">
      <c r="A107" s="22" t="s">
        <v>146</v>
      </c>
      <c r="B107" s="8">
        <f t="shared" si="1"/>
        <v>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20"/>
      <c r="AK107" s="8"/>
      <c r="AL107" s="8"/>
      <c r="AM107" s="8"/>
      <c r="AN107" s="8"/>
      <c r="AO107" s="8"/>
      <c r="AP107" s="8"/>
      <c r="AQ107" s="8"/>
      <c r="AR107" s="8"/>
      <c r="AS107" s="8"/>
      <c r="AT107" s="8"/>
    </row>
    <row r="108" ht="15.75" customHeight="1">
      <c r="A108" s="22" t="s">
        <v>147</v>
      </c>
      <c r="B108" s="8">
        <f t="shared" si="1"/>
        <v>24.75</v>
      </c>
      <c r="C108" s="20">
        <v>2.0</v>
      </c>
      <c r="D108" s="20">
        <v>2.0</v>
      </c>
      <c r="E108" s="21">
        <v>2.0</v>
      </c>
      <c r="F108" s="21">
        <v>2.0</v>
      </c>
      <c r="G108" s="20">
        <v>2.0</v>
      </c>
      <c r="H108" s="20">
        <v>2.0</v>
      </c>
      <c r="I108" s="20">
        <v>1.5</v>
      </c>
      <c r="J108" s="20">
        <v>1.5</v>
      </c>
      <c r="K108" s="21">
        <v>2.0</v>
      </c>
      <c r="L108" s="20">
        <v>2.0</v>
      </c>
      <c r="M108" s="20">
        <v>1.75</v>
      </c>
      <c r="N108" s="20">
        <v>2.0</v>
      </c>
      <c r="O108" s="20">
        <v>2.0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20"/>
      <c r="AE108" s="8"/>
      <c r="AF108" s="8"/>
      <c r="AG108" s="8"/>
      <c r="AH108" s="8"/>
      <c r="AI108" s="8"/>
      <c r="AJ108" s="20"/>
      <c r="AK108" s="20"/>
      <c r="AL108" s="8"/>
      <c r="AM108" s="20"/>
      <c r="AN108" s="20"/>
      <c r="AO108" s="20"/>
      <c r="AP108" s="8"/>
      <c r="AQ108" s="8"/>
      <c r="AR108" s="8"/>
      <c r="AS108" s="8"/>
      <c r="AT108" s="8"/>
    </row>
    <row r="109" ht="15.75" customHeight="1">
      <c r="A109" s="22" t="s">
        <v>148</v>
      </c>
      <c r="B109" s="8">
        <f t="shared" si="1"/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</row>
    <row r="110" ht="15.75" customHeight="1">
      <c r="A110" s="22" t="s">
        <v>149</v>
      </c>
      <c r="B110" s="8">
        <f t="shared" si="1"/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</row>
    <row r="111" ht="15.75" customHeight="1">
      <c r="A111" s="22" t="s">
        <v>150</v>
      </c>
      <c r="B111" s="8">
        <f t="shared" si="1"/>
        <v>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20"/>
      <c r="AL111" s="8"/>
      <c r="AM111" s="8"/>
      <c r="AN111" s="8"/>
      <c r="AO111" s="8"/>
      <c r="AP111" s="8"/>
      <c r="AQ111" s="8"/>
      <c r="AR111" s="8"/>
      <c r="AS111" s="8"/>
      <c r="AT111" s="8"/>
    </row>
    <row r="112" ht="15.75" customHeight="1">
      <c r="A112" s="22" t="s">
        <v>151</v>
      </c>
      <c r="B112" s="8">
        <f t="shared" si="1"/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</row>
    <row r="113" ht="15.75" customHeight="1">
      <c r="A113" s="22" t="s">
        <v>152</v>
      </c>
      <c r="B113" s="8">
        <f t="shared" si="1"/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</row>
    <row r="114" ht="15.75" customHeight="1">
      <c r="A114" s="22" t="s">
        <v>153</v>
      </c>
      <c r="B114" s="8">
        <f t="shared" si="1"/>
        <v>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</row>
    <row r="115" ht="15.75" customHeight="1">
      <c r="A115" s="23" t="s">
        <v>154</v>
      </c>
      <c r="B115" s="8">
        <f t="shared" si="1"/>
        <v>0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20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</row>
    <row r="116" ht="15.75" customHeight="1">
      <c r="A116" s="23" t="s">
        <v>155</v>
      </c>
      <c r="B116" s="8">
        <f t="shared" si="1"/>
        <v>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20"/>
      <c r="AE116" s="8"/>
      <c r="AF116" s="8"/>
      <c r="AG116" s="20"/>
      <c r="AH116" s="8"/>
      <c r="AI116" s="8"/>
      <c r="AJ116" s="20"/>
      <c r="AK116" s="8"/>
      <c r="AL116" s="8"/>
      <c r="AM116" s="8"/>
      <c r="AN116" s="8"/>
      <c r="AO116" s="8"/>
      <c r="AP116" s="8"/>
      <c r="AQ116" s="8"/>
      <c r="AR116" s="8"/>
      <c r="AS116" s="8"/>
      <c r="AT116" s="8"/>
    </row>
    <row r="117" ht="15.75" customHeight="1">
      <c r="A117" s="23" t="s">
        <v>156</v>
      </c>
      <c r="B117" s="8">
        <f t="shared" si="1"/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20"/>
      <c r="AE117" s="20"/>
      <c r="AF117" s="20"/>
      <c r="AG117" s="20"/>
      <c r="AH117" s="20"/>
      <c r="AI117" s="20"/>
      <c r="AJ117" s="20"/>
      <c r="AK117" s="20"/>
      <c r="AL117" s="8"/>
      <c r="AM117" s="8"/>
      <c r="AN117" s="8"/>
      <c r="AO117" s="8"/>
      <c r="AP117" s="8"/>
      <c r="AQ117" s="8"/>
      <c r="AR117" s="8"/>
      <c r="AS117" s="8"/>
      <c r="AT117" s="8"/>
    </row>
    <row r="118" ht="15.75" customHeight="1">
      <c r="A118" s="23" t="s">
        <v>157</v>
      </c>
      <c r="B118" s="8">
        <f t="shared" si="1"/>
        <v>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20"/>
      <c r="AF118" s="8"/>
      <c r="AG118" s="8"/>
      <c r="AH118" s="8"/>
      <c r="AI118" s="8"/>
      <c r="AJ118" s="8"/>
      <c r="AK118" s="20"/>
      <c r="AL118" s="8"/>
      <c r="AM118" s="8"/>
      <c r="AN118" s="8"/>
      <c r="AO118" s="8"/>
      <c r="AP118" s="8"/>
      <c r="AQ118" s="8"/>
      <c r="AR118" s="8"/>
      <c r="AS118" s="8"/>
      <c r="AT118" s="8"/>
    </row>
    <row r="119" ht="15.75" customHeight="1">
      <c r="A119" s="23" t="s">
        <v>158</v>
      </c>
      <c r="B119" s="8">
        <f t="shared" si="1"/>
        <v>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20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</row>
    <row r="120" ht="15.75" customHeight="1">
      <c r="A120" s="23" t="s">
        <v>159</v>
      </c>
      <c r="B120" s="8">
        <f t="shared" si="1"/>
        <v>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20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</row>
    <row r="121" ht="15.75" customHeight="1">
      <c r="A121" s="23" t="s">
        <v>160</v>
      </c>
      <c r="B121" s="8">
        <f t="shared" si="1"/>
        <v>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20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</row>
    <row r="122" ht="15.75" customHeight="1">
      <c r="A122" s="23" t="s">
        <v>161</v>
      </c>
      <c r="B122" s="8">
        <f t="shared" si="1"/>
        <v>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20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</row>
    <row r="123" ht="15.75" customHeight="1">
      <c r="A123" s="23" t="s">
        <v>162</v>
      </c>
      <c r="B123" s="8">
        <f t="shared" si="1"/>
        <v>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20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</row>
    <row r="124" ht="15.75" customHeight="1">
      <c r="A124" s="23" t="s">
        <v>163</v>
      </c>
      <c r="B124" s="8">
        <f t="shared" si="1"/>
        <v>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20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</row>
    <row r="125" ht="15.75" customHeight="1">
      <c r="A125" s="23" t="s">
        <v>164</v>
      </c>
      <c r="B125" s="8">
        <f t="shared" si="1"/>
        <v>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20"/>
      <c r="AF125" s="8"/>
      <c r="AG125" s="20"/>
      <c r="AH125" s="20"/>
      <c r="AI125" s="21"/>
      <c r="AJ125" s="8"/>
      <c r="AK125" s="8"/>
      <c r="AL125" s="8"/>
      <c r="AM125" s="20"/>
      <c r="AN125" s="8"/>
      <c r="AO125" s="8"/>
      <c r="AP125" s="8"/>
      <c r="AQ125" s="8"/>
      <c r="AR125" s="8"/>
      <c r="AS125" s="8"/>
      <c r="AT125" s="8"/>
    </row>
    <row r="126" ht="15.75" customHeight="1">
      <c r="A126" s="23" t="s">
        <v>165</v>
      </c>
      <c r="B126" s="8">
        <f t="shared" si="1"/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20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</row>
    <row r="127" ht="15.75" customHeight="1">
      <c r="A127" s="23" t="s">
        <v>166</v>
      </c>
      <c r="B127" s="8">
        <f t="shared" si="1"/>
        <v>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20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</row>
    <row r="128" ht="15.75" customHeight="1">
      <c r="A128" s="23" t="s">
        <v>167</v>
      </c>
      <c r="B128" s="8">
        <f t="shared" si="1"/>
        <v>0</v>
      </c>
      <c r="C128" s="2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20"/>
      <c r="AF128" s="8"/>
      <c r="AG128" s="8"/>
      <c r="AH128" s="8"/>
      <c r="AI128" s="8"/>
      <c r="AJ128" s="20"/>
      <c r="AK128" s="8"/>
      <c r="AL128" s="21"/>
      <c r="AM128" s="8"/>
      <c r="AN128" s="20"/>
      <c r="AO128" s="8"/>
      <c r="AP128" s="8"/>
      <c r="AQ128" s="8"/>
      <c r="AR128" s="8"/>
      <c r="AS128" s="8"/>
      <c r="AT128" s="8"/>
    </row>
    <row r="129" ht="15.75" customHeight="1">
      <c r="A129" s="23" t="s">
        <v>168</v>
      </c>
      <c r="B129" s="8">
        <f t="shared" si="1"/>
        <v>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20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</row>
    <row r="130" ht="15.75" customHeight="1">
      <c r="A130" s="23" t="s">
        <v>169</v>
      </c>
      <c r="B130" s="8">
        <f t="shared" si="1"/>
        <v>0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20"/>
      <c r="AG130" s="20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</row>
    <row r="131" ht="15.75" customHeight="1">
      <c r="A131" s="23" t="s">
        <v>170</v>
      </c>
      <c r="B131" s="8">
        <f t="shared" si="1"/>
        <v>0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20"/>
      <c r="AG131" s="20"/>
      <c r="AH131" s="8"/>
      <c r="AI131" s="8"/>
      <c r="AJ131" s="20"/>
      <c r="AK131" s="20"/>
      <c r="AL131" s="8"/>
      <c r="AM131" s="8"/>
      <c r="AN131" s="8"/>
      <c r="AO131" s="8"/>
      <c r="AP131" s="8"/>
      <c r="AQ131" s="8"/>
      <c r="AR131" s="8"/>
      <c r="AS131" s="8"/>
      <c r="AT131" s="8"/>
    </row>
    <row r="132" ht="15.75" customHeight="1">
      <c r="A132" s="23" t="s">
        <v>171</v>
      </c>
      <c r="B132" s="8">
        <f t="shared" si="1"/>
        <v>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20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</row>
    <row r="133" ht="15.75" customHeight="1">
      <c r="A133" s="23" t="s">
        <v>172</v>
      </c>
      <c r="B133" s="8">
        <f t="shared" si="1"/>
        <v>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20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</row>
    <row r="134" ht="15.75" customHeight="1">
      <c r="A134" s="23" t="s">
        <v>173</v>
      </c>
      <c r="B134" s="8">
        <f t="shared" si="1"/>
        <v>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20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</row>
    <row r="135" ht="15.75" customHeight="1">
      <c r="A135" s="23" t="s">
        <v>174</v>
      </c>
      <c r="B135" s="8">
        <f t="shared" si="1"/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20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</row>
    <row r="136" ht="15.75" customHeight="1">
      <c r="A136" s="23" t="s">
        <v>175</v>
      </c>
      <c r="B136" s="8">
        <f t="shared" si="1"/>
        <v>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20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 ht="15.75" customHeight="1">
      <c r="A137" s="23" t="s">
        <v>176</v>
      </c>
      <c r="B137" s="8">
        <f t="shared" si="1"/>
        <v>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20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</row>
    <row r="138" ht="15.75" customHeight="1">
      <c r="A138" s="23" t="s">
        <v>177</v>
      </c>
      <c r="B138" s="8">
        <f t="shared" si="1"/>
        <v>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20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</row>
    <row r="139" ht="15.75" customHeight="1">
      <c r="A139" s="23" t="s">
        <v>235</v>
      </c>
      <c r="B139" s="8">
        <f t="shared" si="1"/>
        <v>0</v>
      </c>
      <c r="C139" s="8"/>
      <c r="D139" s="20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20"/>
      <c r="AG139" s="20"/>
      <c r="AH139" s="20"/>
      <c r="AI139" s="20"/>
      <c r="AJ139" s="20"/>
      <c r="AK139" s="20"/>
      <c r="AL139" s="8"/>
      <c r="AM139" s="8"/>
      <c r="AN139" s="8"/>
      <c r="AO139" s="8"/>
      <c r="AP139" s="8"/>
      <c r="AQ139" s="8"/>
      <c r="AR139" s="8"/>
      <c r="AS139" s="8"/>
      <c r="AT139" s="8"/>
    </row>
    <row r="140" ht="15.75" customHeight="1">
      <c r="A140" s="23" t="s">
        <v>179</v>
      </c>
      <c r="B140" s="8">
        <f t="shared" si="1"/>
        <v>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20"/>
      <c r="AG140" s="8"/>
      <c r="AH140" s="8"/>
      <c r="AI140" s="8"/>
      <c r="AJ140" s="20"/>
      <c r="AK140" s="8"/>
      <c r="AL140" s="8"/>
      <c r="AM140" s="8"/>
      <c r="AN140" s="8"/>
      <c r="AO140" s="8"/>
      <c r="AP140" s="8"/>
      <c r="AQ140" s="8"/>
      <c r="AR140" s="8"/>
      <c r="AS140" s="8"/>
      <c r="AT140" s="8"/>
    </row>
    <row r="141" ht="15.75" customHeight="1">
      <c r="A141" s="23" t="s">
        <v>180</v>
      </c>
      <c r="B141" s="8">
        <f t="shared" si="1"/>
        <v>0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20"/>
      <c r="AG141" s="8"/>
      <c r="AH141" s="8"/>
      <c r="AI141" s="21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</row>
    <row r="142" ht="15.75" customHeight="1">
      <c r="A142" s="23" t="s">
        <v>181</v>
      </c>
      <c r="B142" s="8">
        <f t="shared" si="1"/>
        <v>13.5</v>
      </c>
      <c r="C142" s="20">
        <v>2.0</v>
      </c>
      <c r="D142" s="8"/>
      <c r="E142" s="8"/>
      <c r="F142" s="8"/>
      <c r="G142" s="8"/>
      <c r="H142" s="20">
        <v>2.0</v>
      </c>
      <c r="I142" s="20">
        <v>1.5</v>
      </c>
      <c r="J142" s="8"/>
      <c r="K142" s="21">
        <v>2.0</v>
      </c>
      <c r="L142" s="20">
        <v>2.0</v>
      </c>
      <c r="M142" s="8"/>
      <c r="N142" s="20">
        <v>2.0</v>
      </c>
      <c r="O142" s="20">
        <v>2.0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20"/>
      <c r="AH142" s="20"/>
      <c r="AI142" s="20"/>
      <c r="AJ142" s="20"/>
      <c r="AK142" s="8"/>
      <c r="AL142" s="21"/>
      <c r="AM142" s="20"/>
      <c r="AN142" s="20"/>
      <c r="AO142" s="8"/>
      <c r="AP142" s="8"/>
      <c r="AQ142" s="8"/>
      <c r="AR142" s="8"/>
      <c r="AS142" s="8"/>
      <c r="AT142" s="8"/>
    </row>
    <row r="143" ht="15.75" customHeight="1">
      <c r="A143" s="23" t="s">
        <v>182</v>
      </c>
      <c r="B143" s="8">
        <f t="shared" si="1"/>
        <v>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20"/>
      <c r="AH143" s="8"/>
      <c r="AI143" s="8"/>
      <c r="AJ143" s="8"/>
      <c r="AK143" s="8"/>
      <c r="AL143" s="8"/>
      <c r="AM143" s="8"/>
      <c r="AN143" s="20"/>
      <c r="AO143" s="8"/>
      <c r="AP143" s="8"/>
      <c r="AQ143" s="8"/>
      <c r="AR143" s="8"/>
      <c r="AS143" s="8"/>
      <c r="AT143" s="8"/>
    </row>
    <row r="144" ht="15.75" customHeight="1">
      <c r="A144" s="23" t="s">
        <v>183</v>
      </c>
      <c r="B144" s="8">
        <f t="shared" si="1"/>
        <v>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20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</row>
    <row r="145" ht="15.75" customHeight="1">
      <c r="A145" s="23" t="s">
        <v>184</v>
      </c>
      <c r="B145" s="8">
        <f t="shared" si="1"/>
        <v>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20"/>
      <c r="AH145" s="8"/>
      <c r="AI145" s="8"/>
      <c r="AJ145" s="8"/>
      <c r="AK145" s="20"/>
      <c r="AL145" s="8"/>
      <c r="AM145" s="8"/>
      <c r="AN145" s="8"/>
      <c r="AO145" s="8"/>
      <c r="AP145" s="8"/>
      <c r="AQ145" s="8"/>
      <c r="AR145" s="8"/>
      <c r="AS145" s="8"/>
      <c r="AT145" s="8"/>
    </row>
    <row r="146" ht="15.75" customHeight="1">
      <c r="A146" s="23" t="s">
        <v>185</v>
      </c>
      <c r="B146" s="8">
        <f t="shared" si="1"/>
        <v>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20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</row>
    <row r="147" ht="15.75" customHeight="1">
      <c r="A147" s="23" t="s">
        <v>186</v>
      </c>
      <c r="B147" s="8">
        <f t="shared" si="1"/>
        <v>7.5</v>
      </c>
      <c r="C147" s="20">
        <v>2.0</v>
      </c>
      <c r="D147" s="8"/>
      <c r="E147" s="8"/>
      <c r="F147" s="8"/>
      <c r="G147" s="8"/>
      <c r="H147" s="20">
        <v>2.0</v>
      </c>
      <c r="I147" s="20">
        <v>1.5</v>
      </c>
      <c r="J147" s="8"/>
      <c r="K147" s="21">
        <v>2.0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20"/>
      <c r="AH147" s="8"/>
      <c r="AI147" s="8"/>
      <c r="AJ147" s="8"/>
      <c r="AK147" s="20"/>
      <c r="AL147" s="21"/>
      <c r="AM147" s="20"/>
      <c r="AN147" s="20"/>
      <c r="AO147" s="8"/>
      <c r="AP147" s="8"/>
      <c r="AQ147" s="8"/>
      <c r="AR147" s="8"/>
      <c r="AS147" s="8"/>
      <c r="AT147" s="8"/>
    </row>
    <row r="148" ht="15.75" customHeight="1">
      <c r="A148" s="23" t="s">
        <v>187</v>
      </c>
      <c r="B148" s="8">
        <f t="shared" si="1"/>
        <v>2</v>
      </c>
      <c r="C148" s="20">
        <v>2.0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20"/>
      <c r="AH148" s="8"/>
      <c r="AI148" s="8"/>
      <c r="AJ148" s="8"/>
      <c r="AK148" s="20"/>
      <c r="AL148" s="8"/>
      <c r="AM148" s="8"/>
      <c r="AN148" s="8"/>
      <c r="AO148" s="8"/>
      <c r="AP148" s="8"/>
      <c r="AQ148" s="8"/>
      <c r="AR148" s="8"/>
      <c r="AS148" s="8"/>
      <c r="AT148" s="8"/>
    </row>
    <row r="149" ht="15.75" customHeight="1">
      <c r="A149" s="23" t="s">
        <v>188</v>
      </c>
      <c r="B149" s="8">
        <f t="shared" si="1"/>
        <v>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20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</row>
    <row r="150" ht="15.75" customHeight="1">
      <c r="A150" s="23" t="s">
        <v>189</v>
      </c>
      <c r="B150" s="8">
        <f t="shared" si="1"/>
        <v>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20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</row>
    <row r="151" ht="15.75" customHeight="1">
      <c r="A151" s="23" t="s">
        <v>190</v>
      </c>
      <c r="B151" s="8">
        <f t="shared" si="1"/>
        <v>2</v>
      </c>
      <c r="C151" s="20"/>
      <c r="D151" s="20">
        <v>2.0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20"/>
      <c r="AH151" s="8"/>
      <c r="AI151" s="8"/>
      <c r="AJ151" s="8"/>
      <c r="AK151" s="20"/>
      <c r="AL151" s="20"/>
      <c r="AM151" s="20"/>
      <c r="AN151" s="20"/>
      <c r="AO151" s="20"/>
      <c r="AP151" s="8"/>
      <c r="AQ151" s="8"/>
      <c r="AR151" s="8"/>
      <c r="AS151" s="8"/>
      <c r="AT151" s="8"/>
    </row>
    <row r="152" ht="15.75" customHeight="1">
      <c r="A152" s="23" t="s">
        <v>191</v>
      </c>
      <c r="B152" s="8">
        <f t="shared" si="1"/>
        <v>0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20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</row>
    <row r="153" ht="15.75" customHeight="1">
      <c r="A153" s="23" t="s">
        <v>192</v>
      </c>
      <c r="B153" s="8">
        <f t="shared" si="1"/>
        <v>0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20"/>
      <c r="AI153" s="21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</row>
    <row r="154" ht="15.75" customHeight="1">
      <c r="A154" s="23" t="s">
        <v>193</v>
      </c>
      <c r="B154" s="8">
        <f t="shared" si="1"/>
        <v>0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20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</row>
    <row r="155" ht="15.75" customHeight="1">
      <c r="A155" s="23" t="s">
        <v>194</v>
      </c>
      <c r="B155" s="8">
        <f t="shared" si="1"/>
        <v>0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20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</row>
    <row r="156" ht="15.75" customHeight="1">
      <c r="A156" s="23" t="s">
        <v>195</v>
      </c>
      <c r="B156" s="8">
        <f t="shared" si="1"/>
        <v>0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20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</row>
    <row r="157" ht="15.75" customHeight="1">
      <c r="A157" s="23" t="s">
        <v>196</v>
      </c>
      <c r="B157" s="8">
        <f t="shared" si="1"/>
        <v>0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20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</row>
    <row r="158" ht="15.75" customHeight="1">
      <c r="A158" s="23" t="s">
        <v>197</v>
      </c>
      <c r="B158" s="8">
        <f t="shared" si="1"/>
        <v>0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20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</row>
    <row r="159" ht="15.75" customHeight="1">
      <c r="A159" s="23" t="s">
        <v>198</v>
      </c>
      <c r="B159" s="8">
        <f t="shared" si="1"/>
        <v>0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20"/>
      <c r="AI159" s="20"/>
      <c r="AJ159" s="20"/>
      <c r="AK159" s="8"/>
      <c r="AL159" s="8"/>
      <c r="AM159" s="8"/>
      <c r="AN159" s="8"/>
      <c r="AO159" s="8"/>
      <c r="AP159" s="8"/>
      <c r="AQ159" s="8"/>
      <c r="AR159" s="8"/>
      <c r="AS159" s="8"/>
      <c r="AT159" s="8"/>
    </row>
    <row r="160" ht="15.75" customHeight="1">
      <c r="A160" s="23" t="s">
        <v>199</v>
      </c>
      <c r="B160" s="8">
        <f t="shared" si="1"/>
        <v>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20"/>
      <c r="AI160" s="20"/>
      <c r="AJ160" s="20"/>
      <c r="AK160" s="8"/>
      <c r="AL160" s="8"/>
      <c r="AM160" s="8"/>
      <c r="AN160" s="8"/>
      <c r="AO160" s="8"/>
      <c r="AP160" s="8"/>
      <c r="AQ160" s="8"/>
      <c r="AR160" s="8"/>
      <c r="AS160" s="8"/>
      <c r="AT160" s="8"/>
    </row>
    <row r="161" ht="15.75" customHeight="1">
      <c r="A161" s="23" t="s">
        <v>200</v>
      </c>
      <c r="B161" s="8">
        <f t="shared" si="1"/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20"/>
      <c r="AI161" s="20"/>
      <c r="AJ161" s="20"/>
      <c r="AK161" s="8"/>
      <c r="AL161" s="8"/>
      <c r="AM161" s="8"/>
      <c r="AN161" s="8"/>
      <c r="AO161" s="8"/>
      <c r="AP161" s="8"/>
      <c r="AQ161" s="8"/>
      <c r="AR161" s="8"/>
      <c r="AS161" s="8"/>
      <c r="AT161" s="8"/>
    </row>
    <row r="162" ht="15.75" customHeight="1">
      <c r="A162" s="23" t="s">
        <v>201</v>
      </c>
      <c r="B162" s="8">
        <f t="shared" si="1"/>
        <v>0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20"/>
      <c r="AI162" s="20"/>
      <c r="AJ162" s="20"/>
      <c r="AK162" s="8"/>
      <c r="AL162" s="8"/>
      <c r="AM162" s="8"/>
      <c r="AN162" s="8"/>
      <c r="AO162" s="8"/>
      <c r="AP162" s="8"/>
      <c r="AQ162" s="8"/>
      <c r="AR162" s="8"/>
      <c r="AS162" s="8"/>
      <c r="AT162" s="8"/>
    </row>
    <row r="163" ht="15.75" customHeight="1">
      <c r="A163" s="24" t="s">
        <v>202</v>
      </c>
      <c r="B163" s="8">
        <f t="shared" si="1"/>
        <v>0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21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</row>
    <row r="164" ht="15.75" customHeight="1">
      <c r="A164" s="24" t="s">
        <v>203</v>
      </c>
      <c r="B164" s="8">
        <f t="shared" si="1"/>
        <v>0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21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</row>
    <row r="165" ht="15.75" customHeight="1">
      <c r="A165" s="24" t="s">
        <v>204</v>
      </c>
      <c r="B165" s="8">
        <f t="shared" si="1"/>
        <v>0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21"/>
      <c r="AJ165" s="8"/>
      <c r="AK165" s="20"/>
      <c r="AL165" s="8"/>
      <c r="AM165" s="8"/>
      <c r="AN165" s="8"/>
      <c r="AO165" s="20"/>
      <c r="AP165" s="8"/>
      <c r="AQ165" s="8"/>
      <c r="AR165" s="8"/>
      <c r="AS165" s="8"/>
      <c r="AT165" s="8"/>
    </row>
    <row r="166" ht="15.75" customHeight="1">
      <c r="A166" s="24" t="s">
        <v>205</v>
      </c>
      <c r="B166" s="8">
        <f t="shared" si="1"/>
        <v>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21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</row>
    <row r="167" ht="15.75" customHeight="1">
      <c r="A167" s="24" t="s">
        <v>206</v>
      </c>
      <c r="B167" s="8">
        <f t="shared" si="1"/>
        <v>0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21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</row>
    <row r="168" ht="15.75" customHeight="1">
      <c r="A168" s="23" t="s">
        <v>5</v>
      </c>
      <c r="B168" s="8">
        <f t="shared" si="1"/>
        <v>0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20"/>
      <c r="AK168" s="8"/>
      <c r="AL168" s="8"/>
      <c r="AM168" s="8"/>
      <c r="AN168" s="8"/>
      <c r="AO168" s="8"/>
      <c r="AP168" s="8"/>
      <c r="AQ168" s="8"/>
      <c r="AR168" s="8"/>
      <c r="AS168" s="8"/>
      <c r="AT168" s="8"/>
    </row>
    <row r="169" ht="15.75" customHeight="1">
      <c r="A169" s="23" t="s">
        <v>207</v>
      </c>
      <c r="B169" s="8">
        <f t="shared" si="1"/>
        <v>11</v>
      </c>
      <c r="C169" s="8"/>
      <c r="D169" s="20"/>
      <c r="E169" s="21">
        <v>2.0</v>
      </c>
      <c r="F169" s="21">
        <v>2.0</v>
      </c>
      <c r="G169" s="8"/>
      <c r="H169" s="8"/>
      <c r="I169" s="20">
        <v>1.25</v>
      </c>
      <c r="J169" s="8"/>
      <c r="K169" s="8"/>
      <c r="L169" s="20">
        <v>2.0</v>
      </c>
      <c r="M169" s="20">
        <v>1.75</v>
      </c>
      <c r="N169" s="20">
        <v>2.0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20"/>
      <c r="AK169" s="20"/>
      <c r="AL169" s="8"/>
      <c r="AM169" s="20"/>
      <c r="AN169" s="20"/>
      <c r="AO169" s="20"/>
      <c r="AP169" s="8"/>
      <c r="AQ169" s="8"/>
      <c r="AR169" s="8"/>
      <c r="AS169" s="8"/>
      <c r="AT169" s="8"/>
    </row>
    <row r="170" ht="15.75" customHeight="1">
      <c r="A170" s="23" t="s">
        <v>208</v>
      </c>
      <c r="B170" s="8">
        <f t="shared" si="1"/>
        <v>0</v>
      </c>
      <c r="C170" s="20"/>
      <c r="D170" s="20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20"/>
      <c r="AL170" s="8"/>
      <c r="AM170" s="20"/>
      <c r="AN170" s="8"/>
      <c r="AO170" s="20"/>
      <c r="AP170" s="8"/>
      <c r="AQ170" s="8"/>
      <c r="AR170" s="8"/>
      <c r="AS170" s="8"/>
      <c r="AT170" s="8"/>
    </row>
    <row r="171" ht="15.75" customHeight="1">
      <c r="A171" s="23" t="s">
        <v>209</v>
      </c>
      <c r="B171" s="8">
        <f t="shared" si="1"/>
        <v>0</v>
      </c>
      <c r="C171" s="2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20"/>
      <c r="AO171" s="8"/>
      <c r="AP171" s="8"/>
      <c r="AQ171" s="8"/>
      <c r="AR171" s="8"/>
      <c r="AS171" s="8"/>
      <c r="AT171" s="8"/>
    </row>
    <row r="172" ht="15.75" customHeight="1">
      <c r="A172" s="23" t="s">
        <v>210</v>
      </c>
      <c r="B172" s="8">
        <f t="shared" si="1"/>
        <v>0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20"/>
      <c r="AL172" s="8"/>
      <c r="AM172" s="8"/>
      <c r="AN172" s="8"/>
      <c r="AO172" s="8"/>
      <c r="AP172" s="8"/>
      <c r="AQ172" s="8"/>
      <c r="AR172" s="8"/>
      <c r="AS172" s="8"/>
      <c r="AT172" s="8"/>
    </row>
    <row r="173" ht="15.75" customHeight="1">
      <c r="A173" s="23" t="s">
        <v>211</v>
      </c>
      <c r="B173" s="8">
        <f t="shared" si="1"/>
        <v>0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20"/>
      <c r="AL173" s="8"/>
      <c r="AM173" s="8"/>
      <c r="AN173" s="8"/>
      <c r="AO173" s="20"/>
      <c r="AP173" s="8"/>
      <c r="AQ173" s="8"/>
      <c r="AR173" s="8"/>
      <c r="AS173" s="8"/>
      <c r="AT173" s="8"/>
    </row>
    <row r="174" ht="15.75" customHeight="1">
      <c r="A174" s="23" t="s">
        <v>212</v>
      </c>
      <c r="B174" s="8">
        <f t="shared" si="1"/>
        <v>0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20"/>
      <c r="AL174" s="8"/>
      <c r="AM174" s="8"/>
      <c r="AN174" s="8"/>
      <c r="AO174" s="8"/>
      <c r="AP174" s="8"/>
      <c r="AQ174" s="8"/>
      <c r="AR174" s="8"/>
      <c r="AS174" s="8"/>
      <c r="AT174" s="8"/>
    </row>
    <row r="175" ht="15.75" customHeight="1">
      <c r="A175" s="24" t="s">
        <v>213</v>
      </c>
      <c r="B175" s="8">
        <f t="shared" si="1"/>
        <v>0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21"/>
      <c r="AM175" s="8"/>
      <c r="AN175" s="8"/>
      <c r="AO175" s="8"/>
      <c r="AP175" s="8"/>
      <c r="AQ175" s="8"/>
      <c r="AR175" s="8"/>
      <c r="AS175" s="8"/>
      <c r="AT175" s="8"/>
    </row>
    <row r="176" ht="15.75" customHeight="1">
      <c r="A176" s="24" t="s">
        <v>214</v>
      </c>
      <c r="B176" s="8">
        <f t="shared" si="1"/>
        <v>2</v>
      </c>
      <c r="C176" s="8"/>
      <c r="D176" s="20">
        <v>2.0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21"/>
      <c r="AM176" s="8"/>
      <c r="AN176" s="20"/>
      <c r="AO176" s="8"/>
      <c r="AP176" s="8"/>
      <c r="AQ176" s="8"/>
      <c r="AR176" s="8"/>
      <c r="AS176" s="8"/>
      <c r="AT176" s="8"/>
    </row>
    <row r="177" ht="15.75" customHeight="1">
      <c r="A177" s="24" t="s">
        <v>215</v>
      </c>
      <c r="B177" s="8">
        <f t="shared" si="1"/>
        <v>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21"/>
      <c r="AM177" s="8"/>
      <c r="AN177" s="8"/>
      <c r="AO177" s="8"/>
      <c r="AP177" s="8"/>
      <c r="AQ177" s="8"/>
      <c r="AR177" s="8"/>
      <c r="AS177" s="8"/>
      <c r="AT177" s="8"/>
    </row>
    <row r="178" ht="15.75" customHeight="1">
      <c r="A178" s="24" t="s">
        <v>216</v>
      </c>
      <c r="B178" s="8">
        <f t="shared" si="1"/>
        <v>15.5</v>
      </c>
      <c r="C178" s="20">
        <v>2.0</v>
      </c>
      <c r="D178" s="20">
        <v>2.0</v>
      </c>
      <c r="E178" s="21">
        <v>2.0</v>
      </c>
      <c r="F178" s="21">
        <v>2.0</v>
      </c>
      <c r="G178" s="8"/>
      <c r="H178" s="8"/>
      <c r="I178" s="8"/>
      <c r="J178" s="20">
        <v>1.5</v>
      </c>
      <c r="K178" s="21">
        <v>2.0</v>
      </c>
      <c r="L178" s="8"/>
      <c r="M178" s="8"/>
      <c r="N178" s="20">
        <v>2.0</v>
      </c>
      <c r="O178" s="20">
        <v>2.0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21"/>
      <c r="AM178" s="20"/>
      <c r="AN178" s="20"/>
      <c r="AO178" s="20"/>
      <c r="AP178" s="8"/>
      <c r="AQ178" s="8"/>
      <c r="AR178" s="8"/>
      <c r="AS178" s="8"/>
      <c r="AT178" s="8"/>
    </row>
    <row r="179" ht="15.75" customHeight="1">
      <c r="A179" s="24" t="s">
        <v>217</v>
      </c>
      <c r="B179" s="8">
        <f t="shared" si="1"/>
        <v>0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21"/>
      <c r="AM179" s="8"/>
      <c r="AN179" s="8"/>
      <c r="AO179" s="8"/>
      <c r="AP179" s="8"/>
      <c r="AQ179" s="8"/>
      <c r="AR179" s="8"/>
      <c r="AS179" s="8"/>
      <c r="AT179" s="8"/>
    </row>
    <row r="180" ht="15.75" customHeight="1">
      <c r="A180" s="24" t="s">
        <v>218</v>
      </c>
      <c r="B180" s="8">
        <f t="shared" si="1"/>
        <v>2</v>
      </c>
      <c r="C180" s="8"/>
      <c r="D180" s="20">
        <v>2.0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20"/>
      <c r="AM180" s="8"/>
      <c r="AN180" s="8"/>
      <c r="AO180" s="8"/>
      <c r="AP180" s="8"/>
      <c r="AQ180" s="8"/>
      <c r="AR180" s="8"/>
      <c r="AS180" s="8"/>
      <c r="AT180" s="8"/>
    </row>
    <row r="181" ht="15.75" customHeight="1">
      <c r="A181" s="23" t="s">
        <v>219</v>
      </c>
      <c r="B181" s="8">
        <f t="shared" si="1"/>
        <v>21.75</v>
      </c>
      <c r="C181" s="20">
        <v>2.0</v>
      </c>
      <c r="D181" s="20">
        <v>2.0</v>
      </c>
      <c r="E181" s="21">
        <v>2.0</v>
      </c>
      <c r="F181" s="21">
        <v>2.0</v>
      </c>
      <c r="G181" s="20">
        <v>2.0</v>
      </c>
      <c r="H181" s="20">
        <v>2.0</v>
      </c>
      <c r="I181" s="8"/>
      <c r="J181" s="8"/>
      <c r="K181" s="21">
        <v>2.0</v>
      </c>
      <c r="L181" s="20">
        <v>2.0</v>
      </c>
      <c r="M181" s="20">
        <v>1.75</v>
      </c>
      <c r="N181" s="20">
        <v>2.0</v>
      </c>
      <c r="O181" s="20">
        <v>2.0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20"/>
      <c r="AM181" s="20"/>
      <c r="AN181" s="20"/>
      <c r="AO181" s="20"/>
      <c r="AP181" s="8"/>
      <c r="AQ181" s="8"/>
      <c r="AR181" s="8"/>
      <c r="AS181" s="8"/>
      <c r="AT181" s="8"/>
    </row>
    <row r="182" ht="15.75" customHeight="1">
      <c r="A182" s="23" t="s">
        <v>220</v>
      </c>
      <c r="B182" s="8">
        <f t="shared" si="1"/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20"/>
      <c r="AM182" s="8"/>
      <c r="AN182" s="8"/>
      <c r="AO182" s="8"/>
      <c r="AP182" s="8"/>
      <c r="AQ182" s="8"/>
      <c r="AR182" s="8"/>
      <c r="AS182" s="8"/>
      <c r="AT182" s="8"/>
    </row>
    <row r="183" ht="15.75" customHeight="1">
      <c r="A183" s="23" t="s">
        <v>221</v>
      </c>
      <c r="B183" s="8">
        <f t="shared" si="1"/>
        <v>0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20"/>
      <c r="AN183" s="20"/>
      <c r="AO183" s="8"/>
      <c r="AP183" s="8"/>
      <c r="AQ183" s="8"/>
      <c r="AR183" s="8"/>
      <c r="AS183" s="8"/>
      <c r="AT183" s="8"/>
    </row>
    <row r="184" ht="15.75" customHeight="1">
      <c r="A184" s="23" t="s">
        <v>222</v>
      </c>
      <c r="B184" s="8">
        <f t="shared" si="1"/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20"/>
      <c r="AN184" s="8"/>
      <c r="AO184" s="20"/>
      <c r="AP184" s="8"/>
      <c r="AQ184" s="8"/>
      <c r="AR184" s="8"/>
      <c r="AS184" s="8"/>
      <c r="AT184" s="8"/>
    </row>
    <row r="185" ht="15.75" customHeight="1">
      <c r="A185" s="23" t="s">
        <v>223</v>
      </c>
      <c r="B185" s="8">
        <f t="shared" si="1"/>
        <v>0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20"/>
      <c r="AN185" s="8"/>
      <c r="AO185" s="8"/>
      <c r="AP185" s="8"/>
      <c r="AQ185" s="8"/>
      <c r="AR185" s="8"/>
      <c r="AS185" s="8"/>
      <c r="AT185" s="8"/>
    </row>
    <row r="186" ht="15.75" customHeight="1">
      <c r="A186" s="23" t="s">
        <v>224</v>
      </c>
      <c r="B186" s="8">
        <f t="shared" si="1"/>
        <v>2</v>
      </c>
      <c r="C186" s="8"/>
      <c r="D186" s="8"/>
      <c r="E186" s="8"/>
      <c r="F186" s="8"/>
      <c r="G186" s="8"/>
      <c r="H186" s="20">
        <v>2.0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20"/>
      <c r="AO186" s="8"/>
      <c r="AP186" s="8"/>
      <c r="AQ186" s="8"/>
      <c r="AR186" s="8"/>
      <c r="AS186" s="8"/>
      <c r="AT186" s="8"/>
    </row>
    <row r="187" ht="15.75" customHeight="1">
      <c r="A187" s="23" t="s">
        <v>225</v>
      </c>
      <c r="B187" s="8">
        <f t="shared" si="1"/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20"/>
      <c r="AO187" s="8"/>
      <c r="AP187" s="8"/>
      <c r="AQ187" s="8"/>
      <c r="AR187" s="8"/>
      <c r="AS187" s="8"/>
      <c r="AT187" s="8"/>
    </row>
    <row r="188" ht="15.75" customHeight="1">
      <c r="A188" s="23" t="s">
        <v>226</v>
      </c>
      <c r="B188" s="8">
        <f t="shared" si="1"/>
        <v>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20"/>
      <c r="AO188" s="8"/>
      <c r="AP188" s="8"/>
      <c r="AQ188" s="8"/>
      <c r="AR188" s="8"/>
      <c r="AS188" s="8"/>
      <c r="AT188" s="8"/>
    </row>
    <row r="189" ht="15.75" customHeight="1">
      <c r="A189" s="23" t="s">
        <v>227</v>
      </c>
      <c r="B189" s="8">
        <f t="shared" si="1"/>
        <v>0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20"/>
      <c r="AO189" s="8"/>
      <c r="AP189" s="8"/>
      <c r="AQ189" s="8"/>
      <c r="AR189" s="8"/>
      <c r="AS189" s="8"/>
      <c r="AT189" s="8"/>
    </row>
    <row r="190" ht="15.75" customHeight="1">
      <c r="A190" s="23" t="s">
        <v>228</v>
      </c>
      <c r="B190" s="8">
        <f t="shared" si="1"/>
        <v>0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20"/>
      <c r="AO190" s="8"/>
      <c r="AP190" s="8"/>
      <c r="AQ190" s="8"/>
      <c r="AR190" s="8"/>
      <c r="AS190" s="8"/>
      <c r="AT190" s="8"/>
    </row>
    <row r="191" ht="15.75" customHeight="1">
      <c r="A191" s="23" t="s">
        <v>229</v>
      </c>
      <c r="B191" s="8">
        <f t="shared" si="1"/>
        <v>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20"/>
      <c r="AO191" s="8"/>
      <c r="AP191" s="8"/>
      <c r="AQ191" s="8"/>
      <c r="AR191" s="8"/>
      <c r="AS191" s="8"/>
      <c r="AT191" s="8"/>
    </row>
    <row r="192" ht="15.75" customHeight="1">
      <c r="A192" s="23" t="s">
        <v>60</v>
      </c>
      <c r="B192" s="8">
        <f t="shared" si="1"/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20"/>
      <c r="AP192" s="8"/>
      <c r="AQ192" s="8"/>
      <c r="AR192" s="8"/>
      <c r="AS192" s="8"/>
      <c r="AT192" s="8"/>
    </row>
    <row r="193" ht="15.75" customHeight="1">
      <c r="A193" s="23" t="s">
        <v>230</v>
      </c>
      <c r="B193" s="8">
        <f t="shared" si="1"/>
        <v>0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20"/>
      <c r="AP193" s="8"/>
      <c r="AQ193" s="8"/>
      <c r="AR193" s="8"/>
      <c r="AS193" s="8"/>
      <c r="AT193" s="8"/>
    </row>
    <row r="194" ht="15.75" customHeight="1">
      <c r="A194" s="23" t="s">
        <v>231</v>
      </c>
      <c r="B194" s="8">
        <f t="shared" si="1"/>
        <v>5.5</v>
      </c>
      <c r="C194" s="20"/>
      <c r="D194" s="20">
        <v>2.0</v>
      </c>
      <c r="E194" s="21">
        <v>1.5</v>
      </c>
      <c r="F194" s="8"/>
      <c r="G194" s="20">
        <v>2.0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20"/>
      <c r="AP194" s="8"/>
      <c r="AQ194" s="8"/>
      <c r="AR194" s="8"/>
      <c r="AS194" s="8"/>
      <c r="AT194" s="8"/>
    </row>
    <row r="195" ht="15.75" customHeight="1">
      <c r="A195" s="23" t="s">
        <v>232</v>
      </c>
      <c r="B195" s="8">
        <f t="shared" si="1"/>
        <v>0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20"/>
      <c r="AP195" s="8"/>
      <c r="AQ195" s="8"/>
      <c r="AR195" s="8"/>
      <c r="AS195" s="8"/>
      <c r="AT195" s="8"/>
    </row>
    <row r="196" ht="15.75" customHeight="1">
      <c r="A196" s="23" t="s">
        <v>233</v>
      </c>
      <c r="B196" s="8">
        <f t="shared" si="1"/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20"/>
      <c r="AP196" s="8"/>
      <c r="AQ196" s="8"/>
      <c r="AR196" s="8"/>
      <c r="AS196" s="8"/>
      <c r="AT196" s="8"/>
    </row>
    <row r="197" ht="15.75" customHeight="1">
      <c r="A197" s="23" t="s">
        <v>234</v>
      </c>
      <c r="B197" s="8">
        <f t="shared" si="1"/>
        <v>0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20"/>
      <c r="AP197" s="8"/>
      <c r="AQ197" s="8"/>
      <c r="AR197" s="8"/>
      <c r="AS197" s="8"/>
      <c r="AT197" s="8"/>
    </row>
    <row r="198" ht="15.75" customHeight="1">
      <c r="A198" s="23" t="s">
        <v>363</v>
      </c>
      <c r="B198" s="8">
        <f t="shared" si="1"/>
        <v>9.5</v>
      </c>
      <c r="C198" s="20">
        <v>2.0</v>
      </c>
      <c r="D198" s="20">
        <v>2.0</v>
      </c>
      <c r="E198" s="21">
        <v>2.0</v>
      </c>
      <c r="F198" s="8"/>
      <c r="G198" s="8"/>
      <c r="H198" s="8"/>
      <c r="I198" s="20">
        <v>1.5</v>
      </c>
      <c r="J198" s="8"/>
      <c r="K198" s="8"/>
      <c r="L198" s="8"/>
      <c r="M198" s="8"/>
      <c r="N198" s="8"/>
      <c r="O198" s="20">
        <v>2.0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</row>
    <row r="199" ht="15.75" customHeight="1">
      <c r="A199" s="23" t="s">
        <v>364</v>
      </c>
      <c r="B199" s="8">
        <f t="shared" si="1"/>
        <v>2</v>
      </c>
      <c r="C199" s="20">
        <v>2.0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</row>
    <row r="200" ht="15.75" customHeight="1">
      <c r="A200" s="23" t="s">
        <v>365</v>
      </c>
      <c r="B200" s="8">
        <f t="shared" si="1"/>
        <v>4</v>
      </c>
      <c r="C200" s="20">
        <v>2.0</v>
      </c>
      <c r="D200" s="8"/>
      <c r="E200" s="8"/>
      <c r="F200" s="8"/>
      <c r="G200" s="20">
        <v>2.0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</row>
    <row r="201" ht="15.75" customHeight="1">
      <c r="A201" s="23" t="s">
        <v>366</v>
      </c>
      <c r="B201" s="8">
        <f t="shared" si="1"/>
        <v>2</v>
      </c>
      <c r="C201" s="20">
        <v>2.0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</row>
    <row r="202" ht="15.75" customHeight="1">
      <c r="A202" s="23" t="s">
        <v>367</v>
      </c>
      <c r="B202" s="8">
        <f t="shared" si="1"/>
        <v>0</v>
      </c>
      <c r="C202" s="2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</row>
    <row r="203" ht="15.75" customHeight="1">
      <c r="A203" s="23" t="s">
        <v>368</v>
      </c>
      <c r="B203" s="8">
        <f t="shared" si="1"/>
        <v>0</v>
      </c>
      <c r="C203" s="2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</row>
    <row r="204" ht="15.75" customHeight="1">
      <c r="A204" s="23" t="s">
        <v>347</v>
      </c>
      <c r="B204" s="8">
        <f t="shared" si="1"/>
        <v>0</v>
      </c>
      <c r="C204" s="2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</row>
    <row r="205" ht="15.75" customHeight="1">
      <c r="A205" s="23" t="s">
        <v>369</v>
      </c>
      <c r="B205" s="8">
        <f t="shared" si="1"/>
        <v>2</v>
      </c>
      <c r="C205" s="8"/>
      <c r="D205" s="20">
        <v>2.0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</row>
    <row r="206" ht="15.75" customHeight="1">
      <c r="A206" s="23" t="s">
        <v>370</v>
      </c>
      <c r="B206" s="8">
        <f t="shared" si="1"/>
        <v>2</v>
      </c>
      <c r="C206" s="8"/>
      <c r="D206" s="20">
        <v>2.0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</row>
    <row r="207" ht="15.75" customHeight="1">
      <c r="A207" s="23" t="s">
        <v>371</v>
      </c>
      <c r="B207" s="8">
        <f t="shared" si="1"/>
        <v>0</v>
      </c>
      <c r="C207" s="8"/>
      <c r="D207" s="20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</row>
    <row r="208" ht="15.75" customHeight="1">
      <c r="A208" s="23" t="s">
        <v>372</v>
      </c>
      <c r="B208" s="8">
        <f t="shared" si="1"/>
        <v>0</v>
      </c>
      <c r="C208" s="8"/>
      <c r="D208" s="20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</row>
    <row r="209" ht="15.75" customHeight="1">
      <c r="A209" s="24" t="s">
        <v>250</v>
      </c>
      <c r="B209" s="8">
        <f t="shared" si="1"/>
        <v>6</v>
      </c>
      <c r="C209" s="8"/>
      <c r="D209" s="8"/>
      <c r="E209" s="21">
        <v>2.0</v>
      </c>
      <c r="F209" s="21">
        <v>2.0</v>
      </c>
      <c r="G209" s="20">
        <v>2.0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</row>
    <row r="210" ht="15.75" customHeight="1">
      <c r="A210" s="24" t="s">
        <v>373</v>
      </c>
      <c r="B210" s="8">
        <f t="shared" si="1"/>
        <v>2</v>
      </c>
      <c r="C210" s="8"/>
      <c r="D210" s="8"/>
      <c r="E210" s="21">
        <v>2.0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</row>
    <row r="211" ht="15.75" customHeight="1">
      <c r="A211" s="24" t="s">
        <v>374</v>
      </c>
      <c r="B211" s="8">
        <f t="shared" si="1"/>
        <v>4</v>
      </c>
      <c r="C211" s="8"/>
      <c r="D211" s="8"/>
      <c r="E211" s="21">
        <v>2.0</v>
      </c>
      <c r="F211" s="8"/>
      <c r="G211" s="8"/>
      <c r="H211" s="20">
        <v>2.0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</row>
    <row r="212" ht="15.75" customHeight="1">
      <c r="A212" s="24" t="s">
        <v>375</v>
      </c>
      <c r="B212" s="8">
        <f t="shared" si="1"/>
        <v>0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</row>
    <row r="213" ht="15.75" customHeight="1">
      <c r="A213" s="24" t="s">
        <v>376</v>
      </c>
      <c r="B213" s="8">
        <f t="shared" si="1"/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</row>
    <row r="214" ht="15.75" customHeight="1">
      <c r="A214" s="24" t="s">
        <v>377</v>
      </c>
      <c r="B214" s="8">
        <f t="shared" si="1"/>
        <v>2</v>
      </c>
      <c r="C214" s="8"/>
      <c r="D214" s="8"/>
      <c r="E214" s="8"/>
      <c r="F214" s="21">
        <v>2.0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</row>
    <row r="215" ht="15.75" customHeight="1">
      <c r="A215" s="24" t="s">
        <v>378</v>
      </c>
      <c r="B215" s="8">
        <f t="shared" si="1"/>
        <v>0</v>
      </c>
      <c r="C215" s="8"/>
      <c r="D215" s="8"/>
      <c r="E215" s="8"/>
      <c r="F215" s="2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</row>
    <row r="216" ht="15.75" customHeight="1">
      <c r="A216" s="24" t="s">
        <v>257</v>
      </c>
      <c r="B216" s="8">
        <f t="shared" si="1"/>
        <v>0</v>
      </c>
      <c r="C216" s="8"/>
      <c r="D216" s="8"/>
      <c r="E216" s="8"/>
      <c r="F216" s="2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</row>
    <row r="217" ht="15.75" customHeight="1">
      <c r="A217" s="24" t="s">
        <v>379</v>
      </c>
      <c r="B217" s="8">
        <f t="shared" si="1"/>
        <v>0</v>
      </c>
      <c r="C217" s="8"/>
      <c r="D217" s="8"/>
      <c r="E217" s="8"/>
      <c r="F217" s="2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</row>
    <row r="218" ht="15.75" customHeight="1">
      <c r="A218" s="24" t="s">
        <v>380</v>
      </c>
      <c r="B218" s="8">
        <f t="shared" si="1"/>
        <v>0</v>
      </c>
      <c r="C218" s="8"/>
      <c r="D218" s="8"/>
      <c r="E218" s="8"/>
      <c r="F218" s="2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</row>
    <row r="219" ht="15.75" customHeight="1">
      <c r="A219" s="23" t="s">
        <v>381</v>
      </c>
      <c r="B219" s="8">
        <f t="shared" si="1"/>
        <v>2</v>
      </c>
      <c r="C219" s="8"/>
      <c r="D219" s="8"/>
      <c r="E219" s="8"/>
      <c r="F219" s="8"/>
      <c r="G219" s="20">
        <v>2.0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</row>
    <row r="220" ht="15.75" customHeight="1">
      <c r="A220" s="23" t="s">
        <v>382</v>
      </c>
      <c r="B220" s="8">
        <f t="shared" si="1"/>
        <v>2</v>
      </c>
      <c r="C220" s="8"/>
      <c r="D220" s="8"/>
      <c r="E220" s="8"/>
      <c r="F220" s="8"/>
      <c r="G220" s="20">
        <v>2.0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</row>
    <row r="221" ht="15.75" customHeight="1">
      <c r="A221" s="23" t="s">
        <v>383</v>
      </c>
      <c r="B221" s="8">
        <f t="shared" si="1"/>
        <v>2</v>
      </c>
      <c r="C221" s="8"/>
      <c r="D221" s="8"/>
      <c r="E221" s="8"/>
      <c r="F221" s="8"/>
      <c r="G221" s="20">
        <v>2.0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</row>
    <row r="222" ht="15.75" customHeight="1">
      <c r="A222" s="23" t="s">
        <v>245</v>
      </c>
      <c r="B222" s="8">
        <f t="shared" si="1"/>
        <v>2</v>
      </c>
      <c r="C222" s="8"/>
      <c r="D222" s="8"/>
      <c r="E222" s="8"/>
      <c r="F222" s="8"/>
      <c r="G222" s="20">
        <v>2.0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</row>
    <row r="223" ht="15.75" customHeight="1">
      <c r="A223" s="23" t="s">
        <v>384</v>
      </c>
      <c r="B223" s="8">
        <f t="shared" si="1"/>
        <v>3</v>
      </c>
      <c r="C223" s="8"/>
      <c r="D223" s="8"/>
      <c r="E223" s="8"/>
      <c r="F223" s="8"/>
      <c r="G223" s="20">
        <v>3.0</v>
      </c>
      <c r="H223" s="2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</row>
    <row r="224" ht="15.75" customHeight="1">
      <c r="A224" s="23" t="s">
        <v>385</v>
      </c>
      <c r="B224" s="8">
        <f t="shared" si="1"/>
        <v>3</v>
      </c>
      <c r="C224" s="8"/>
      <c r="D224" s="8"/>
      <c r="E224" s="8"/>
      <c r="F224" s="8"/>
      <c r="G224" s="20">
        <v>3.0</v>
      </c>
      <c r="H224" s="20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</row>
    <row r="225" ht="15.75" customHeight="1">
      <c r="A225" s="23" t="s">
        <v>386</v>
      </c>
      <c r="B225" s="8">
        <f t="shared" si="1"/>
        <v>3.25</v>
      </c>
      <c r="C225" s="8"/>
      <c r="D225" s="8"/>
      <c r="E225" s="8"/>
      <c r="F225" s="8"/>
      <c r="G225" s="8"/>
      <c r="H225" s="20">
        <v>2.0</v>
      </c>
      <c r="I225" s="20">
        <v>1.25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</row>
    <row r="226" ht="15.75" customHeight="1">
      <c r="A226" s="23" t="s">
        <v>387</v>
      </c>
      <c r="B226" s="8">
        <f t="shared" si="1"/>
        <v>5</v>
      </c>
      <c r="C226" s="8"/>
      <c r="D226" s="8"/>
      <c r="E226" s="8"/>
      <c r="F226" s="8"/>
      <c r="G226" s="8"/>
      <c r="H226" s="20">
        <v>2.0</v>
      </c>
      <c r="I226" s="20">
        <v>1.25</v>
      </c>
      <c r="J226" s="8"/>
      <c r="K226" s="21">
        <v>1.75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</row>
    <row r="227" ht="15.75" customHeight="1">
      <c r="A227" s="23" t="s">
        <v>388</v>
      </c>
      <c r="B227" s="8">
        <f t="shared" si="1"/>
        <v>2</v>
      </c>
      <c r="C227" s="8"/>
      <c r="D227" s="8"/>
      <c r="E227" s="8"/>
      <c r="F227" s="8"/>
      <c r="G227" s="8"/>
      <c r="H227" s="20">
        <v>2.0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</row>
    <row r="228" ht="15.75" customHeight="1">
      <c r="A228" s="23" t="s">
        <v>389</v>
      </c>
      <c r="B228" s="8">
        <f t="shared" si="1"/>
        <v>7.75</v>
      </c>
      <c r="C228" s="8"/>
      <c r="D228" s="8"/>
      <c r="E228" s="8"/>
      <c r="F228" s="8"/>
      <c r="G228" s="8"/>
      <c r="H228" s="20">
        <v>2.0</v>
      </c>
      <c r="I228" s="8"/>
      <c r="J228" s="8"/>
      <c r="K228" s="21">
        <v>2.0</v>
      </c>
      <c r="L228" s="20">
        <v>1.75</v>
      </c>
      <c r="M228" s="8"/>
      <c r="N228" s="8"/>
      <c r="O228" s="20">
        <v>2.0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</row>
    <row r="229" ht="15.75" customHeight="1">
      <c r="A229" s="23" t="s">
        <v>281</v>
      </c>
      <c r="B229" s="8">
        <f t="shared" si="1"/>
        <v>2</v>
      </c>
      <c r="C229" s="8"/>
      <c r="D229" s="8"/>
      <c r="E229" s="8"/>
      <c r="F229" s="8"/>
      <c r="G229" s="8"/>
      <c r="H229" s="20">
        <v>2.0</v>
      </c>
      <c r="I229" s="8"/>
      <c r="J229" s="8"/>
      <c r="K229" s="8"/>
      <c r="L229" s="8"/>
      <c r="M229" s="8"/>
      <c r="N229" s="8"/>
      <c r="O229" s="20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</row>
    <row r="230" ht="15.75" customHeight="1">
      <c r="A230" s="23" t="s">
        <v>282</v>
      </c>
      <c r="B230" s="8">
        <f t="shared" si="1"/>
        <v>1.75</v>
      </c>
      <c r="C230" s="8"/>
      <c r="D230" s="8"/>
      <c r="E230" s="8"/>
      <c r="F230" s="8"/>
      <c r="G230" s="8"/>
      <c r="H230" s="20">
        <v>1.75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</row>
    <row r="231" ht="15.75" customHeight="1">
      <c r="A231" s="23" t="s">
        <v>390</v>
      </c>
      <c r="B231" s="8">
        <f t="shared" si="1"/>
        <v>1.75</v>
      </c>
      <c r="C231" s="8"/>
      <c r="D231" s="8"/>
      <c r="E231" s="8"/>
      <c r="F231" s="8"/>
      <c r="G231" s="8"/>
      <c r="H231" s="20">
        <v>1.75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</row>
    <row r="232" ht="15.75" customHeight="1">
      <c r="A232" s="23" t="s">
        <v>391</v>
      </c>
      <c r="B232" s="8">
        <f t="shared" si="1"/>
        <v>1.75</v>
      </c>
      <c r="C232" s="8"/>
      <c r="D232" s="8"/>
      <c r="E232" s="8"/>
      <c r="F232" s="8"/>
      <c r="G232" s="8"/>
      <c r="H232" s="20">
        <v>1.75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</row>
    <row r="233" ht="15.75" customHeight="1">
      <c r="A233" s="23" t="s">
        <v>392</v>
      </c>
      <c r="B233" s="8">
        <f t="shared" si="1"/>
        <v>2</v>
      </c>
      <c r="C233" s="8"/>
      <c r="D233" s="8"/>
      <c r="E233" s="8"/>
      <c r="F233" s="8"/>
      <c r="G233" s="8"/>
      <c r="H233" s="20">
        <v>2.0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</row>
    <row r="234" ht="15.75" customHeight="1">
      <c r="A234" s="23" t="s">
        <v>393</v>
      </c>
      <c r="B234" s="8">
        <f t="shared" si="1"/>
        <v>1.5</v>
      </c>
      <c r="C234" s="8"/>
      <c r="D234" s="8"/>
      <c r="E234" s="8"/>
      <c r="F234" s="8"/>
      <c r="G234" s="8"/>
      <c r="H234" s="8"/>
      <c r="I234" s="20">
        <v>1.5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</row>
    <row r="235" ht="15.75" customHeight="1">
      <c r="A235" s="23" t="s">
        <v>394</v>
      </c>
      <c r="B235" s="8">
        <f t="shared" si="1"/>
        <v>1.5</v>
      </c>
      <c r="C235" s="8"/>
      <c r="D235" s="8"/>
      <c r="E235" s="8"/>
      <c r="F235" s="8"/>
      <c r="G235" s="8"/>
      <c r="H235" s="8"/>
      <c r="I235" s="20">
        <v>1.5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</row>
    <row r="236" ht="15.75" customHeight="1">
      <c r="A236" s="23" t="s">
        <v>395</v>
      </c>
      <c r="B236" s="8">
        <f t="shared" si="1"/>
        <v>0</v>
      </c>
      <c r="C236" s="8"/>
      <c r="D236" s="8"/>
      <c r="E236" s="8"/>
      <c r="F236" s="8"/>
      <c r="G236" s="8"/>
      <c r="H236" s="8"/>
      <c r="I236" s="20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</row>
    <row r="237" ht="15.75" customHeight="1">
      <c r="A237" s="23" t="s">
        <v>396</v>
      </c>
      <c r="B237" s="8">
        <f t="shared" si="1"/>
        <v>1.5</v>
      </c>
      <c r="C237" s="8"/>
      <c r="D237" s="8"/>
      <c r="E237" s="8"/>
      <c r="F237" s="8"/>
      <c r="G237" s="8"/>
      <c r="H237" s="8"/>
      <c r="I237" s="20"/>
      <c r="J237" s="8"/>
      <c r="K237" s="8"/>
      <c r="L237" s="8"/>
      <c r="M237" s="20">
        <v>1.5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</row>
    <row r="238" ht="15.75" customHeight="1">
      <c r="A238" s="23" t="s">
        <v>397</v>
      </c>
      <c r="B238" s="8">
        <f t="shared" si="1"/>
        <v>2.75</v>
      </c>
      <c r="C238" s="8"/>
      <c r="D238" s="8"/>
      <c r="E238" s="8"/>
      <c r="F238" s="8"/>
      <c r="G238" s="8"/>
      <c r="H238" s="8"/>
      <c r="I238" s="20"/>
      <c r="J238" s="8"/>
      <c r="K238" s="8"/>
      <c r="L238" s="8"/>
      <c r="M238" s="20">
        <v>1.75</v>
      </c>
      <c r="N238" s="20">
        <v>1.0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</row>
    <row r="239" ht="15.75" customHeight="1">
      <c r="A239" s="23" t="s">
        <v>398</v>
      </c>
      <c r="B239" s="8">
        <f t="shared" si="1"/>
        <v>1.5</v>
      </c>
      <c r="C239" s="8"/>
      <c r="D239" s="8"/>
      <c r="E239" s="8"/>
      <c r="F239" s="8"/>
      <c r="G239" s="8"/>
      <c r="H239" s="8"/>
      <c r="I239" s="8"/>
      <c r="J239" s="20">
        <v>1.5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</row>
    <row r="240" ht="15.75" customHeight="1">
      <c r="A240" s="23" t="s">
        <v>399</v>
      </c>
      <c r="B240" s="8">
        <f t="shared" si="1"/>
        <v>1.5</v>
      </c>
      <c r="C240" s="8"/>
      <c r="D240" s="8"/>
      <c r="E240" s="8"/>
      <c r="F240" s="8"/>
      <c r="G240" s="8"/>
      <c r="H240" s="8"/>
      <c r="I240" s="8"/>
      <c r="J240" s="20">
        <v>1.5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</row>
    <row r="241" ht="15.75" customHeight="1">
      <c r="A241" s="23" t="s">
        <v>400</v>
      </c>
      <c r="B241" s="8">
        <f t="shared" si="1"/>
        <v>1.5</v>
      </c>
      <c r="C241" s="8"/>
      <c r="D241" s="8"/>
      <c r="E241" s="8"/>
      <c r="F241" s="8"/>
      <c r="G241" s="8"/>
      <c r="H241" s="8"/>
      <c r="I241" s="8"/>
      <c r="J241" s="20">
        <v>1.5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</row>
    <row r="242" ht="15.75" customHeight="1">
      <c r="A242" s="23" t="s">
        <v>401</v>
      </c>
      <c r="B242" s="8">
        <f t="shared" si="1"/>
        <v>1.5</v>
      </c>
      <c r="C242" s="8"/>
      <c r="D242" s="8"/>
      <c r="E242" s="8"/>
      <c r="F242" s="8"/>
      <c r="G242" s="8"/>
      <c r="H242" s="8"/>
      <c r="I242" s="8"/>
      <c r="J242" s="20">
        <v>1.5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</row>
    <row r="243" ht="15.75" customHeight="1">
      <c r="A243" s="23" t="s">
        <v>402</v>
      </c>
      <c r="B243" s="8">
        <f t="shared" si="1"/>
        <v>1.5</v>
      </c>
      <c r="C243" s="8"/>
      <c r="D243" s="8"/>
      <c r="E243" s="8"/>
      <c r="F243" s="8"/>
      <c r="G243" s="8"/>
      <c r="H243" s="8"/>
      <c r="I243" s="8"/>
      <c r="J243" s="20">
        <v>1.5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</row>
    <row r="244" ht="15.75" customHeight="1">
      <c r="A244" s="23" t="s">
        <v>403</v>
      </c>
      <c r="B244" s="8">
        <f t="shared" si="1"/>
        <v>1.5</v>
      </c>
      <c r="C244" s="8"/>
      <c r="D244" s="8"/>
      <c r="E244" s="8"/>
      <c r="F244" s="8"/>
      <c r="G244" s="8"/>
      <c r="H244" s="8"/>
      <c r="I244" s="8"/>
      <c r="J244" s="20">
        <v>1.5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</row>
    <row r="245" ht="15.75" customHeight="1">
      <c r="A245" s="23" t="s">
        <v>404</v>
      </c>
      <c r="B245" s="8">
        <f t="shared" si="1"/>
        <v>1.5</v>
      </c>
      <c r="C245" s="8"/>
      <c r="D245" s="8"/>
      <c r="E245" s="8"/>
      <c r="F245" s="8"/>
      <c r="G245" s="8"/>
      <c r="H245" s="8"/>
      <c r="I245" s="8"/>
      <c r="J245" s="20">
        <v>1.5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</row>
    <row r="246" ht="15.75" customHeight="1">
      <c r="A246" s="23" t="s">
        <v>405</v>
      </c>
      <c r="B246" s="8">
        <f t="shared" si="1"/>
        <v>1.5</v>
      </c>
      <c r="C246" s="8"/>
      <c r="D246" s="8"/>
      <c r="E246" s="8"/>
      <c r="F246" s="8"/>
      <c r="G246" s="8"/>
      <c r="H246" s="8"/>
      <c r="I246" s="8"/>
      <c r="J246" s="20">
        <v>1.5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</row>
    <row r="247" ht="15.75" customHeight="1">
      <c r="A247" s="23" t="s">
        <v>406</v>
      </c>
      <c r="B247" s="8">
        <f t="shared" si="1"/>
        <v>1.5</v>
      </c>
      <c r="C247" s="8"/>
      <c r="D247" s="8"/>
      <c r="E247" s="8"/>
      <c r="F247" s="8"/>
      <c r="G247" s="8"/>
      <c r="H247" s="8"/>
      <c r="I247" s="8"/>
      <c r="J247" s="20">
        <v>1.5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</row>
    <row r="248" ht="15.75" customHeight="1">
      <c r="A248" s="23" t="s">
        <v>407</v>
      </c>
      <c r="B248" s="8">
        <f t="shared" si="1"/>
        <v>1.5</v>
      </c>
      <c r="C248" s="8"/>
      <c r="D248" s="8"/>
      <c r="E248" s="8"/>
      <c r="F248" s="8"/>
      <c r="G248" s="8"/>
      <c r="H248" s="8"/>
      <c r="I248" s="8"/>
      <c r="J248" s="20">
        <v>1.5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</row>
    <row r="249" ht="15.75" customHeight="1">
      <c r="A249" s="23" t="s">
        <v>408</v>
      </c>
      <c r="B249" s="8">
        <f t="shared" si="1"/>
        <v>1.5</v>
      </c>
      <c r="C249" s="8"/>
      <c r="D249" s="8"/>
      <c r="E249" s="8"/>
      <c r="F249" s="8"/>
      <c r="G249" s="8"/>
      <c r="H249" s="8"/>
      <c r="I249" s="8"/>
      <c r="J249" s="20">
        <v>1.5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</row>
    <row r="250" ht="15.75" customHeight="1">
      <c r="A250" s="23" t="s">
        <v>409</v>
      </c>
      <c r="B250" s="8">
        <f t="shared" si="1"/>
        <v>1.5</v>
      </c>
      <c r="C250" s="8"/>
      <c r="D250" s="8"/>
      <c r="E250" s="8"/>
      <c r="F250" s="8"/>
      <c r="G250" s="8"/>
      <c r="H250" s="8"/>
      <c r="I250" s="8"/>
      <c r="J250" s="20">
        <v>1.5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</row>
    <row r="251" ht="15.75" customHeight="1">
      <c r="A251" s="23" t="s">
        <v>410</v>
      </c>
      <c r="B251" s="8">
        <f t="shared" si="1"/>
        <v>1.5</v>
      </c>
      <c r="C251" s="8"/>
      <c r="D251" s="8"/>
      <c r="E251" s="8"/>
      <c r="F251" s="8"/>
      <c r="G251" s="8"/>
      <c r="H251" s="8"/>
      <c r="I251" s="8"/>
      <c r="J251" s="20">
        <v>1.5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</row>
    <row r="252" ht="15.75" customHeight="1">
      <c r="A252" s="23" t="s">
        <v>411</v>
      </c>
      <c r="B252" s="8">
        <f t="shared" si="1"/>
        <v>1.5</v>
      </c>
      <c r="C252" s="8"/>
      <c r="D252" s="8"/>
      <c r="E252" s="8"/>
      <c r="F252" s="8"/>
      <c r="G252" s="8"/>
      <c r="H252" s="8"/>
      <c r="I252" s="8"/>
      <c r="J252" s="20">
        <v>1.5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</row>
    <row r="253" ht="15.75" customHeight="1">
      <c r="A253" s="23" t="s">
        <v>412</v>
      </c>
      <c r="B253" s="8">
        <f t="shared" si="1"/>
        <v>1.5</v>
      </c>
      <c r="C253" s="8"/>
      <c r="D253" s="8"/>
      <c r="E253" s="8"/>
      <c r="F253" s="8"/>
      <c r="G253" s="8"/>
      <c r="H253" s="8"/>
      <c r="I253" s="8"/>
      <c r="J253" s="20">
        <v>1.5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</row>
    <row r="254" ht="15.75" customHeight="1">
      <c r="A254" s="23" t="s">
        <v>413</v>
      </c>
      <c r="B254" s="8">
        <f t="shared" si="1"/>
        <v>1.5</v>
      </c>
      <c r="C254" s="8"/>
      <c r="D254" s="8"/>
      <c r="E254" s="8"/>
      <c r="F254" s="8"/>
      <c r="G254" s="8"/>
      <c r="H254" s="8"/>
      <c r="I254" s="8"/>
      <c r="J254" s="20">
        <v>1.5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</row>
    <row r="255" ht="15.75" customHeight="1">
      <c r="A255" s="23" t="s">
        <v>414</v>
      </c>
      <c r="B255" s="8">
        <f t="shared" si="1"/>
        <v>1.5</v>
      </c>
      <c r="C255" s="8"/>
      <c r="D255" s="8"/>
      <c r="E255" s="8"/>
      <c r="F255" s="8"/>
      <c r="G255" s="8"/>
      <c r="H255" s="8"/>
      <c r="I255" s="8"/>
      <c r="J255" s="20">
        <v>1.5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</row>
    <row r="256" ht="15.75" customHeight="1">
      <c r="A256" s="23" t="s">
        <v>415</v>
      </c>
      <c r="B256" s="8">
        <f t="shared" si="1"/>
        <v>0</v>
      </c>
      <c r="C256" s="8"/>
      <c r="D256" s="8"/>
      <c r="E256" s="8"/>
      <c r="F256" s="8"/>
      <c r="G256" s="8"/>
      <c r="H256" s="8"/>
      <c r="I256" s="8"/>
      <c r="J256" s="20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</row>
    <row r="257" ht="15.75" customHeight="1">
      <c r="A257" s="23" t="s">
        <v>416</v>
      </c>
      <c r="B257" s="8">
        <f t="shared" si="1"/>
        <v>0</v>
      </c>
      <c r="C257" s="8"/>
      <c r="D257" s="8"/>
      <c r="E257" s="8"/>
      <c r="F257" s="8"/>
      <c r="G257" s="8"/>
      <c r="H257" s="8"/>
      <c r="I257" s="8"/>
      <c r="J257" s="20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</row>
    <row r="258" ht="15.75" customHeight="1">
      <c r="A258" s="23" t="s">
        <v>417</v>
      </c>
      <c r="B258" s="8">
        <f t="shared" si="1"/>
        <v>1.5</v>
      </c>
      <c r="C258" s="8"/>
      <c r="D258" s="8"/>
      <c r="E258" s="8"/>
      <c r="F258" s="8"/>
      <c r="G258" s="8"/>
      <c r="H258" s="8"/>
      <c r="I258" s="8"/>
      <c r="J258" s="20">
        <v>1.5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</row>
    <row r="259" ht="15.75" customHeight="1">
      <c r="A259" s="24" t="s">
        <v>418</v>
      </c>
      <c r="B259" s="8">
        <f t="shared" si="1"/>
        <v>2</v>
      </c>
      <c r="C259" s="8"/>
      <c r="D259" s="8"/>
      <c r="E259" s="8"/>
      <c r="F259" s="8"/>
      <c r="G259" s="8"/>
      <c r="H259" s="8"/>
      <c r="I259" s="8"/>
      <c r="J259" s="8"/>
      <c r="K259" s="21">
        <v>2.0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</row>
    <row r="260" ht="15.75" customHeight="1">
      <c r="A260" s="24" t="s">
        <v>419</v>
      </c>
      <c r="B260" s="8">
        <f t="shared" si="1"/>
        <v>2</v>
      </c>
      <c r="C260" s="8"/>
      <c r="D260" s="8"/>
      <c r="E260" s="8"/>
      <c r="F260" s="8"/>
      <c r="G260" s="8"/>
      <c r="H260" s="8"/>
      <c r="I260" s="8"/>
      <c r="J260" s="8"/>
      <c r="K260" s="21">
        <v>2.0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</row>
    <row r="261" ht="15.75" customHeight="1">
      <c r="A261" s="24" t="s">
        <v>420</v>
      </c>
      <c r="B261" s="8">
        <f t="shared" si="1"/>
        <v>4</v>
      </c>
      <c r="C261" s="8"/>
      <c r="D261" s="8"/>
      <c r="E261" s="8"/>
      <c r="F261" s="8"/>
      <c r="G261" s="8"/>
      <c r="H261" s="8"/>
      <c r="I261" s="8"/>
      <c r="J261" s="8"/>
      <c r="K261" s="21">
        <v>2.0</v>
      </c>
      <c r="L261" s="8"/>
      <c r="M261" s="8"/>
      <c r="N261" s="20">
        <v>2.0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</row>
    <row r="262" ht="15.75" customHeight="1">
      <c r="A262" s="24" t="s">
        <v>421</v>
      </c>
      <c r="B262" s="8">
        <f t="shared" si="1"/>
        <v>2</v>
      </c>
      <c r="C262" s="8"/>
      <c r="D262" s="8"/>
      <c r="E262" s="8"/>
      <c r="F262" s="8"/>
      <c r="G262" s="8"/>
      <c r="H262" s="8"/>
      <c r="I262" s="8"/>
      <c r="J262" s="8"/>
      <c r="K262" s="21">
        <v>2.0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</row>
    <row r="263" ht="15.75" customHeight="1">
      <c r="A263" s="24" t="s">
        <v>422</v>
      </c>
      <c r="B263" s="8">
        <f t="shared" si="1"/>
        <v>1.75</v>
      </c>
      <c r="C263" s="8"/>
      <c r="D263" s="8"/>
      <c r="E263" s="8"/>
      <c r="F263" s="8"/>
      <c r="G263" s="8"/>
      <c r="H263" s="8"/>
      <c r="I263" s="8"/>
      <c r="J263" s="8"/>
      <c r="K263" s="21">
        <v>1.75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</row>
    <row r="264" ht="15.75" customHeight="1">
      <c r="A264" s="24" t="s">
        <v>423</v>
      </c>
      <c r="B264" s="8">
        <f t="shared" si="1"/>
        <v>1.75</v>
      </c>
      <c r="C264" s="8"/>
      <c r="D264" s="8"/>
      <c r="E264" s="8"/>
      <c r="F264" s="8"/>
      <c r="G264" s="8"/>
      <c r="H264" s="8"/>
      <c r="I264" s="8"/>
      <c r="J264" s="8"/>
      <c r="K264" s="21">
        <v>1.75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</row>
    <row r="265" ht="15.75" customHeight="1">
      <c r="A265" s="24" t="s">
        <v>424</v>
      </c>
      <c r="B265" s="8">
        <f t="shared" si="1"/>
        <v>0</v>
      </c>
      <c r="C265" s="8"/>
      <c r="D265" s="8"/>
      <c r="E265" s="8"/>
      <c r="F265" s="8"/>
      <c r="G265" s="8"/>
      <c r="H265" s="8"/>
      <c r="I265" s="8"/>
      <c r="J265" s="8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</row>
    <row r="266" ht="15.75" customHeight="1">
      <c r="A266" s="24" t="s">
        <v>425</v>
      </c>
      <c r="B266" s="8">
        <f t="shared" si="1"/>
        <v>0</v>
      </c>
      <c r="C266" s="8"/>
      <c r="D266" s="8"/>
      <c r="E266" s="8"/>
      <c r="F266" s="8"/>
      <c r="G266" s="8"/>
      <c r="H266" s="8"/>
      <c r="I266" s="8"/>
      <c r="J266" s="8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</row>
    <row r="267" ht="15.75" customHeight="1">
      <c r="A267" s="24" t="s">
        <v>426</v>
      </c>
      <c r="B267" s="8">
        <f t="shared" si="1"/>
        <v>0</v>
      </c>
      <c r="C267" s="8"/>
      <c r="D267" s="8"/>
      <c r="E267" s="8"/>
      <c r="F267" s="8"/>
      <c r="G267" s="8"/>
      <c r="H267" s="8"/>
      <c r="I267" s="8"/>
      <c r="J267" s="8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</row>
    <row r="268" ht="15.75" customHeight="1">
      <c r="A268" s="24" t="s">
        <v>427</v>
      </c>
      <c r="B268" s="8">
        <f t="shared" si="1"/>
        <v>0</v>
      </c>
      <c r="C268" s="8"/>
      <c r="D268" s="8"/>
      <c r="E268" s="8"/>
      <c r="F268" s="8"/>
      <c r="G268" s="8"/>
      <c r="H268" s="8"/>
      <c r="I268" s="8"/>
      <c r="J268" s="8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</row>
    <row r="269" ht="15.75" customHeight="1">
      <c r="A269" s="24" t="s">
        <v>428</v>
      </c>
      <c r="B269" s="8">
        <f t="shared" si="1"/>
        <v>0</v>
      </c>
      <c r="C269" s="8"/>
      <c r="D269" s="8"/>
      <c r="E269" s="8"/>
      <c r="F269" s="8"/>
      <c r="G269" s="8"/>
      <c r="H269" s="8"/>
      <c r="I269" s="8"/>
      <c r="J269" s="8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</row>
    <row r="270" ht="15.75" customHeight="1">
      <c r="A270" s="24" t="s">
        <v>429</v>
      </c>
      <c r="B270" s="8">
        <f t="shared" si="1"/>
        <v>0</v>
      </c>
      <c r="C270" s="8"/>
      <c r="D270" s="8"/>
      <c r="E270" s="8"/>
      <c r="F270" s="8"/>
      <c r="G270" s="8"/>
      <c r="H270" s="8"/>
      <c r="I270" s="8"/>
      <c r="J270" s="8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</row>
    <row r="271" ht="15.75" customHeight="1">
      <c r="A271" s="24" t="s">
        <v>430</v>
      </c>
      <c r="B271" s="8">
        <f t="shared" si="1"/>
        <v>0</v>
      </c>
      <c r="C271" s="8"/>
      <c r="D271" s="8"/>
      <c r="E271" s="8"/>
      <c r="F271" s="8"/>
      <c r="G271" s="8"/>
      <c r="H271" s="8"/>
      <c r="I271" s="8"/>
      <c r="J271" s="8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</row>
    <row r="272" ht="15.75" customHeight="1">
      <c r="A272" s="23" t="s">
        <v>431</v>
      </c>
      <c r="B272" s="8">
        <f t="shared" si="1"/>
        <v>1.75</v>
      </c>
      <c r="C272" s="8"/>
      <c r="D272" s="8"/>
      <c r="E272" s="8"/>
      <c r="F272" s="8"/>
      <c r="G272" s="8"/>
      <c r="H272" s="8"/>
      <c r="I272" s="8"/>
      <c r="J272" s="8"/>
      <c r="K272" s="8"/>
      <c r="L272" s="20">
        <v>1.75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</row>
    <row r="273" ht="15.75" customHeight="1">
      <c r="A273" s="23" t="s">
        <v>432</v>
      </c>
      <c r="B273" s="8">
        <f t="shared" si="1"/>
        <v>2</v>
      </c>
      <c r="C273" s="8"/>
      <c r="D273" s="8"/>
      <c r="E273" s="8"/>
      <c r="F273" s="8"/>
      <c r="G273" s="8"/>
      <c r="H273" s="8"/>
      <c r="I273" s="8"/>
      <c r="J273" s="8"/>
      <c r="K273" s="8"/>
      <c r="L273" s="20">
        <v>2.0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</row>
    <row r="274" ht="15.75" customHeight="1">
      <c r="A274" s="23" t="s">
        <v>264</v>
      </c>
      <c r="B274" s="8">
        <f t="shared" si="1"/>
        <v>3.5</v>
      </c>
      <c r="C274" s="8"/>
      <c r="D274" s="8"/>
      <c r="E274" s="8"/>
      <c r="F274" s="8"/>
      <c r="G274" s="8"/>
      <c r="H274" s="8"/>
      <c r="I274" s="8"/>
      <c r="J274" s="8"/>
      <c r="K274" s="8"/>
      <c r="L274" s="20">
        <v>1.75</v>
      </c>
      <c r="M274" s="8"/>
      <c r="N274" s="20">
        <v>1.75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</row>
    <row r="275" ht="15.75" customHeight="1">
      <c r="A275" s="23" t="s">
        <v>433</v>
      </c>
      <c r="B275" s="8">
        <f t="shared" si="1"/>
        <v>0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</row>
    <row r="276" ht="15.75" customHeight="1">
      <c r="A276" s="23" t="s">
        <v>434</v>
      </c>
      <c r="B276" s="8">
        <f t="shared" si="1"/>
        <v>0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</row>
    <row r="277" ht="15.75" customHeight="1">
      <c r="A277" s="23" t="s">
        <v>288</v>
      </c>
      <c r="B277" s="8">
        <f t="shared" si="1"/>
        <v>0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</row>
    <row r="278" ht="15.75" customHeight="1">
      <c r="A278" s="23" t="s">
        <v>435</v>
      </c>
      <c r="B278" s="8">
        <f t="shared" si="1"/>
        <v>0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</row>
    <row r="279" ht="15.75" customHeight="1">
      <c r="A279" s="23" t="s">
        <v>301</v>
      </c>
      <c r="B279" s="8">
        <f t="shared" si="1"/>
        <v>0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</row>
    <row r="280" ht="15.75" customHeight="1">
      <c r="A280" s="23" t="s">
        <v>436</v>
      </c>
      <c r="B280" s="8">
        <f t="shared" si="1"/>
        <v>1.75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20">
        <v>1.75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</row>
    <row r="281" ht="15.75" customHeight="1">
      <c r="A281" s="23" t="s">
        <v>437</v>
      </c>
      <c r="B281" s="8">
        <f t="shared" si="1"/>
        <v>1.75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20">
        <v>1.75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</row>
    <row r="282" ht="15.75" customHeight="1">
      <c r="A282" s="23" t="s">
        <v>258</v>
      </c>
      <c r="B282" s="8">
        <f t="shared" si="1"/>
        <v>0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20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</row>
    <row r="283" ht="15.75" customHeight="1">
      <c r="A283" s="23" t="s">
        <v>438</v>
      </c>
      <c r="B283" s="8">
        <f t="shared" si="1"/>
        <v>0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20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</row>
    <row r="284" ht="15.75" customHeight="1">
      <c r="A284" s="23" t="s">
        <v>439</v>
      </c>
      <c r="B284" s="8">
        <f t="shared" si="1"/>
        <v>0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20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</row>
    <row r="285" ht="15.75" customHeight="1">
      <c r="A285" s="23" t="s">
        <v>273</v>
      </c>
      <c r="B285" s="8">
        <f t="shared" si="1"/>
        <v>1.75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20">
        <v>1.75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</row>
    <row r="286" ht="15.75" customHeight="1">
      <c r="A286" s="23" t="s">
        <v>440</v>
      </c>
      <c r="B286" s="8">
        <f t="shared" si="1"/>
        <v>2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20">
        <v>2.0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</row>
    <row r="287" ht="15.75" customHeight="1">
      <c r="A287" s="23" t="s">
        <v>441</v>
      </c>
      <c r="B287" s="8">
        <f t="shared" si="1"/>
        <v>0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20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</row>
    <row r="288" ht="15.75" customHeight="1">
      <c r="A288" s="23" t="s">
        <v>442</v>
      </c>
      <c r="B288" s="8">
        <f t="shared" si="1"/>
        <v>2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20">
        <v>2.0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</row>
    <row r="289" ht="15.75" customHeight="1">
      <c r="A289" s="23" t="s">
        <v>443</v>
      </c>
      <c r="B289" s="8">
        <f t="shared" si="1"/>
        <v>1.75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20">
        <v>1.75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</row>
    <row r="290" ht="15.75" customHeight="1">
      <c r="A290" s="23" t="s">
        <v>444</v>
      </c>
      <c r="B290" s="8">
        <f t="shared" si="1"/>
        <v>1.75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20">
        <v>1.75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</row>
    <row r="291" ht="15.75" customHeight="1">
      <c r="A291" s="23" t="s">
        <v>445</v>
      </c>
      <c r="B291" s="8">
        <f t="shared" si="1"/>
        <v>1.75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20">
        <v>1.75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</row>
    <row r="292" ht="15.75" customHeight="1">
      <c r="A292" s="22"/>
      <c r="B292" s="8">
        <f t="shared" si="1"/>
        <v>0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</row>
    <row r="293" ht="15.75" customHeight="1">
      <c r="A293" s="22"/>
      <c r="B293" s="8">
        <f t="shared" si="1"/>
        <v>0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</row>
    <row r="294" ht="15.75" customHeight="1">
      <c r="A294" s="22"/>
      <c r="B294" s="8">
        <f t="shared" si="1"/>
        <v>0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</row>
    <row r="295" ht="15.75" customHeight="1">
      <c r="A295" s="22"/>
      <c r="B295" s="8">
        <f t="shared" si="1"/>
        <v>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</row>
    <row r="296" ht="15.75" customHeight="1">
      <c r="A296" s="22"/>
      <c r="B296" s="8">
        <f t="shared" si="1"/>
        <v>0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</row>
    <row r="297" ht="15.75" customHeight="1">
      <c r="A297" s="22"/>
      <c r="B297" s="8">
        <f t="shared" si="1"/>
        <v>0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</row>
    <row r="298" ht="15.75" customHeight="1">
      <c r="A298" s="22"/>
      <c r="B298" s="8">
        <f t="shared" si="1"/>
        <v>0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</row>
    <row r="299" ht="15.75" customHeight="1">
      <c r="A299" s="22"/>
      <c r="B299" s="8">
        <f t="shared" si="1"/>
        <v>0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</row>
    <row r="300" ht="15.75" customHeight="1">
      <c r="A300" s="22"/>
      <c r="B300" s="8">
        <f t="shared" si="1"/>
        <v>0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</row>
    <row r="301" ht="15.75" customHeight="1">
      <c r="A301" s="22"/>
      <c r="B301" s="8">
        <f t="shared" si="1"/>
        <v>0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</row>
    <row r="302" ht="15.75" customHeight="1">
      <c r="A302" s="22"/>
      <c r="B302" s="8">
        <f t="shared" si="1"/>
        <v>0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</row>
    <row r="303" ht="15.75" customHeight="1">
      <c r="A303" s="22"/>
      <c r="B303" s="8">
        <f t="shared" si="1"/>
        <v>0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</row>
    <row r="304" ht="15.75" customHeight="1">
      <c r="A304" s="22"/>
      <c r="B304" s="8">
        <f t="shared" si="1"/>
        <v>0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</row>
    <row r="305" ht="15.75" customHeight="1">
      <c r="A305" s="22"/>
      <c r="B305" s="8">
        <f t="shared" si="1"/>
        <v>0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</row>
    <row r="306" ht="15.75" customHeight="1">
      <c r="A306" s="22"/>
      <c r="B306" s="8">
        <f t="shared" si="1"/>
        <v>0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</row>
    <row r="307" ht="15.75" customHeight="1">
      <c r="A307" s="22"/>
      <c r="B307" s="8">
        <f t="shared" si="1"/>
        <v>0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</row>
    <row r="308" ht="15.75" customHeight="1">
      <c r="A308" s="22"/>
      <c r="B308" s="8">
        <f t="shared" si="1"/>
        <v>0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</row>
    <row r="309" ht="15.75" customHeight="1">
      <c r="A309" s="22"/>
      <c r="B309" s="8">
        <f t="shared" si="1"/>
        <v>0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</row>
    <row r="310" ht="15.75" customHeight="1">
      <c r="A310" s="22"/>
      <c r="B310" s="8">
        <f t="shared" si="1"/>
        <v>0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</row>
    <row r="311" ht="15.75" customHeight="1">
      <c r="A311" s="22"/>
      <c r="B311" s="8">
        <f t="shared" si="1"/>
        <v>0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</row>
    <row r="312" ht="15.75" customHeight="1">
      <c r="A312" s="22"/>
      <c r="B312" s="8">
        <f t="shared" si="1"/>
        <v>0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</row>
    <row r="313" ht="15.75" customHeight="1">
      <c r="A313" s="22"/>
      <c r="B313" s="8">
        <f t="shared" si="1"/>
        <v>0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</row>
    <row r="314" ht="15.75" customHeight="1">
      <c r="A314" s="22"/>
      <c r="B314" s="8">
        <f t="shared" si="1"/>
        <v>0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</row>
    <row r="315" ht="15.75" customHeight="1">
      <c r="A315" s="22"/>
      <c r="B315" s="8">
        <f t="shared" si="1"/>
        <v>0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</row>
    <row r="316" ht="15.75" customHeight="1">
      <c r="A316" s="22"/>
      <c r="B316" s="8">
        <f t="shared" si="1"/>
        <v>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</row>
    <row r="317" ht="15.75" customHeight="1">
      <c r="A317" s="22"/>
      <c r="B317" s="8">
        <f t="shared" si="1"/>
        <v>0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</row>
    <row r="318" ht="15.75" customHeight="1">
      <c r="A318" s="22"/>
      <c r="B318" s="8">
        <f t="shared" si="1"/>
        <v>0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</row>
    <row r="319" ht="15.75" customHeight="1">
      <c r="A319" s="22"/>
      <c r="B319" s="8">
        <f t="shared" si="1"/>
        <v>0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</row>
    <row r="320" ht="15.75" customHeight="1">
      <c r="A320" s="22"/>
      <c r="B320" s="8">
        <f t="shared" si="1"/>
        <v>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</row>
    <row r="321" ht="15.75" customHeight="1">
      <c r="A321" s="22"/>
      <c r="B321" s="8">
        <f t="shared" si="1"/>
        <v>0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</row>
    <row r="322" ht="15.75" customHeight="1">
      <c r="A322" s="22"/>
      <c r="B322" s="8">
        <f t="shared" si="1"/>
        <v>0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</row>
    <row r="323" ht="15.75" customHeight="1">
      <c r="A323" s="22"/>
      <c r="B323" s="8">
        <f t="shared" si="1"/>
        <v>0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</row>
    <row r="324" ht="15.75" customHeight="1">
      <c r="A324" s="22"/>
      <c r="B324" s="8">
        <f t="shared" si="1"/>
        <v>0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</row>
    <row r="325" ht="15.75" customHeight="1">
      <c r="A325" s="22"/>
      <c r="B325" s="8">
        <f t="shared" si="1"/>
        <v>0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</row>
    <row r="326" ht="15.75" customHeight="1">
      <c r="A326" s="22"/>
      <c r="B326" s="8">
        <f t="shared" si="1"/>
        <v>0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</row>
    <row r="327" ht="15.75" customHeight="1">
      <c r="A327" s="22"/>
      <c r="B327" s="8">
        <f t="shared" si="1"/>
        <v>0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</row>
    <row r="328" ht="15.75" customHeight="1">
      <c r="A328" s="22"/>
      <c r="B328" s="8">
        <f t="shared" si="1"/>
        <v>0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</row>
    <row r="329" ht="15.75" customHeight="1">
      <c r="A329" s="22"/>
      <c r="B329" s="8">
        <f t="shared" si="1"/>
        <v>0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</row>
    <row r="330" ht="15.75" customHeight="1">
      <c r="A330" s="22"/>
      <c r="B330" s="8">
        <f t="shared" si="1"/>
        <v>0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</row>
    <row r="331" ht="15.75" customHeight="1">
      <c r="A331" s="22"/>
      <c r="B331" s="8">
        <f t="shared" si="1"/>
        <v>0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</row>
    <row r="332" ht="15.75" customHeight="1">
      <c r="A332" s="22"/>
      <c r="B332" s="8">
        <f t="shared" si="1"/>
        <v>0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</row>
    <row r="333" ht="15.75" customHeight="1">
      <c r="A333" s="22"/>
      <c r="B333" s="8">
        <f t="shared" si="1"/>
        <v>0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</row>
    <row r="334" ht="15.75" customHeight="1">
      <c r="A334" s="22"/>
      <c r="B334" s="8">
        <f t="shared" si="1"/>
        <v>0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</row>
    <row r="335" ht="15.75" customHeight="1">
      <c r="A335" s="22"/>
      <c r="B335" s="8">
        <f t="shared" si="1"/>
        <v>0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</row>
    <row r="336" ht="15.75" customHeight="1">
      <c r="A336" s="22"/>
      <c r="B336" s="8">
        <f t="shared" si="1"/>
        <v>0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</row>
    <row r="337" ht="15.75" customHeight="1">
      <c r="A337" s="22"/>
      <c r="B337" s="8">
        <f t="shared" si="1"/>
        <v>0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</row>
    <row r="338" ht="15.75" customHeight="1">
      <c r="A338" s="22"/>
      <c r="B338" s="8">
        <f t="shared" si="1"/>
        <v>0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</row>
    <row r="339" ht="15.75" customHeight="1">
      <c r="A339" s="22"/>
      <c r="B339" s="8">
        <f t="shared" si="1"/>
        <v>0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</row>
    <row r="340" ht="15.75" customHeight="1">
      <c r="A340" s="22"/>
      <c r="B340" s="8">
        <f t="shared" si="1"/>
        <v>0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</row>
    <row r="341" ht="15.75" customHeight="1">
      <c r="A341" s="22"/>
      <c r="B341" s="8">
        <f t="shared" si="1"/>
        <v>0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</row>
    <row r="342" ht="15.75" customHeight="1">
      <c r="A342" s="22"/>
      <c r="B342" s="8">
        <f t="shared" si="1"/>
        <v>0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</row>
    <row r="343" ht="15.75" customHeight="1">
      <c r="A343" s="22"/>
      <c r="B343" s="8">
        <f t="shared" si="1"/>
        <v>0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</row>
    <row r="344" ht="15.75" customHeight="1">
      <c r="A344" s="22"/>
      <c r="B344" s="8">
        <f t="shared" si="1"/>
        <v>0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5.75"/>
    <col customWidth="1" min="2" max="2" width="18.63"/>
    <col customWidth="1" min="3" max="3" width="14.75"/>
    <col customWidth="1" min="4" max="6" width="9.38"/>
    <col customWidth="1" min="7" max="26" width="8.63"/>
    <col customWidth="1" min="27" max="29" width="10.25"/>
    <col customWidth="1" min="30" max="30" width="8.63"/>
    <col customWidth="1" min="31" max="33" width="10.25"/>
    <col customWidth="1" min="34" max="35" width="8.63"/>
    <col customWidth="1" min="36" max="38" width="10.25"/>
    <col customWidth="1" min="39" max="42" width="8.63"/>
    <col customWidth="1" min="43" max="45" width="10.25"/>
    <col customWidth="1" min="46" max="47" width="9.38"/>
    <col customWidth="1" min="48" max="50" width="10.38"/>
    <col customWidth="1" min="51" max="51" width="8.63"/>
    <col customWidth="1" min="52" max="54" width="10.38"/>
  </cols>
  <sheetData>
    <row r="1">
      <c r="A1" s="1" t="s">
        <v>0</v>
      </c>
      <c r="B1" s="2" t="s">
        <v>1</v>
      </c>
      <c r="C1" s="5">
        <v>46026.0</v>
      </c>
      <c r="D1" s="5">
        <v>46033.0</v>
      </c>
      <c r="E1" s="5">
        <v>46040.0</v>
      </c>
      <c r="F1" s="5">
        <v>46047.0</v>
      </c>
      <c r="G1" s="5">
        <v>46054.0</v>
      </c>
      <c r="H1" s="5">
        <v>46061.0</v>
      </c>
      <c r="I1" s="5">
        <v>46068.0</v>
      </c>
      <c r="J1" s="5">
        <v>46075.0</v>
      </c>
      <c r="K1" s="5">
        <v>46082.0</v>
      </c>
      <c r="L1" s="5">
        <v>46089.0</v>
      </c>
      <c r="M1" s="5">
        <v>46096.0</v>
      </c>
      <c r="N1" s="5">
        <v>46103.0</v>
      </c>
      <c r="O1" s="5">
        <v>46110.0</v>
      </c>
      <c r="P1" s="5">
        <v>46117.0</v>
      </c>
      <c r="Q1" s="5">
        <v>46124.0</v>
      </c>
      <c r="R1" s="5">
        <v>46131.0</v>
      </c>
      <c r="S1" s="5">
        <v>46138.0</v>
      </c>
      <c r="T1" s="5">
        <v>46145.0</v>
      </c>
      <c r="U1" s="5">
        <v>46152.0</v>
      </c>
      <c r="V1" s="5">
        <v>46159.0</v>
      </c>
      <c r="W1" s="5">
        <v>46166.0</v>
      </c>
      <c r="X1" s="5">
        <v>46173.0</v>
      </c>
      <c r="Y1" s="5">
        <v>46180.0</v>
      </c>
      <c r="Z1" s="5">
        <v>46187.0</v>
      </c>
      <c r="AA1" s="5">
        <v>46194.0</v>
      </c>
      <c r="AB1" s="5">
        <v>46201.0</v>
      </c>
      <c r="AC1" s="5">
        <v>46208.0</v>
      </c>
      <c r="AD1" s="5">
        <v>46215.0</v>
      </c>
      <c r="AE1" s="5">
        <v>46222.0</v>
      </c>
      <c r="AF1" s="5">
        <v>46229.0</v>
      </c>
      <c r="AG1" s="5">
        <v>46236.0</v>
      </c>
      <c r="AH1" s="5">
        <v>46243.0</v>
      </c>
      <c r="AI1" s="5">
        <v>46250.0</v>
      </c>
      <c r="AJ1" s="5">
        <v>46257.0</v>
      </c>
      <c r="AK1" s="5">
        <v>46264.0</v>
      </c>
      <c r="AL1" s="5">
        <v>46271.0</v>
      </c>
      <c r="AM1" s="5">
        <v>46278.0</v>
      </c>
      <c r="AN1" s="5">
        <v>46285.0</v>
      </c>
      <c r="AO1" s="5">
        <v>46292.0</v>
      </c>
      <c r="AP1" s="5">
        <v>46299.0</v>
      </c>
      <c r="AQ1" s="5">
        <v>46306.0</v>
      </c>
      <c r="AR1" s="5">
        <v>46313.0</v>
      </c>
      <c r="AS1" s="5">
        <v>46320.0</v>
      </c>
      <c r="AT1" s="5">
        <v>46327.0</v>
      </c>
      <c r="AU1" s="5">
        <v>46334.0</v>
      </c>
      <c r="AV1" s="5">
        <v>46341.0</v>
      </c>
      <c r="AW1" s="5">
        <v>46348.0</v>
      </c>
      <c r="AX1" s="5">
        <v>46355.0</v>
      </c>
      <c r="AY1" s="5">
        <v>46362.0</v>
      </c>
      <c r="AZ1" s="5">
        <v>46369.0</v>
      </c>
      <c r="BA1" s="5">
        <v>46376.0</v>
      </c>
      <c r="BB1" s="5">
        <v>46383.0</v>
      </c>
    </row>
    <row r="2">
      <c r="A2" s="1">
        <v>16.0</v>
      </c>
      <c r="B2" s="7">
        <f>SUM(B3:B317)</f>
        <v>343.5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>
      <c r="A3" s="11" t="s">
        <v>3</v>
      </c>
      <c r="B3" s="8">
        <f t="shared" ref="B3:B28" si="1">SUM(C3:CA3)</f>
        <v>0</v>
      </c>
      <c r="C3" s="8"/>
      <c r="D3" s="8"/>
      <c r="E3" s="8"/>
      <c r="F3" s="8"/>
      <c r="G3" s="8"/>
      <c r="H3" s="20" t="s">
        <v>62</v>
      </c>
      <c r="I3" s="20" t="s">
        <v>312</v>
      </c>
      <c r="J3" s="8"/>
      <c r="K3" s="21" t="s">
        <v>63</v>
      </c>
      <c r="L3" s="8"/>
      <c r="M3" s="8"/>
      <c r="N3" s="20" t="s">
        <v>63</v>
      </c>
      <c r="O3" s="20" t="s">
        <v>63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20"/>
      <c r="AR3" s="8"/>
      <c r="AS3" s="8"/>
      <c r="AT3" s="8"/>
      <c r="AU3" s="8"/>
      <c r="AV3" s="8"/>
      <c r="AW3" s="8"/>
      <c r="AX3" s="20"/>
      <c r="AY3" s="8"/>
      <c r="AZ3" s="8"/>
      <c r="BA3" s="20"/>
      <c r="BB3" s="8"/>
    </row>
    <row r="4">
      <c r="A4" s="11" t="s">
        <v>6</v>
      </c>
      <c r="B4" s="8">
        <f t="shared" si="1"/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20"/>
      <c r="BA4" s="20"/>
      <c r="BB4" s="8"/>
    </row>
    <row r="5">
      <c r="A5" s="11" t="s">
        <v>7</v>
      </c>
      <c r="B5" s="8">
        <f t="shared" si="1"/>
        <v>2.5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0">
        <v>2.5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>
      <c r="A6" s="11" t="s">
        <v>23</v>
      </c>
      <c r="B6" s="8">
        <f t="shared" si="1"/>
        <v>29.25</v>
      </c>
      <c r="C6" s="20">
        <v>2.5</v>
      </c>
      <c r="D6" s="20">
        <v>2.0</v>
      </c>
      <c r="E6" s="21">
        <v>2.75</v>
      </c>
      <c r="F6" s="21">
        <v>1.5</v>
      </c>
      <c r="G6" s="20">
        <v>2.5</v>
      </c>
      <c r="H6" s="20">
        <v>1.75</v>
      </c>
      <c r="I6" s="20">
        <v>1.5</v>
      </c>
      <c r="J6" s="20">
        <v>2.25</v>
      </c>
      <c r="K6" s="21">
        <v>2.5</v>
      </c>
      <c r="L6" s="20">
        <v>2.0</v>
      </c>
      <c r="M6" s="20">
        <v>3.0</v>
      </c>
      <c r="N6" s="20">
        <v>2.5</v>
      </c>
      <c r="O6" s="20">
        <v>2.5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20"/>
      <c r="AR6" s="20"/>
      <c r="AS6" s="20"/>
      <c r="AT6" s="20"/>
      <c r="AU6" s="20"/>
      <c r="AV6" s="8"/>
      <c r="AW6" s="20"/>
      <c r="AX6" s="20"/>
      <c r="AY6" s="21"/>
      <c r="AZ6" s="20"/>
      <c r="BA6" s="20"/>
      <c r="BB6" s="20"/>
    </row>
    <row r="7" ht="15.75" customHeight="1">
      <c r="A7" s="11" t="s">
        <v>48</v>
      </c>
      <c r="B7" s="8">
        <f t="shared" si="1"/>
        <v>25.75</v>
      </c>
      <c r="C7" s="20">
        <v>2.5</v>
      </c>
      <c r="D7" s="20">
        <v>2.0</v>
      </c>
      <c r="E7" s="21">
        <v>3.0</v>
      </c>
      <c r="F7" s="21">
        <v>1.5</v>
      </c>
      <c r="G7" s="20">
        <v>2.75</v>
      </c>
      <c r="H7" s="8"/>
      <c r="I7" s="20">
        <v>2.25</v>
      </c>
      <c r="J7" s="20">
        <v>2.75</v>
      </c>
      <c r="K7" s="21">
        <v>2.5</v>
      </c>
      <c r="L7" s="20">
        <v>2.0</v>
      </c>
      <c r="M7" s="20">
        <v>3.25</v>
      </c>
      <c r="N7" s="8"/>
      <c r="O7" s="20">
        <v>1.25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20"/>
      <c r="AR7" s="20"/>
      <c r="AS7" s="20"/>
      <c r="AT7" s="20"/>
      <c r="AU7" s="20"/>
      <c r="AV7" s="21"/>
      <c r="AW7" s="20"/>
      <c r="AX7" s="8"/>
      <c r="AY7" s="21"/>
      <c r="AZ7" s="20"/>
      <c r="BA7" s="8"/>
      <c r="BB7" s="8"/>
    </row>
    <row r="8">
      <c r="A8" s="11" t="s">
        <v>51</v>
      </c>
      <c r="B8" s="8">
        <f t="shared" si="1"/>
        <v>7.25</v>
      </c>
      <c r="C8" s="20">
        <v>2.5</v>
      </c>
      <c r="D8" s="20">
        <v>2.0</v>
      </c>
      <c r="E8" s="8"/>
      <c r="F8" s="21">
        <v>1.25</v>
      </c>
      <c r="G8" s="8"/>
      <c r="H8" s="8"/>
      <c r="I8" s="8"/>
      <c r="J8" s="20">
        <v>1.5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20"/>
      <c r="BA8" s="8"/>
      <c r="BB8" s="8"/>
    </row>
    <row r="9">
      <c r="A9" s="11" t="s">
        <v>13</v>
      </c>
      <c r="B9" s="8">
        <f t="shared" si="1"/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</row>
    <row r="10">
      <c r="A10" s="11" t="s">
        <v>55</v>
      </c>
      <c r="B10" s="8">
        <f t="shared" si="1"/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</row>
    <row r="11">
      <c r="A11" s="11" t="s">
        <v>17</v>
      </c>
      <c r="B11" s="8">
        <f t="shared" si="1"/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>
      <c r="A12" s="11" t="s">
        <v>64</v>
      </c>
      <c r="B12" s="8">
        <f t="shared" si="1"/>
        <v>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>
      <c r="A13" s="11" t="s">
        <v>65</v>
      </c>
      <c r="B13" s="8">
        <f t="shared" si="1"/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</row>
    <row r="14">
      <c r="A14" s="11" t="s">
        <v>66</v>
      </c>
      <c r="B14" s="8">
        <f t="shared" si="1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</row>
    <row r="15">
      <c r="A15" s="11" t="s">
        <v>24</v>
      </c>
      <c r="B15" s="8">
        <f t="shared" si="1"/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>
      <c r="A16" s="11" t="s">
        <v>33</v>
      </c>
      <c r="B16" s="8">
        <f t="shared" si="1"/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</row>
    <row r="17">
      <c r="A17" s="11" t="s">
        <v>61</v>
      </c>
      <c r="B17" s="8">
        <f t="shared" si="1"/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>
      <c r="A18" s="11" t="s">
        <v>67</v>
      </c>
      <c r="B18" s="8">
        <f t="shared" si="1"/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</row>
    <row r="19">
      <c r="A19" s="11" t="s">
        <v>68</v>
      </c>
      <c r="B19" s="8">
        <f t="shared" si="1"/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</row>
    <row r="20">
      <c r="A20" s="11" t="s">
        <v>69</v>
      </c>
      <c r="B20" s="8">
        <f t="shared" si="1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</row>
    <row r="21">
      <c r="A21" s="11" t="s">
        <v>70</v>
      </c>
      <c r="B21" s="8">
        <f t="shared" si="1"/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 ht="15.75" customHeight="1">
      <c r="A22" s="11" t="s">
        <v>52</v>
      </c>
      <c r="B22" s="8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</row>
    <row r="23" ht="15.75" customHeight="1">
      <c r="A23" s="11" t="s">
        <v>16</v>
      </c>
      <c r="B23" s="8">
        <f t="shared" si="1"/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</row>
    <row r="24" ht="15.75" customHeight="1">
      <c r="A24" s="11" t="s">
        <v>46</v>
      </c>
      <c r="B24" s="8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</row>
    <row r="25" ht="15.75" customHeight="1">
      <c r="A25" s="11" t="s">
        <v>71</v>
      </c>
      <c r="B25" s="8">
        <f t="shared" si="1"/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 ht="15.75" customHeight="1">
      <c r="A26" s="11" t="s">
        <v>72</v>
      </c>
      <c r="B26" s="8">
        <f t="shared" si="1"/>
        <v>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</row>
    <row r="27" ht="15.75" customHeight="1">
      <c r="A27" s="11" t="s">
        <v>41</v>
      </c>
      <c r="B27" s="8">
        <f t="shared" si="1"/>
        <v>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</row>
    <row r="28" ht="15.75" customHeight="1">
      <c r="A28" s="11" t="s">
        <v>40</v>
      </c>
      <c r="B28" s="8">
        <f t="shared" si="1"/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</row>
    <row r="29" ht="15.75" customHeight="1">
      <c r="A29" s="11" t="s">
        <v>237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</row>
    <row r="30" ht="15.75" customHeight="1">
      <c r="A30" s="11" t="s">
        <v>10</v>
      </c>
      <c r="B30" s="8">
        <f t="shared" ref="B30:B251" si="2">SUM(C30:CA30)</f>
        <v>7.25</v>
      </c>
      <c r="C30" s="8"/>
      <c r="D30" s="20">
        <v>2.0</v>
      </c>
      <c r="E30" s="8"/>
      <c r="F30" s="8"/>
      <c r="G30" s="20">
        <v>2.75</v>
      </c>
      <c r="H30" s="8"/>
      <c r="I30" s="8"/>
      <c r="J30" s="8"/>
      <c r="K30" s="21">
        <v>2.5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20"/>
      <c r="AY30" s="8"/>
      <c r="AZ30" s="8"/>
      <c r="BA30" s="20"/>
      <c r="BB30" s="8"/>
    </row>
    <row r="31" ht="15.75" customHeight="1">
      <c r="A31" s="11" t="s">
        <v>9</v>
      </c>
      <c r="B31" s="8">
        <f t="shared" si="2"/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</row>
    <row r="32" ht="15.75" customHeight="1">
      <c r="A32" s="11" t="s">
        <v>73</v>
      </c>
      <c r="B32" s="8">
        <f t="shared" si="2"/>
        <v>2.5</v>
      </c>
      <c r="C32" s="8"/>
      <c r="D32" s="8"/>
      <c r="E32" s="8"/>
      <c r="F32" s="8"/>
      <c r="G32" s="8"/>
      <c r="H32" s="8"/>
      <c r="I32" s="8"/>
      <c r="J32" s="8"/>
      <c r="K32" s="21">
        <v>2.5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</row>
    <row r="33" ht="15.75" customHeight="1">
      <c r="A33" s="11" t="s">
        <v>31</v>
      </c>
      <c r="B33" s="8">
        <f t="shared" si="2"/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</row>
    <row r="34" ht="15.75" customHeight="1">
      <c r="A34" s="11" t="s">
        <v>74</v>
      </c>
      <c r="B34" s="8">
        <f t="shared" si="2"/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</row>
    <row r="35" ht="15.75" customHeight="1">
      <c r="A35" s="11" t="s">
        <v>75</v>
      </c>
      <c r="B35" s="8">
        <f t="shared" si="2"/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</row>
    <row r="36" ht="15.75" customHeight="1">
      <c r="A36" s="11" t="s">
        <v>15</v>
      </c>
      <c r="B36" s="8">
        <f t="shared" si="2"/>
        <v>2</v>
      </c>
      <c r="C36" s="8"/>
      <c r="D36" s="8"/>
      <c r="E36" s="8"/>
      <c r="F36" s="8"/>
      <c r="G36" s="8"/>
      <c r="H36" s="8"/>
      <c r="I36" s="8"/>
      <c r="J36" s="8"/>
      <c r="K36" s="8"/>
      <c r="L36" s="20">
        <v>2.0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</row>
    <row r="37" ht="15.75" customHeight="1">
      <c r="A37" s="11" t="s">
        <v>12</v>
      </c>
      <c r="B37" s="8">
        <f t="shared" si="2"/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20"/>
      <c r="AV37" s="8"/>
      <c r="AW37" s="8"/>
      <c r="AX37" s="8"/>
      <c r="AY37" s="8"/>
      <c r="AZ37" s="8"/>
      <c r="BA37" s="8"/>
      <c r="BB37" s="8"/>
    </row>
    <row r="38" ht="15.75" customHeight="1">
      <c r="A38" s="11" t="s">
        <v>76</v>
      </c>
      <c r="B38" s="8">
        <f t="shared" si="2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</row>
    <row r="39" ht="15.75" customHeight="1">
      <c r="A39" s="11" t="s">
        <v>77</v>
      </c>
      <c r="B39" s="8">
        <f t="shared" si="2"/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</row>
    <row r="40" ht="15.75" customHeight="1">
      <c r="A40" s="11" t="s">
        <v>78</v>
      </c>
      <c r="B40" s="8">
        <f t="shared" si="2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20"/>
      <c r="AS40" s="8"/>
      <c r="AT40" s="8"/>
      <c r="AU40" s="8"/>
      <c r="AV40" s="8"/>
      <c r="AW40" s="8"/>
      <c r="AX40" s="8"/>
      <c r="AY40" s="8"/>
      <c r="AZ40" s="8"/>
      <c r="BA40" s="8"/>
      <c r="BB40" s="8"/>
    </row>
    <row r="41" ht="15.75" customHeight="1">
      <c r="A41" s="11" t="s">
        <v>79</v>
      </c>
      <c r="B41" s="8">
        <f t="shared" si="2"/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</row>
    <row r="42" ht="15.75" customHeight="1">
      <c r="A42" s="11" t="s">
        <v>80</v>
      </c>
      <c r="B42" s="8">
        <f t="shared" si="2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</row>
    <row r="43" ht="15.75" customHeight="1">
      <c r="A43" s="11" t="s">
        <v>81</v>
      </c>
      <c r="B43" s="8">
        <f t="shared" si="2"/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</row>
    <row r="44" ht="15.75" customHeight="1">
      <c r="A44" s="11" t="s">
        <v>82</v>
      </c>
      <c r="B44" s="8">
        <f t="shared" si="2"/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</row>
    <row r="45" ht="15.75" customHeight="1">
      <c r="A45" s="11" t="s">
        <v>238</v>
      </c>
      <c r="B45" s="8">
        <f t="shared" si="2"/>
        <v>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</row>
    <row r="46" ht="15.75" customHeight="1">
      <c r="A46" s="11" t="s">
        <v>96</v>
      </c>
      <c r="B46" s="8">
        <f t="shared" si="2"/>
        <v>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20"/>
      <c r="AU46" s="8"/>
      <c r="AV46" s="8"/>
      <c r="AW46" s="8"/>
      <c r="AX46" s="8"/>
      <c r="AY46" s="8"/>
      <c r="AZ46" s="8"/>
      <c r="BA46" s="8"/>
      <c r="BB46" s="8"/>
    </row>
    <row r="47" ht="15.75" customHeight="1">
      <c r="A47" s="11" t="s">
        <v>239</v>
      </c>
      <c r="B47" s="8">
        <f t="shared" si="2"/>
        <v>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</row>
    <row r="48" ht="15.75" customHeight="1">
      <c r="A48" s="11" t="s">
        <v>240</v>
      </c>
      <c r="B48" s="8">
        <f t="shared" si="2"/>
        <v>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</row>
    <row r="49" ht="15.75" customHeight="1">
      <c r="A49" s="11" t="s">
        <v>37</v>
      </c>
      <c r="B49" s="8">
        <f t="shared" si="2"/>
        <v>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20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</row>
    <row r="50" ht="15.75" customHeight="1">
      <c r="A50" s="11" t="s">
        <v>83</v>
      </c>
      <c r="B50" s="8">
        <f t="shared" si="2"/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</row>
    <row r="51" ht="15.75" customHeight="1">
      <c r="A51" s="11" t="s">
        <v>109</v>
      </c>
      <c r="B51" s="8">
        <f t="shared" si="2"/>
        <v>2.5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20">
        <v>2.5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21"/>
      <c r="AZ51" s="8"/>
      <c r="BA51" s="8"/>
      <c r="BB51" s="8"/>
    </row>
    <row r="52" ht="15.75" customHeight="1">
      <c r="A52" s="11" t="s">
        <v>90</v>
      </c>
      <c r="B52" s="8">
        <f t="shared" si="2"/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</row>
    <row r="53" ht="15.75" customHeight="1">
      <c r="A53" s="11" t="s">
        <v>241</v>
      </c>
      <c r="B53" s="8">
        <f t="shared" si="2"/>
        <v>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</row>
    <row r="54" ht="15.75" customHeight="1">
      <c r="A54" s="11" t="s">
        <v>119</v>
      </c>
      <c r="B54" s="8">
        <f t="shared" si="2"/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20"/>
      <c r="BA54" s="20"/>
      <c r="BB54" s="8"/>
    </row>
    <row r="55" ht="15.75" customHeight="1">
      <c r="A55" s="11" t="s">
        <v>117</v>
      </c>
      <c r="B55" s="8">
        <f t="shared" si="2"/>
        <v>12.25</v>
      </c>
      <c r="C55" s="20">
        <v>2.5</v>
      </c>
      <c r="D55" s="20">
        <v>2.0</v>
      </c>
      <c r="E55" s="8"/>
      <c r="F55" s="8"/>
      <c r="G55" s="20">
        <v>2.75</v>
      </c>
      <c r="H55" s="8"/>
      <c r="I55" s="8"/>
      <c r="J55" s="8"/>
      <c r="K55" s="21">
        <v>2.5</v>
      </c>
      <c r="L55" s="8"/>
      <c r="M55" s="8"/>
      <c r="N55" s="8"/>
      <c r="O55" s="20">
        <v>2.5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20"/>
      <c r="AY55" s="8"/>
      <c r="AZ55" s="8"/>
      <c r="BA55" s="20"/>
      <c r="BB55" s="8"/>
    </row>
    <row r="56" ht="15.75" customHeight="1">
      <c r="A56" s="11" t="s">
        <v>32</v>
      </c>
      <c r="B56" s="8">
        <f t="shared" si="2"/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</row>
    <row r="57" ht="15.75" customHeight="1">
      <c r="A57" s="11" t="s">
        <v>29</v>
      </c>
      <c r="B57" s="8">
        <f t="shared" si="2"/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</row>
    <row r="58" ht="15.75" customHeight="1">
      <c r="A58" s="11" t="s">
        <v>242</v>
      </c>
      <c r="B58" s="8">
        <f t="shared" si="2"/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</row>
    <row r="59" ht="15.75" customHeight="1">
      <c r="A59" s="11" t="s">
        <v>243</v>
      </c>
      <c r="B59" s="8">
        <f t="shared" si="2"/>
        <v>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</row>
    <row r="60" ht="15.75" customHeight="1">
      <c r="A60" s="11" t="s">
        <v>100</v>
      </c>
      <c r="B60" s="8">
        <f t="shared" si="2"/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20"/>
      <c r="AS60" s="8"/>
      <c r="AT60" s="8"/>
      <c r="AU60" s="8"/>
      <c r="AV60" s="8"/>
      <c r="AW60" s="8"/>
      <c r="AX60" s="8"/>
      <c r="AY60" s="8"/>
      <c r="AZ60" s="8"/>
      <c r="BA60" s="8"/>
      <c r="BB60" s="8"/>
    </row>
    <row r="61" ht="15.75" customHeight="1">
      <c r="A61" s="11" t="s">
        <v>110</v>
      </c>
      <c r="B61" s="8">
        <f t="shared" si="2"/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</row>
    <row r="62" ht="15.75" customHeight="1">
      <c r="A62" s="11" t="s">
        <v>244</v>
      </c>
      <c r="B62" s="8">
        <f t="shared" si="2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</row>
    <row r="63" ht="15.75" customHeight="1">
      <c r="A63" s="11" t="s">
        <v>245</v>
      </c>
      <c r="B63" s="8">
        <f t="shared" si="2"/>
        <v>23.25</v>
      </c>
      <c r="C63" s="20">
        <v>2.5</v>
      </c>
      <c r="D63" s="20">
        <v>2.0</v>
      </c>
      <c r="E63" s="21">
        <v>3.0</v>
      </c>
      <c r="F63" s="8"/>
      <c r="G63" s="20">
        <v>2.75</v>
      </c>
      <c r="H63" s="20">
        <v>2.0</v>
      </c>
      <c r="I63" s="8"/>
      <c r="J63" s="20">
        <v>2.75</v>
      </c>
      <c r="K63" s="21">
        <v>2.5</v>
      </c>
      <c r="L63" s="8"/>
      <c r="M63" s="20">
        <v>3.25</v>
      </c>
      <c r="N63" s="20">
        <v>2.5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20"/>
      <c r="AR63" s="20"/>
      <c r="AS63" s="8"/>
      <c r="AT63" s="8"/>
      <c r="AU63" s="8"/>
      <c r="AV63" s="21"/>
      <c r="AW63" s="20"/>
      <c r="AX63" s="20"/>
      <c r="AY63" s="21"/>
      <c r="AZ63" s="20"/>
      <c r="BA63" s="20"/>
      <c r="BB63" s="20"/>
    </row>
    <row r="64" ht="15.75" customHeight="1">
      <c r="A64" s="11" t="s">
        <v>246</v>
      </c>
      <c r="B64" s="8">
        <f t="shared" si="2"/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</row>
    <row r="65" ht="15.75" customHeight="1">
      <c r="A65" s="11" t="s">
        <v>142</v>
      </c>
      <c r="B65" s="8">
        <f t="shared" si="2"/>
        <v>7.75</v>
      </c>
      <c r="C65" s="8"/>
      <c r="D65" s="8"/>
      <c r="E65" s="8"/>
      <c r="F65" s="8"/>
      <c r="G65" s="8"/>
      <c r="H65" s="8"/>
      <c r="I65" s="8"/>
      <c r="J65" s="8"/>
      <c r="K65" s="8"/>
      <c r="L65" s="20">
        <v>2.0</v>
      </c>
      <c r="M65" s="20">
        <v>3.25</v>
      </c>
      <c r="N65" s="20">
        <v>2.5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</row>
    <row r="66" ht="15.75" customHeight="1">
      <c r="A66" s="11" t="s">
        <v>247</v>
      </c>
      <c r="B66" s="8">
        <f t="shared" si="2"/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</row>
    <row r="67" ht="15.75" customHeight="1">
      <c r="A67" s="11" t="s">
        <v>248</v>
      </c>
      <c r="B67" s="8">
        <f t="shared" si="2"/>
        <v>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</row>
    <row r="68" ht="15.75" customHeight="1">
      <c r="A68" s="11" t="s">
        <v>249</v>
      </c>
      <c r="B68" s="8">
        <f t="shared" si="2"/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21"/>
      <c r="AW68" s="8"/>
      <c r="AX68" s="8"/>
      <c r="AY68" s="8"/>
      <c r="AZ68" s="8"/>
      <c r="BA68" s="8"/>
      <c r="BB68" s="8"/>
    </row>
    <row r="69" ht="15.75" customHeight="1">
      <c r="A69" s="11" t="s">
        <v>250</v>
      </c>
      <c r="B69" s="8">
        <f t="shared" si="2"/>
        <v>22</v>
      </c>
      <c r="C69" s="8"/>
      <c r="D69" s="20">
        <v>2.0</v>
      </c>
      <c r="E69" s="21">
        <v>3.0</v>
      </c>
      <c r="F69" s="8"/>
      <c r="G69" s="20">
        <v>2.75</v>
      </c>
      <c r="H69" s="20">
        <v>2.0</v>
      </c>
      <c r="I69" s="20">
        <v>2.25</v>
      </c>
      <c r="J69" s="20">
        <v>2.75</v>
      </c>
      <c r="K69" s="21">
        <v>2.25</v>
      </c>
      <c r="L69" s="8"/>
      <c r="M69" s="8"/>
      <c r="N69" s="20">
        <v>2.5</v>
      </c>
      <c r="O69" s="20">
        <v>2.5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20"/>
      <c r="AT69" s="20"/>
      <c r="AU69" s="8"/>
      <c r="AV69" s="8"/>
      <c r="AW69" s="8"/>
      <c r="AX69" s="8"/>
      <c r="AY69" s="8"/>
      <c r="AZ69" s="8"/>
      <c r="BA69" s="8"/>
      <c r="BB69" s="8"/>
    </row>
    <row r="70" ht="15.75" customHeight="1">
      <c r="A70" s="11" t="s">
        <v>91</v>
      </c>
      <c r="B70" s="8">
        <f t="shared" si="2"/>
        <v>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</row>
    <row r="71" ht="15.75" customHeight="1">
      <c r="A71" s="11" t="s">
        <v>99</v>
      </c>
      <c r="B71" s="8">
        <f t="shared" si="2"/>
        <v>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20"/>
      <c r="AT71" s="20"/>
      <c r="AU71" s="8"/>
      <c r="AV71" s="8"/>
      <c r="AW71" s="8"/>
      <c r="AX71" s="8"/>
      <c r="AY71" s="8"/>
      <c r="AZ71" s="8"/>
      <c r="BA71" s="8"/>
      <c r="BB71" s="8"/>
    </row>
    <row r="72" ht="15.75" customHeight="1">
      <c r="A72" s="11" t="s">
        <v>251</v>
      </c>
      <c r="B72" s="8">
        <f t="shared" si="2"/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</row>
    <row r="73" ht="15.75" customHeight="1">
      <c r="A73" s="11" t="s">
        <v>150</v>
      </c>
      <c r="B73" s="8">
        <f t="shared" si="2"/>
        <v>2.5</v>
      </c>
      <c r="C73" s="8"/>
      <c r="D73" s="8"/>
      <c r="E73" s="8"/>
      <c r="F73" s="8"/>
      <c r="G73" s="8"/>
      <c r="H73" s="8"/>
      <c r="I73" s="8"/>
      <c r="J73" s="8"/>
      <c r="K73" s="21">
        <v>2.5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20"/>
    </row>
    <row r="74" ht="15.75" customHeight="1">
      <c r="A74" s="11" t="s">
        <v>252</v>
      </c>
      <c r="B74" s="8">
        <f t="shared" si="2"/>
        <v>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</row>
    <row r="75" ht="15.75" customHeight="1">
      <c r="A75" s="11" t="s">
        <v>253</v>
      </c>
      <c r="B75" s="8">
        <f t="shared" si="2"/>
        <v>0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</row>
    <row r="76" ht="15.75" customHeight="1">
      <c r="A76" s="11" t="s">
        <v>254</v>
      </c>
      <c r="B76" s="8">
        <f t="shared" si="2"/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20"/>
      <c r="AY76" s="8"/>
      <c r="AZ76" s="8"/>
      <c r="BA76" s="8"/>
      <c r="BB76" s="8"/>
    </row>
    <row r="77" ht="15.75" customHeight="1">
      <c r="A77" s="11" t="s">
        <v>255</v>
      </c>
      <c r="B77" s="8">
        <f t="shared" si="2"/>
        <v>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</row>
    <row r="78" ht="15.75" customHeight="1">
      <c r="A78" s="11" t="s">
        <v>256</v>
      </c>
      <c r="B78" s="8">
        <f t="shared" si="2"/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20"/>
      <c r="BA78" s="8"/>
      <c r="BB78" s="8"/>
    </row>
    <row r="79" ht="15.75" customHeight="1">
      <c r="A79" s="11" t="s">
        <v>257</v>
      </c>
      <c r="B79" s="8">
        <f t="shared" si="2"/>
        <v>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</row>
    <row r="80" ht="15.75" customHeight="1">
      <c r="A80" s="11" t="s">
        <v>258</v>
      </c>
      <c r="B80" s="8">
        <f t="shared" si="2"/>
        <v>4.5</v>
      </c>
      <c r="C80" s="8"/>
      <c r="D80" s="8"/>
      <c r="E80" s="8"/>
      <c r="F80" s="8"/>
      <c r="G80" s="20">
        <v>2.5</v>
      </c>
      <c r="H80" s="8"/>
      <c r="I80" s="8"/>
      <c r="J80" s="8"/>
      <c r="K80" s="8"/>
      <c r="L80" s="20">
        <v>2.0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21"/>
      <c r="AW80" s="8"/>
      <c r="AX80" s="8"/>
      <c r="AY80" s="8"/>
      <c r="AZ80" s="8"/>
      <c r="BA80" s="8"/>
      <c r="BB80" s="8"/>
    </row>
    <row r="81" ht="15.75" customHeight="1">
      <c r="A81" s="11" t="s">
        <v>259</v>
      </c>
      <c r="B81" s="8">
        <f t="shared" si="2"/>
        <v>2.5</v>
      </c>
      <c r="C81" s="8"/>
      <c r="D81" s="8"/>
      <c r="E81" s="8"/>
      <c r="F81" s="8"/>
      <c r="G81" s="8"/>
      <c r="H81" s="8"/>
      <c r="I81" s="8"/>
      <c r="J81" s="8"/>
      <c r="K81" s="21">
        <v>2.5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</row>
    <row r="82" ht="15.75" customHeight="1">
      <c r="A82" s="11" t="s">
        <v>167</v>
      </c>
      <c r="B82" s="8">
        <f t="shared" si="2"/>
        <v>26.75</v>
      </c>
      <c r="C82" s="20">
        <v>2.5</v>
      </c>
      <c r="D82" s="20">
        <v>2.5</v>
      </c>
      <c r="E82" s="21">
        <v>3.0</v>
      </c>
      <c r="F82" s="21">
        <v>1.5</v>
      </c>
      <c r="G82" s="20">
        <v>2.75</v>
      </c>
      <c r="H82" s="20">
        <v>2.0</v>
      </c>
      <c r="I82" s="20">
        <v>2.25</v>
      </c>
      <c r="J82" s="20">
        <v>2.75</v>
      </c>
      <c r="K82" s="21">
        <v>2.5</v>
      </c>
      <c r="L82" s="8"/>
      <c r="M82" s="8"/>
      <c r="N82" s="20">
        <v>2.5</v>
      </c>
      <c r="O82" s="20">
        <v>2.5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L82" s="8"/>
      <c r="AM82" s="8"/>
      <c r="AN82" s="8"/>
      <c r="AO82" s="8"/>
      <c r="AP82" s="8"/>
      <c r="AQ82" s="20"/>
      <c r="AR82" s="8"/>
      <c r="AS82" s="20"/>
      <c r="AT82" s="20"/>
      <c r="AU82" s="8"/>
      <c r="AV82" s="8"/>
      <c r="AW82" s="20"/>
      <c r="AX82" s="20"/>
      <c r="AY82" s="21"/>
      <c r="AZ82" s="20"/>
      <c r="BA82" s="20"/>
      <c r="BB82" s="20"/>
    </row>
    <row r="83" ht="15.75" customHeight="1">
      <c r="A83" s="11" t="s">
        <v>151</v>
      </c>
      <c r="B83" s="8">
        <f t="shared" si="2"/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</row>
    <row r="84" ht="15.75" customHeight="1">
      <c r="A84" s="11" t="s">
        <v>260</v>
      </c>
      <c r="B84" s="8">
        <f t="shared" si="2"/>
        <v>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</row>
    <row r="85" ht="15.75" customHeight="1">
      <c r="A85" s="11" t="s">
        <v>261</v>
      </c>
      <c r="B85" s="8">
        <f t="shared" si="2"/>
        <v>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</row>
    <row r="86" ht="15.75" customHeight="1">
      <c r="A86" s="11" t="s">
        <v>262</v>
      </c>
      <c r="B86" s="8">
        <f t="shared" si="2"/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21"/>
      <c r="AW86" s="8"/>
      <c r="AX86" s="8"/>
      <c r="AY86" s="8"/>
      <c r="AZ86" s="8"/>
      <c r="BA86" s="8"/>
      <c r="BB86" s="8"/>
    </row>
    <row r="87" ht="15.75" customHeight="1">
      <c r="A87" s="11" t="s">
        <v>188</v>
      </c>
      <c r="B87" s="8">
        <f t="shared" si="2"/>
        <v>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</row>
    <row r="88" ht="15.75" customHeight="1">
      <c r="A88" s="12" t="s">
        <v>449</v>
      </c>
      <c r="B88" s="8">
        <f t="shared" si="2"/>
        <v>4.5</v>
      </c>
      <c r="C88" s="20">
        <v>2.5</v>
      </c>
      <c r="D88" s="20">
        <v>2.0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20"/>
      <c r="BA88" s="20"/>
      <c r="BB88" s="8"/>
    </row>
    <row r="89" ht="15.75" customHeight="1">
      <c r="A89" s="11" t="s">
        <v>264</v>
      </c>
      <c r="B89" s="8">
        <f t="shared" si="2"/>
        <v>5</v>
      </c>
      <c r="C89" s="8"/>
      <c r="D89" s="8"/>
      <c r="E89" s="21">
        <v>3.0</v>
      </c>
      <c r="F89" s="8"/>
      <c r="G89" s="8"/>
      <c r="H89" s="8"/>
      <c r="I89" s="8"/>
      <c r="J89" s="8"/>
      <c r="K89" s="8"/>
      <c r="L89" s="20">
        <v>2.0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21"/>
      <c r="AW89" s="8"/>
      <c r="AX89" s="8"/>
      <c r="AY89" s="8"/>
      <c r="AZ89" s="8"/>
      <c r="BA89" s="8"/>
      <c r="BB89" s="8"/>
    </row>
    <row r="90" ht="15.75" customHeight="1">
      <c r="A90" s="11" t="s">
        <v>265</v>
      </c>
      <c r="B90" s="8">
        <f t="shared" si="2"/>
        <v>0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</row>
    <row r="91" ht="15.75" customHeight="1">
      <c r="A91" s="11" t="s">
        <v>266</v>
      </c>
      <c r="B91" s="8">
        <f t="shared" si="2"/>
        <v>0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20"/>
      <c r="BA91" s="8"/>
      <c r="BB91" s="8"/>
    </row>
    <row r="92" ht="15.75" customHeight="1">
      <c r="A92" s="11" t="s">
        <v>149</v>
      </c>
      <c r="B92" s="8">
        <f t="shared" si="2"/>
        <v>2.5</v>
      </c>
      <c r="C92" s="20">
        <v>2.5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20"/>
      <c r="AU92" s="20"/>
      <c r="AV92" s="21"/>
      <c r="AW92" s="20"/>
      <c r="AX92" s="8"/>
      <c r="AY92" s="21"/>
      <c r="AZ92" s="8"/>
      <c r="BA92" s="8"/>
      <c r="BB92" s="20"/>
    </row>
    <row r="93" ht="15.75" customHeight="1">
      <c r="A93" s="11" t="s">
        <v>267</v>
      </c>
      <c r="B93" s="8">
        <f t="shared" si="2"/>
        <v>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</row>
    <row r="94" ht="15.75" customHeight="1">
      <c r="A94" s="11" t="s">
        <v>268</v>
      </c>
      <c r="B94" s="8">
        <f t="shared" si="2"/>
        <v>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</row>
    <row r="95" ht="15.75" customHeight="1">
      <c r="A95" s="11" t="s">
        <v>269</v>
      </c>
      <c r="B95" s="8">
        <f t="shared" si="2"/>
        <v>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</row>
    <row r="96" ht="15.75" customHeight="1">
      <c r="A96" s="11" t="s">
        <v>270</v>
      </c>
      <c r="B96" s="8">
        <f t="shared" si="2"/>
        <v>0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</row>
    <row r="97" ht="15.75" customHeight="1">
      <c r="A97" s="11" t="s">
        <v>271</v>
      </c>
      <c r="B97" s="8">
        <f t="shared" si="2"/>
        <v>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</row>
    <row r="98" ht="15.75" customHeight="1">
      <c r="A98" s="12" t="s">
        <v>272</v>
      </c>
      <c r="B98" s="8">
        <f t="shared" si="2"/>
        <v>0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20"/>
      <c r="AR98" s="20"/>
      <c r="AS98" s="8"/>
      <c r="AT98" s="8"/>
      <c r="AU98" s="8"/>
      <c r="AV98" s="8"/>
      <c r="AW98" s="8"/>
      <c r="AX98" s="8"/>
      <c r="AY98" s="8"/>
      <c r="AZ98" s="8"/>
      <c r="BA98" s="8"/>
      <c r="BB98" s="8"/>
    </row>
    <row r="99" ht="15.75" customHeight="1">
      <c r="A99" s="12" t="s">
        <v>170</v>
      </c>
      <c r="B99" s="8">
        <f t="shared" si="2"/>
        <v>1.5</v>
      </c>
      <c r="C99" s="8"/>
      <c r="D99" s="8"/>
      <c r="E99" s="8"/>
      <c r="F99" s="21">
        <v>1.5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20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</row>
    <row r="100" ht="15.75" customHeight="1">
      <c r="A100" s="12" t="s">
        <v>273</v>
      </c>
      <c r="B100" s="8">
        <f t="shared" si="2"/>
        <v>0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20"/>
      <c r="AS100" s="20"/>
      <c r="AT100" s="20"/>
      <c r="AU100" s="8"/>
      <c r="AV100" s="8"/>
      <c r="AW100" s="8"/>
      <c r="AX100" s="8"/>
      <c r="AY100" s="8"/>
      <c r="AZ100" s="8"/>
      <c r="BA100" s="8"/>
      <c r="BB100" s="8"/>
    </row>
    <row r="101" ht="15.75" customHeight="1">
      <c r="A101" s="12" t="s">
        <v>274</v>
      </c>
      <c r="B101" s="8">
        <f t="shared" si="2"/>
        <v>0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20"/>
      <c r="AS101" s="8"/>
      <c r="AT101" s="8"/>
      <c r="AU101" s="8"/>
      <c r="AV101" s="8"/>
      <c r="AW101" s="8"/>
      <c r="AX101" s="8"/>
      <c r="AY101" s="8"/>
      <c r="AZ101" s="8"/>
      <c r="BA101" s="8"/>
      <c r="BB101" s="8"/>
    </row>
    <row r="102" ht="15.75" customHeight="1">
      <c r="A102" s="12" t="s">
        <v>275</v>
      </c>
      <c r="B102" s="8">
        <f t="shared" si="2"/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20"/>
      <c r="AS102" s="8"/>
      <c r="AT102" s="8"/>
      <c r="AU102" s="8"/>
      <c r="AV102" s="8"/>
      <c r="AW102" s="8"/>
      <c r="AX102" s="8"/>
      <c r="AY102" s="8"/>
      <c r="AZ102" s="8"/>
      <c r="BA102" s="8"/>
      <c r="BB102" s="8"/>
    </row>
    <row r="103" ht="15.75" customHeight="1">
      <c r="A103" s="12" t="s">
        <v>276</v>
      </c>
      <c r="B103" s="8">
        <f t="shared" si="2"/>
        <v>0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20"/>
      <c r="AT103" s="20"/>
      <c r="AU103" s="8"/>
      <c r="AV103" s="8"/>
      <c r="AW103" s="8"/>
      <c r="AX103" s="8"/>
      <c r="AY103" s="8"/>
      <c r="AZ103" s="8"/>
      <c r="BA103" s="8"/>
      <c r="BB103" s="8"/>
    </row>
    <row r="104" ht="15.75" customHeight="1">
      <c r="A104" s="12" t="s">
        <v>171</v>
      </c>
      <c r="B104" s="8">
        <f t="shared" si="2"/>
        <v>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20"/>
      <c r="AT104" s="20"/>
      <c r="AU104" s="8"/>
      <c r="AV104" s="8"/>
      <c r="AW104" s="8"/>
      <c r="AX104" s="8"/>
      <c r="AY104" s="8"/>
      <c r="AZ104" s="8"/>
      <c r="BA104" s="8"/>
      <c r="BB104" s="8"/>
    </row>
    <row r="105" ht="15.75" customHeight="1">
      <c r="A105" s="12" t="s">
        <v>277</v>
      </c>
      <c r="B105" s="8">
        <f t="shared" si="2"/>
        <v>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20"/>
      <c r="AT105" s="20"/>
      <c r="AU105" s="8"/>
      <c r="AV105" s="8"/>
      <c r="AW105" s="8"/>
      <c r="AX105" s="8"/>
      <c r="AY105" s="8"/>
      <c r="AZ105" s="8"/>
      <c r="BA105" s="8"/>
      <c r="BB105" s="8"/>
    </row>
    <row r="106" ht="15.75" customHeight="1">
      <c r="A106" s="12" t="s">
        <v>278</v>
      </c>
      <c r="B106" s="8">
        <f t="shared" si="2"/>
        <v>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20"/>
      <c r="AT106" s="20"/>
      <c r="AU106" s="8"/>
      <c r="AV106" s="8"/>
      <c r="AW106" s="8"/>
      <c r="AX106" s="8"/>
      <c r="AY106" s="8"/>
      <c r="AZ106" s="8"/>
      <c r="BA106" s="8"/>
      <c r="BB106" s="8"/>
    </row>
    <row r="107" ht="15.75" customHeight="1">
      <c r="A107" s="12" t="s">
        <v>162</v>
      </c>
      <c r="B107" s="8">
        <f t="shared" si="2"/>
        <v>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20"/>
      <c r="AT107" s="20"/>
      <c r="AU107" s="8"/>
      <c r="AV107" s="8"/>
      <c r="AW107" s="8"/>
      <c r="AX107" s="8"/>
      <c r="AY107" s="8"/>
      <c r="AZ107" s="8"/>
      <c r="BA107" s="8"/>
      <c r="BB107" s="8"/>
    </row>
    <row r="108" ht="15.75" customHeight="1">
      <c r="A108" s="12" t="s">
        <v>164</v>
      </c>
      <c r="B108" s="8">
        <f t="shared" si="2"/>
        <v>2.5</v>
      </c>
      <c r="C108" s="20">
        <v>2.5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20"/>
      <c r="AT108" s="20"/>
      <c r="AU108" s="8"/>
      <c r="AV108" s="8"/>
      <c r="AW108" s="8"/>
      <c r="AX108" s="8"/>
      <c r="AY108" s="8"/>
      <c r="AZ108" s="8"/>
      <c r="BA108" s="8"/>
      <c r="BB108" s="8"/>
    </row>
    <row r="109" ht="15.75" customHeight="1">
      <c r="A109" s="12" t="s">
        <v>279</v>
      </c>
      <c r="B109" s="8">
        <f t="shared" si="2"/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20"/>
      <c r="AU109" s="8"/>
      <c r="AV109" s="8"/>
      <c r="AW109" s="8"/>
      <c r="AX109" s="8"/>
      <c r="AY109" s="8"/>
      <c r="AZ109" s="8"/>
      <c r="BA109" s="8"/>
      <c r="BB109" s="8"/>
    </row>
    <row r="110" ht="15.75" customHeight="1">
      <c r="A110" s="12" t="s">
        <v>280</v>
      </c>
      <c r="B110" s="8">
        <f t="shared" si="2"/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20"/>
      <c r="AU110" s="8"/>
      <c r="AV110" s="8"/>
      <c r="AW110" s="8"/>
      <c r="AX110" s="8"/>
      <c r="AY110" s="8"/>
      <c r="AZ110" s="8"/>
      <c r="BA110" s="8"/>
      <c r="BB110" s="8"/>
    </row>
    <row r="111" ht="15.75" customHeight="1">
      <c r="A111" s="12" t="s">
        <v>155</v>
      </c>
      <c r="B111" s="8">
        <f t="shared" si="2"/>
        <v>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20"/>
      <c r="AU111" s="8"/>
      <c r="AV111" s="8"/>
      <c r="AW111" s="8"/>
      <c r="AX111" s="8"/>
      <c r="AY111" s="8"/>
      <c r="AZ111" s="8"/>
      <c r="BA111" s="8"/>
      <c r="BB111" s="8"/>
    </row>
    <row r="112" ht="15.75" customHeight="1">
      <c r="A112" s="12" t="s">
        <v>281</v>
      </c>
      <c r="B112" s="8">
        <f t="shared" si="2"/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20"/>
      <c r="AV112" s="8"/>
      <c r="AW112" s="8"/>
      <c r="AX112" s="8"/>
      <c r="AY112" s="8"/>
      <c r="AZ112" s="8"/>
      <c r="BA112" s="8"/>
      <c r="BB112" s="8"/>
    </row>
    <row r="113" ht="15.75" customHeight="1">
      <c r="A113" s="12" t="s">
        <v>282</v>
      </c>
      <c r="B113" s="8">
        <f t="shared" si="2"/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20"/>
      <c r="AV113" s="8"/>
      <c r="AW113" s="8"/>
      <c r="AX113" s="8"/>
      <c r="AY113" s="8"/>
      <c r="AZ113" s="8"/>
      <c r="BA113" s="8"/>
      <c r="BB113" s="8"/>
    </row>
    <row r="114" ht="15.75" customHeight="1">
      <c r="A114" s="12" t="s">
        <v>283</v>
      </c>
      <c r="B114" s="8">
        <f t="shared" si="2"/>
        <v>2.5</v>
      </c>
      <c r="C114" s="20">
        <v>2.5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20"/>
      <c r="AV114" s="8"/>
      <c r="AW114" s="8"/>
      <c r="AX114" s="20"/>
      <c r="AY114" s="21"/>
      <c r="AZ114" s="8"/>
      <c r="BA114" s="8"/>
      <c r="BB114" s="8"/>
    </row>
    <row r="115" ht="15.75" customHeight="1">
      <c r="A115" s="12" t="s">
        <v>284</v>
      </c>
      <c r="B115" s="8">
        <f t="shared" si="2"/>
        <v>2.5</v>
      </c>
      <c r="C115" s="20">
        <v>2.5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20"/>
      <c r="AV115" s="8"/>
      <c r="AW115" s="8"/>
      <c r="AX115" s="20"/>
      <c r="AY115" s="21"/>
      <c r="AZ115" s="8"/>
      <c r="BA115" s="8"/>
      <c r="BB115" s="8"/>
    </row>
    <row r="116" ht="15.75" customHeight="1">
      <c r="A116" s="12" t="s">
        <v>285</v>
      </c>
      <c r="B116" s="8">
        <f t="shared" si="2"/>
        <v>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20"/>
      <c r="AV116" s="8"/>
      <c r="AW116" s="8"/>
      <c r="AX116" s="8"/>
      <c r="AY116" s="8"/>
      <c r="AZ116" s="8"/>
      <c r="BA116" s="8"/>
      <c r="BB116" s="8"/>
    </row>
    <row r="117" ht="15.75" customHeight="1">
      <c r="A117" s="12" t="s">
        <v>286</v>
      </c>
      <c r="B117" s="8">
        <f t="shared" si="2"/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20"/>
      <c r="AV117" s="8"/>
      <c r="AW117" s="8"/>
      <c r="AX117" s="8"/>
      <c r="AY117" s="8"/>
      <c r="AZ117" s="8"/>
      <c r="BA117" s="8"/>
      <c r="BB117" s="8"/>
    </row>
    <row r="118" ht="15.75" customHeight="1">
      <c r="A118" s="12" t="s">
        <v>287</v>
      </c>
      <c r="B118" s="8">
        <f t="shared" si="2"/>
        <v>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20"/>
      <c r="AV118" s="8"/>
      <c r="AW118" s="8"/>
      <c r="AX118" s="8"/>
      <c r="AY118" s="8"/>
      <c r="AZ118" s="8"/>
      <c r="BA118" s="8"/>
      <c r="BB118" s="8"/>
    </row>
    <row r="119" ht="15.75" customHeight="1">
      <c r="A119" s="12" t="s">
        <v>288</v>
      </c>
      <c r="B119" s="8">
        <f t="shared" si="2"/>
        <v>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20"/>
      <c r="AV119" s="8"/>
      <c r="AW119" s="8"/>
      <c r="AX119" s="8"/>
      <c r="AY119" s="8"/>
      <c r="AZ119" s="8"/>
      <c r="BA119" s="8"/>
      <c r="BB119" s="8"/>
    </row>
    <row r="120" ht="15.75" customHeight="1">
      <c r="A120" s="12" t="s">
        <v>289</v>
      </c>
      <c r="B120" s="8">
        <f t="shared" si="2"/>
        <v>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20"/>
      <c r="AV120" s="8"/>
      <c r="AW120" s="8"/>
      <c r="AX120" s="8"/>
      <c r="AY120" s="8"/>
      <c r="AZ120" s="8"/>
      <c r="BA120" s="8"/>
      <c r="BB120" s="8"/>
    </row>
    <row r="121" ht="15.75" customHeight="1">
      <c r="A121" s="12" t="s">
        <v>290</v>
      </c>
      <c r="B121" s="8">
        <f t="shared" si="2"/>
        <v>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20"/>
      <c r="AV121" s="8"/>
      <c r="AW121" s="8"/>
      <c r="AX121" s="8"/>
      <c r="AY121" s="8"/>
      <c r="AZ121" s="8"/>
      <c r="BA121" s="8"/>
      <c r="BB121" s="8"/>
    </row>
    <row r="122" ht="15.75" customHeight="1">
      <c r="A122" s="30" t="s">
        <v>291</v>
      </c>
      <c r="B122" s="8">
        <f t="shared" si="2"/>
        <v>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21"/>
      <c r="AW122" s="8"/>
      <c r="AX122" s="8"/>
      <c r="AY122" s="8"/>
      <c r="AZ122" s="8"/>
      <c r="BA122" s="8"/>
      <c r="BB122" s="8"/>
    </row>
    <row r="123" ht="15.75" customHeight="1">
      <c r="A123" s="30" t="s">
        <v>292</v>
      </c>
      <c r="B123" s="8">
        <f t="shared" si="2"/>
        <v>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21"/>
      <c r="AW123" s="8"/>
      <c r="AX123" s="8"/>
      <c r="AY123" s="8"/>
      <c r="AZ123" s="8"/>
      <c r="BA123" s="8"/>
      <c r="BB123" s="8"/>
    </row>
    <row r="124" ht="15.75" customHeight="1">
      <c r="A124" s="30" t="s">
        <v>169</v>
      </c>
      <c r="B124" s="8">
        <f t="shared" si="2"/>
        <v>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21"/>
      <c r="AW124" s="8"/>
      <c r="AX124" s="8"/>
      <c r="AY124" s="8"/>
      <c r="AZ124" s="8"/>
      <c r="BA124" s="8"/>
      <c r="BB124" s="8"/>
    </row>
    <row r="125" ht="15.75" customHeight="1">
      <c r="A125" s="30" t="s">
        <v>293</v>
      </c>
      <c r="B125" s="8">
        <f t="shared" si="2"/>
        <v>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21"/>
      <c r="AW125" s="20"/>
      <c r="AX125" s="8"/>
      <c r="AY125" s="8"/>
      <c r="AZ125" s="8"/>
      <c r="BA125" s="8"/>
      <c r="BB125" s="8"/>
    </row>
    <row r="126" ht="15.75" customHeight="1">
      <c r="A126" s="12" t="s">
        <v>294</v>
      </c>
      <c r="B126" s="8">
        <f t="shared" si="2"/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20"/>
      <c r="AX126" s="8"/>
      <c r="AY126" s="8"/>
      <c r="AZ126" s="8"/>
      <c r="BA126" s="8"/>
      <c r="BB126" s="8"/>
    </row>
    <row r="127" ht="15.75" customHeight="1">
      <c r="A127" s="12" t="s">
        <v>295</v>
      </c>
      <c r="B127" s="8">
        <f t="shared" si="2"/>
        <v>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20"/>
      <c r="AX127" s="8"/>
      <c r="AY127" s="8"/>
      <c r="AZ127" s="8"/>
      <c r="BA127" s="8"/>
      <c r="BB127" s="8"/>
    </row>
    <row r="128" ht="15.75" customHeight="1">
      <c r="A128" s="12" t="s">
        <v>216</v>
      </c>
      <c r="B128" s="8">
        <f t="shared" si="2"/>
        <v>6.75</v>
      </c>
      <c r="C128" s="8"/>
      <c r="D128" s="8"/>
      <c r="E128" s="8"/>
      <c r="F128" s="8"/>
      <c r="G128" s="8"/>
      <c r="H128" s="20">
        <v>2.0</v>
      </c>
      <c r="I128" s="20">
        <v>2.25</v>
      </c>
      <c r="J128" s="8"/>
      <c r="K128" s="8"/>
      <c r="L128" s="8"/>
      <c r="M128" s="8"/>
      <c r="N128" s="20">
        <v>2.5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20"/>
      <c r="AX128" s="20"/>
      <c r="AY128" s="8"/>
      <c r="AZ128" s="8"/>
      <c r="BA128" s="8"/>
      <c r="BB128" s="8"/>
    </row>
    <row r="129" ht="15.75" customHeight="1">
      <c r="A129" s="12" t="s">
        <v>296</v>
      </c>
      <c r="B129" s="8">
        <f t="shared" si="2"/>
        <v>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20"/>
      <c r="AX129" s="8"/>
      <c r="AY129" s="8"/>
      <c r="AZ129" s="8"/>
      <c r="BA129" s="8"/>
      <c r="BB129" s="8"/>
    </row>
    <row r="130" ht="15.75" customHeight="1">
      <c r="A130" s="12" t="s">
        <v>204</v>
      </c>
      <c r="B130" s="8">
        <f t="shared" si="2"/>
        <v>0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20"/>
      <c r="AX130" s="8"/>
      <c r="AY130" s="8"/>
      <c r="AZ130" s="8"/>
      <c r="BA130" s="20"/>
      <c r="BB130" s="20"/>
    </row>
    <row r="131" ht="15.75" customHeight="1">
      <c r="A131" s="12" t="s">
        <v>211</v>
      </c>
      <c r="B131" s="8">
        <f t="shared" si="2"/>
        <v>0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20"/>
      <c r="AX131" s="8"/>
      <c r="AY131" s="8"/>
      <c r="AZ131" s="8"/>
      <c r="BA131" s="8"/>
      <c r="BB131" s="20"/>
    </row>
    <row r="132" ht="15.75" customHeight="1">
      <c r="A132" s="12" t="s">
        <v>297</v>
      </c>
      <c r="B132" s="8">
        <f t="shared" si="2"/>
        <v>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20"/>
      <c r="AX132" s="8"/>
      <c r="AY132" s="8"/>
      <c r="AZ132" s="8"/>
      <c r="BA132" s="8"/>
      <c r="BB132" s="20"/>
    </row>
    <row r="133" ht="15.75" customHeight="1">
      <c r="A133" s="12" t="s">
        <v>298</v>
      </c>
      <c r="B133" s="8">
        <f t="shared" si="2"/>
        <v>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20"/>
      <c r="AY133" s="8"/>
      <c r="AZ133" s="8"/>
      <c r="BA133" s="8"/>
      <c r="BB133" s="8"/>
    </row>
    <row r="134" ht="15.75" customHeight="1">
      <c r="A134" s="12" t="s">
        <v>299</v>
      </c>
      <c r="B134" s="8">
        <f t="shared" si="2"/>
        <v>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20"/>
      <c r="AY134" s="8"/>
      <c r="AZ134" s="8"/>
      <c r="BA134" s="8"/>
      <c r="BB134" s="8"/>
    </row>
    <row r="135" ht="15.75" customHeight="1">
      <c r="A135" s="12" t="s">
        <v>300</v>
      </c>
      <c r="B135" s="8">
        <f t="shared" si="2"/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20"/>
      <c r="AY135" s="8"/>
      <c r="AZ135" s="8"/>
      <c r="BA135" s="8"/>
      <c r="BB135" s="8"/>
    </row>
    <row r="136" ht="15.75" customHeight="1">
      <c r="A136" s="12" t="s">
        <v>301</v>
      </c>
      <c r="B136" s="8">
        <f t="shared" si="2"/>
        <v>14.5</v>
      </c>
      <c r="C136" s="8"/>
      <c r="D136" s="8"/>
      <c r="E136" s="8"/>
      <c r="F136" s="8"/>
      <c r="G136" s="20">
        <v>2.75</v>
      </c>
      <c r="H136" s="20">
        <v>2.0</v>
      </c>
      <c r="I136" s="20">
        <v>2.25</v>
      </c>
      <c r="J136" s="8"/>
      <c r="K136" s="8"/>
      <c r="L136" s="20">
        <v>2.0</v>
      </c>
      <c r="M136" s="20">
        <v>3.0</v>
      </c>
      <c r="N136" s="8"/>
      <c r="O136" s="20">
        <v>2.5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20"/>
      <c r="AY136" s="8"/>
      <c r="AZ136" s="8"/>
      <c r="BA136" s="8"/>
      <c r="BB136" s="8"/>
    </row>
    <row r="137" ht="15.75" customHeight="1">
      <c r="A137" s="30" t="s">
        <v>302</v>
      </c>
      <c r="B137" s="8">
        <f t="shared" si="2"/>
        <v>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21"/>
      <c r="AZ137" s="8"/>
      <c r="BA137" s="8"/>
      <c r="BB137" s="8"/>
    </row>
    <row r="138" ht="15.75" customHeight="1">
      <c r="A138" s="30" t="s">
        <v>303</v>
      </c>
      <c r="B138" s="8">
        <f t="shared" si="2"/>
        <v>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21"/>
      <c r="AZ138" s="8"/>
      <c r="BA138" s="8"/>
      <c r="BB138" s="8"/>
    </row>
    <row r="139" ht="15.75" customHeight="1">
      <c r="A139" s="30" t="s">
        <v>229</v>
      </c>
      <c r="B139" s="8">
        <f t="shared" si="2"/>
        <v>0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21"/>
      <c r="AZ139" s="8"/>
      <c r="BA139" s="20"/>
      <c r="BB139" s="8"/>
    </row>
    <row r="140" ht="15.75" customHeight="1">
      <c r="A140" s="30" t="s">
        <v>304</v>
      </c>
      <c r="B140" s="8">
        <f t="shared" si="2"/>
        <v>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21"/>
      <c r="AZ140" s="8"/>
      <c r="BA140" s="8"/>
      <c r="BB140" s="8"/>
    </row>
    <row r="141" ht="15.75" customHeight="1">
      <c r="A141" s="12" t="s">
        <v>305</v>
      </c>
      <c r="B141" s="8">
        <f t="shared" si="2"/>
        <v>2.5</v>
      </c>
      <c r="C141" s="20">
        <v>2.5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20"/>
      <c r="BA141" s="8"/>
      <c r="BB141" s="8"/>
    </row>
    <row r="142" ht="15.75" customHeight="1">
      <c r="A142" s="12" t="s">
        <v>306</v>
      </c>
      <c r="B142" s="8">
        <f t="shared" si="2"/>
        <v>0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20"/>
      <c r="BA142" s="20"/>
      <c r="BB142" s="8"/>
    </row>
    <row r="143" ht="15.75" customHeight="1">
      <c r="A143" s="12" t="s">
        <v>60</v>
      </c>
      <c r="B143" s="8">
        <f t="shared" si="2"/>
        <v>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20"/>
      <c r="BB143" s="8"/>
    </row>
    <row r="144" ht="15.75" customHeight="1">
      <c r="A144" s="12" t="s">
        <v>307</v>
      </c>
      <c r="B144" s="8">
        <f t="shared" si="2"/>
        <v>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20"/>
      <c r="BB144" s="20"/>
    </row>
    <row r="145" ht="15.75" customHeight="1">
      <c r="A145" s="12" t="s">
        <v>308</v>
      </c>
      <c r="B145" s="8">
        <f t="shared" si="2"/>
        <v>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20"/>
    </row>
    <row r="146" ht="15.75" customHeight="1">
      <c r="A146" s="12" t="s">
        <v>309</v>
      </c>
      <c r="B146" s="8">
        <f t="shared" si="2"/>
        <v>2</v>
      </c>
      <c r="C146" s="8"/>
      <c r="D146" s="20">
        <v>2.0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20"/>
    </row>
    <row r="147" ht="15.75" customHeight="1">
      <c r="A147" s="12" t="s">
        <v>450</v>
      </c>
      <c r="B147" s="8">
        <f t="shared" si="2"/>
        <v>2.5</v>
      </c>
      <c r="C147" s="20">
        <v>2.5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</row>
    <row r="148" ht="15.75" customHeight="1">
      <c r="A148" s="12" t="s">
        <v>185</v>
      </c>
      <c r="B148" s="8">
        <f t="shared" si="2"/>
        <v>3.5</v>
      </c>
      <c r="C148" s="20"/>
      <c r="D148" s="20">
        <v>2.0</v>
      </c>
      <c r="E148" s="8"/>
      <c r="F148" s="21">
        <v>1.5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</row>
    <row r="149" ht="15.75" customHeight="1">
      <c r="A149" s="30" t="s">
        <v>451</v>
      </c>
      <c r="B149" s="8">
        <f t="shared" si="2"/>
        <v>22.75</v>
      </c>
      <c r="C149" s="8"/>
      <c r="D149" s="8"/>
      <c r="E149" s="21">
        <v>3.0</v>
      </c>
      <c r="F149" s="8"/>
      <c r="G149" s="20">
        <v>2.75</v>
      </c>
      <c r="H149" s="20">
        <v>2.0</v>
      </c>
      <c r="I149" s="20">
        <v>2.25</v>
      </c>
      <c r="J149" s="20">
        <v>2.75</v>
      </c>
      <c r="K149" s="8"/>
      <c r="L149" s="20">
        <v>2.0</v>
      </c>
      <c r="M149" s="20">
        <v>3.0</v>
      </c>
      <c r="N149" s="20">
        <v>2.5</v>
      </c>
      <c r="O149" s="20">
        <v>2.5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</row>
    <row r="150" ht="15.75" customHeight="1">
      <c r="A150" s="30" t="s">
        <v>372</v>
      </c>
      <c r="B150" s="8">
        <f t="shared" si="2"/>
        <v>3</v>
      </c>
      <c r="C150" s="8"/>
      <c r="D150" s="8"/>
      <c r="E150" s="21">
        <v>3.0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</row>
    <row r="151" ht="15.75" customHeight="1">
      <c r="A151" s="30" t="s">
        <v>362</v>
      </c>
      <c r="B151" s="8">
        <f t="shared" si="2"/>
        <v>1.5</v>
      </c>
      <c r="C151" s="8"/>
      <c r="D151" s="8"/>
      <c r="E151" s="8"/>
      <c r="F151" s="21">
        <v>1.5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</row>
    <row r="152" ht="15.75" customHeight="1">
      <c r="A152" s="30" t="s">
        <v>84</v>
      </c>
      <c r="B152" s="8">
        <f t="shared" si="2"/>
        <v>1.5</v>
      </c>
      <c r="C152" s="8"/>
      <c r="D152" s="8"/>
      <c r="E152" s="8"/>
      <c r="F152" s="21">
        <v>1.5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</row>
    <row r="153" ht="15.75" customHeight="1">
      <c r="A153" s="30" t="s">
        <v>231</v>
      </c>
      <c r="B153" s="8">
        <f t="shared" si="2"/>
        <v>1.5</v>
      </c>
      <c r="C153" s="8"/>
      <c r="D153" s="8"/>
      <c r="E153" s="8"/>
      <c r="F153" s="21">
        <v>1.5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</row>
    <row r="154" ht="15.75" customHeight="1">
      <c r="A154" s="30" t="s">
        <v>122</v>
      </c>
      <c r="B154" s="8">
        <f t="shared" si="2"/>
        <v>1.5</v>
      </c>
      <c r="C154" s="8"/>
      <c r="D154" s="8"/>
      <c r="E154" s="8"/>
      <c r="F154" s="21">
        <v>1.5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</row>
    <row r="155" ht="15.75" customHeight="1">
      <c r="A155" s="12" t="s">
        <v>377</v>
      </c>
      <c r="B155" s="8">
        <f t="shared" si="2"/>
        <v>2.75</v>
      </c>
      <c r="C155" s="8"/>
      <c r="D155" s="8"/>
      <c r="E155" s="8"/>
      <c r="F155" s="8"/>
      <c r="G155" s="20">
        <v>2.75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</row>
    <row r="156" ht="15.75" customHeight="1">
      <c r="A156" s="12" t="s">
        <v>218</v>
      </c>
      <c r="B156" s="8">
        <f t="shared" si="2"/>
        <v>2.5</v>
      </c>
      <c r="C156" s="8"/>
      <c r="D156" s="8"/>
      <c r="E156" s="8"/>
      <c r="F156" s="8"/>
      <c r="G156" s="20">
        <v>2.5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</row>
    <row r="157" ht="15.75" customHeight="1">
      <c r="A157" s="12" t="s">
        <v>452</v>
      </c>
      <c r="B157" s="8">
        <f t="shared" si="2"/>
        <v>2</v>
      </c>
      <c r="C157" s="8"/>
      <c r="D157" s="8"/>
      <c r="E157" s="8"/>
      <c r="F157" s="8"/>
      <c r="G157" s="8"/>
      <c r="H157" s="20">
        <v>2.0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</row>
    <row r="158" ht="15.75" customHeight="1">
      <c r="A158" s="12" t="s">
        <v>453</v>
      </c>
      <c r="B158" s="8">
        <f t="shared" si="2"/>
        <v>2</v>
      </c>
      <c r="C158" s="8"/>
      <c r="D158" s="8"/>
      <c r="E158" s="8"/>
      <c r="F158" s="8"/>
      <c r="G158" s="8"/>
      <c r="H158" s="20">
        <v>2.0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</row>
    <row r="159" ht="15.75" customHeight="1">
      <c r="A159" s="12" t="s">
        <v>454</v>
      </c>
      <c r="B159" s="8">
        <f t="shared" si="2"/>
        <v>2</v>
      </c>
      <c r="C159" s="8"/>
      <c r="D159" s="8"/>
      <c r="E159" s="8"/>
      <c r="F159" s="8"/>
      <c r="G159" s="8"/>
      <c r="H159" s="20">
        <v>2.0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</row>
    <row r="160" ht="15.75" customHeight="1">
      <c r="A160" s="12" t="s">
        <v>455</v>
      </c>
      <c r="B160" s="8">
        <f t="shared" si="2"/>
        <v>4.5</v>
      </c>
      <c r="C160" s="8"/>
      <c r="D160" s="8"/>
      <c r="E160" s="8"/>
      <c r="F160" s="8"/>
      <c r="G160" s="8"/>
      <c r="H160" s="20">
        <v>2.0</v>
      </c>
      <c r="I160" s="8"/>
      <c r="J160" s="8"/>
      <c r="K160" s="8"/>
      <c r="L160" s="8"/>
      <c r="M160" s="8"/>
      <c r="N160" s="20">
        <v>2.5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</row>
    <row r="161" ht="15.75" customHeight="1">
      <c r="A161" s="12" t="s">
        <v>456</v>
      </c>
      <c r="B161" s="8">
        <f t="shared" si="2"/>
        <v>2.25</v>
      </c>
      <c r="C161" s="8"/>
      <c r="D161" s="8"/>
      <c r="E161" s="8"/>
      <c r="F161" s="8"/>
      <c r="G161" s="8"/>
      <c r="H161" s="8"/>
      <c r="I161" s="20">
        <v>2.25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</row>
    <row r="162" ht="15.75" customHeight="1">
      <c r="A162" s="12" t="s">
        <v>457</v>
      </c>
      <c r="B162" s="8">
        <f t="shared" si="2"/>
        <v>12</v>
      </c>
      <c r="C162" s="8"/>
      <c r="D162" s="8"/>
      <c r="E162" s="8"/>
      <c r="F162" s="8"/>
      <c r="G162" s="8"/>
      <c r="H162" s="8"/>
      <c r="I162" s="20">
        <v>2.25</v>
      </c>
      <c r="J162" s="8"/>
      <c r="K162" s="8"/>
      <c r="L162" s="20">
        <v>2.0</v>
      </c>
      <c r="M162" s="20">
        <v>3.0</v>
      </c>
      <c r="N162" s="20">
        <v>2.25</v>
      </c>
      <c r="O162" s="20">
        <v>2.5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</row>
    <row r="163" ht="15.75" customHeight="1">
      <c r="A163" s="12" t="s">
        <v>423</v>
      </c>
      <c r="B163" s="8">
        <f t="shared" si="2"/>
        <v>2.25</v>
      </c>
      <c r="C163" s="8"/>
      <c r="D163" s="8"/>
      <c r="E163" s="8"/>
      <c r="F163" s="8"/>
      <c r="G163" s="8"/>
      <c r="H163" s="8"/>
      <c r="I163" s="20">
        <v>2.25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</row>
    <row r="164" ht="15.75" customHeight="1">
      <c r="A164" s="12" t="s">
        <v>422</v>
      </c>
      <c r="B164" s="8">
        <f t="shared" si="2"/>
        <v>2.25</v>
      </c>
      <c r="C164" s="8"/>
      <c r="D164" s="8"/>
      <c r="E164" s="8"/>
      <c r="F164" s="8"/>
      <c r="G164" s="8"/>
      <c r="H164" s="8"/>
      <c r="I164" s="20">
        <v>2.25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</row>
    <row r="165" ht="15.75" customHeight="1">
      <c r="A165" s="12" t="s">
        <v>428</v>
      </c>
      <c r="B165" s="8">
        <f t="shared" si="2"/>
        <v>4.75</v>
      </c>
      <c r="C165" s="8"/>
      <c r="D165" s="8"/>
      <c r="E165" s="8"/>
      <c r="F165" s="8"/>
      <c r="G165" s="8"/>
      <c r="H165" s="8"/>
      <c r="I165" s="8"/>
      <c r="J165" s="20">
        <v>2.75</v>
      </c>
      <c r="K165" s="8"/>
      <c r="L165" s="20">
        <v>2.0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</row>
    <row r="166" ht="15.75" customHeight="1">
      <c r="A166" s="12" t="s">
        <v>458</v>
      </c>
      <c r="B166" s="8">
        <f t="shared" si="2"/>
        <v>2.75</v>
      </c>
      <c r="C166" s="8"/>
      <c r="D166" s="8"/>
      <c r="E166" s="8"/>
      <c r="F166" s="8"/>
      <c r="G166" s="8"/>
      <c r="H166" s="8"/>
      <c r="I166" s="8"/>
      <c r="J166" s="20">
        <v>2.75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</row>
    <row r="167" ht="15.75" customHeight="1">
      <c r="A167" s="12" t="s">
        <v>135</v>
      </c>
      <c r="B167" s="8">
        <f t="shared" si="2"/>
        <v>1.5</v>
      </c>
      <c r="C167" s="8"/>
      <c r="D167" s="8"/>
      <c r="E167" s="8"/>
      <c r="F167" s="8"/>
      <c r="G167" s="8"/>
      <c r="H167" s="8"/>
      <c r="I167" s="8"/>
      <c r="J167" s="20">
        <v>1.5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</row>
    <row r="168" ht="15.75" customHeight="1">
      <c r="A168" s="12" t="s">
        <v>459</v>
      </c>
      <c r="B168" s="8">
        <f t="shared" si="2"/>
        <v>2</v>
      </c>
      <c r="C168" s="8"/>
      <c r="D168" s="8"/>
      <c r="E168" s="8"/>
      <c r="F168" s="8"/>
      <c r="G168" s="8"/>
      <c r="H168" s="8"/>
      <c r="I168" s="8"/>
      <c r="J168" s="8"/>
      <c r="K168" s="8"/>
      <c r="L168" s="20">
        <v>2.0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</row>
    <row r="169" ht="15.75" customHeight="1">
      <c r="A169" s="12" t="s">
        <v>460</v>
      </c>
      <c r="B169" s="8">
        <f t="shared" si="2"/>
        <v>2</v>
      </c>
      <c r="C169" s="8"/>
      <c r="D169" s="8"/>
      <c r="E169" s="8"/>
      <c r="F169" s="8"/>
      <c r="G169" s="8"/>
      <c r="H169" s="8"/>
      <c r="I169" s="8"/>
      <c r="J169" s="8"/>
      <c r="K169" s="8"/>
      <c r="L169" s="20">
        <v>2.0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</row>
    <row r="170" ht="15.75" customHeight="1">
      <c r="A170" s="12" t="s">
        <v>461</v>
      </c>
      <c r="B170" s="8">
        <f t="shared" si="2"/>
        <v>2</v>
      </c>
      <c r="C170" s="8"/>
      <c r="D170" s="8"/>
      <c r="E170" s="8"/>
      <c r="F170" s="8"/>
      <c r="G170" s="8"/>
      <c r="H170" s="8"/>
      <c r="I170" s="8"/>
      <c r="J170" s="8"/>
      <c r="K170" s="8"/>
      <c r="L170" s="20">
        <v>2.0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</row>
    <row r="171" ht="15.75" customHeight="1">
      <c r="A171" s="12" t="s">
        <v>431</v>
      </c>
      <c r="B171" s="8">
        <f t="shared" si="2"/>
        <v>5</v>
      </c>
      <c r="C171" s="8"/>
      <c r="D171" s="8"/>
      <c r="E171" s="8"/>
      <c r="F171" s="8"/>
      <c r="G171" s="8"/>
      <c r="H171" s="8"/>
      <c r="I171" s="8"/>
      <c r="J171" s="8"/>
      <c r="K171" s="8"/>
      <c r="L171" s="20">
        <v>2.0</v>
      </c>
      <c r="M171" s="20">
        <v>3.0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</row>
    <row r="172" ht="15.75" customHeight="1">
      <c r="A172" s="12" t="s">
        <v>462</v>
      </c>
      <c r="B172" s="8">
        <f t="shared" si="2"/>
        <v>4.5</v>
      </c>
      <c r="C172" s="8"/>
      <c r="D172" s="8"/>
      <c r="E172" s="8"/>
      <c r="F172" s="8"/>
      <c r="G172" s="8"/>
      <c r="H172" s="8"/>
      <c r="I172" s="8"/>
      <c r="J172" s="8"/>
      <c r="K172" s="8"/>
      <c r="L172" s="20">
        <v>2.0</v>
      </c>
      <c r="M172" s="8"/>
      <c r="N172" s="20">
        <v>2.5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</row>
    <row r="173" ht="15.75" customHeight="1">
      <c r="A173" s="12" t="s">
        <v>463</v>
      </c>
      <c r="B173" s="8">
        <f t="shared" si="2"/>
        <v>5.75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20">
        <v>3.25</v>
      </c>
      <c r="N173" s="8"/>
      <c r="O173" s="20">
        <v>2.5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</row>
    <row r="174" ht="15.75" customHeight="1">
      <c r="A174" s="12" t="s">
        <v>464</v>
      </c>
      <c r="B174" s="8">
        <f t="shared" si="2"/>
        <v>2.5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20">
        <v>2.5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</row>
    <row r="175" ht="15.75" customHeight="1">
      <c r="A175" s="12" t="s">
        <v>465</v>
      </c>
      <c r="B175" s="8">
        <f t="shared" si="2"/>
        <v>2.5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20">
        <v>2.5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</row>
    <row r="176" ht="15.75" customHeight="1">
      <c r="A176" s="12" t="s">
        <v>466</v>
      </c>
      <c r="B176" s="8">
        <f t="shared" si="2"/>
        <v>2.5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20">
        <v>2.5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</row>
    <row r="177" ht="15.75" customHeight="1">
      <c r="A177" s="12" t="s">
        <v>467</v>
      </c>
      <c r="B177" s="8">
        <f t="shared" si="2"/>
        <v>1.25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20">
        <v>1.25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</row>
    <row r="178" ht="15.75" customHeight="1">
      <c r="A178" s="12" t="s">
        <v>468</v>
      </c>
      <c r="B178" s="8">
        <f t="shared" si="2"/>
        <v>2.5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20">
        <v>2.5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</row>
    <row r="179" ht="15.75" customHeight="1">
      <c r="A179" s="12" t="s">
        <v>469</v>
      </c>
      <c r="B179" s="8">
        <f t="shared" si="2"/>
        <v>2.5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20">
        <v>2.5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</row>
    <row r="180" ht="15.75" customHeight="1">
      <c r="A180" s="11"/>
      <c r="B180" s="8">
        <f t="shared" si="2"/>
        <v>0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</row>
    <row r="181" ht="15.75" customHeight="1">
      <c r="A181" s="11"/>
      <c r="B181" s="8">
        <f t="shared" si="2"/>
        <v>0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</row>
    <row r="182" ht="15.75" customHeight="1">
      <c r="A182" s="11"/>
      <c r="B182" s="8">
        <f t="shared" si="2"/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</row>
    <row r="183" ht="15.75" customHeight="1">
      <c r="A183" s="11"/>
      <c r="B183" s="8">
        <f t="shared" si="2"/>
        <v>0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</row>
    <row r="184" ht="15.75" customHeight="1">
      <c r="A184" s="11"/>
      <c r="B184" s="8">
        <f t="shared" si="2"/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</row>
    <row r="185" ht="15.75" customHeight="1">
      <c r="A185" s="11"/>
      <c r="B185" s="8">
        <f t="shared" si="2"/>
        <v>0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</row>
    <row r="186" ht="15.75" customHeight="1">
      <c r="A186" s="11"/>
      <c r="B186" s="8">
        <f t="shared" si="2"/>
        <v>0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</row>
    <row r="187" ht="15.75" customHeight="1">
      <c r="A187" s="11"/>
      <c r="B187" s="8">
        <f t="shared" si="2"/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</row>
    <row r="188" ht="15.75" customHeight="1">
      <c r="A188" s="11"/>
      <c r="B188" s="8">
        <f t="shared" si="2"/>
        <v>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</row>
    <row r="189" ht="15.75" customHeight="1">
      <c r="A189" s="11"/>
      <c r="B189" s="8">
        <f t="shared" si="2"/>
        <v>0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</row>
    <row r="190" ht="15.75" customHeight="1">
      <c r="A190" s="11"/>
      <c r="B190" s="8">
        <f t="shared" si="2"/>
        <v>0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</row>
    <row r="191" ht="15.75" customHeight="1">
      <c r="A191" s="11"/>
      <c r="B191" s="8">
        <f t="shared" si="2"/>
        <v>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</row>
    <row r="192" ht="15.75" customHeight="1">
      <c r="A192" s="11"/>
      <c r="B192" s="8">
        <f t="shared" si="2"/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</row>
    <row r="193" ht="15.75" customHeight="1">
      <c r="A193" s="11"/>
      <c r="B193" s="8">
        <f t="shared" si="2"/>
        <v>0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</row>
    <row r="194" ht="15.75" customHeight="1">
      <c r="A194" s="11"/>
      <c r="B194" s="8">
        <f t="shared" si="2"/>
        <v>0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</row>
    <row r="195" ht="15.75" customHeight="1">
      <c r="A195" s="11"/>
      <c r="B195" s="8">
        <f t="shared" si="2"/>
        <v>0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</row>
    <row r="196" ht="15.75" customHeight="1">
      <c r="A196" s="11"/>
      <c r="B196" s="8">
        <f t="shared" si="2"/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</row>
    <row r="197" ht="15.75" customHeight="1">
      <c r="A197" s="11"/>
      <c r="B197" s="8">
        <f t="shared" si="2"/>
        <v>0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</row>
    <row r="198" ht="15.75" customHeight="1">
      <c r="A198" s="11"/>
      <c r="B198" s="8">
        <f t="shared" si="2"/>
        <v>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</row>
    <row r="199" ht="15.75" customHeight="1">
      <c r="A199" s="11"/>
      <c r="B199" s="8">
        <f t="shared" si="2"/>
        <v>0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</row>
    <row r="200" ht="15.75" customHeight="1">
      <c r="A200" s="11"/>
      <c r="B200" s="8">
        <f t="shared" si="2"/>
        <v>0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</row>
    <row r="201" ht="15.75" customHeight="1">
      <c r="A201" s="11"/>
      <c r="B201" s="8">
        <f t="shared" si="2"/>
        <v>0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</row>
    <row r="202" ht="15.75" customHeight="1">
      <c r="A202" s="11"/>
      <c r="B202" s="8">
        <f t="shared" si="2"/>
        <v>0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</row>
    <row r="203" ht="15.75" customHeight="1">
      <c r="A203" s="11"/>
      <c r="B203" s="8">
        <f t="shared" si="2"/>
        <v>0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</row>
    <row r="204" ht="15.75" customHeight="1">
      <c r="A204" s="11"/>
      <c r="B204" s="8">
        <f t="shared" si="2"/>
        <v>0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</row>
    <row r="205" ht="15.75" customHeight="1">
      <c r="A205" s="11"/>
      <c r="B205" s="8">
        <f t="shared" si="2"/>
        <v>0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</row>
    <row r="206" ht="15.75" customHeight="1">
      <c r="A206" s="11"/>
      <c r="B206" s="8">
        <f t="shared" si="2"/>
        <v>0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</row>
    <row r="207" ht="15.75" customHeight="1">
      <c r="A207" s="11"/>
      <c r="B207" s="8">
        <f t="shared" si="2"/>
        <v>0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</row>
    <row r="208" ht="15.75" customHeight="1">
      <c r="A208" s="11"/>
      <c r="B208" s="8">
        <f t="shared" si="2"/>
        <v>0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</row>
    <row r="209" ht="15.75" customHeight="1">
      <c r="A209" s="11"/>
      <c r="B209" s="8">
        <f t="shared" si="2"/>
        <v>0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</row>
    <row r="210" ht="15.75" customHeight="1">
      <c r="A210" s="11"/>
      <c r="B210" s="8">
        <f t="shared" si="2"/>
        <v>0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</row>
    <row r="211" ht="15.75" customHeight="1">
      <c r="A211" s="11"/>
      <c r="B211" s="8">
        <f t="shared" si="2"/>
        <v>0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</row>
    <row r="212" ht="15.75" customHeight="1">
      <c r="A212" s="11"/>
      <c r="B212" s="8">
        <f t="shared" si="2"/>
        <v>0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</row>
    <row r="213" ht="15.75" customHeight="1">
      <c r="A213" s="11"/>
      <c r="B213" s="8">
        <f t="shared" si="2"/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</row>
    <row r="214" ht="15.75" customHeight="1">
      <c r="A214" s="11"/>
      <c r="B214" s="8">
        <f t="shared" si="2"/>
        <v>0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</row>
    <row r="215" ht="15.75" customHeight="1">
      <c r="A215" s="11"/>
      <c r="B215" s="8">
        <f t="shared" si="2"/>
        <v>0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</row>
    <row r="216" ht="15.75" customHeight="1">
      <c r="A216" s="11"/>
      <c r="B216" s="8">
        <f t="shared" si="2"/>
        <v>0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</row>
    <row r="217" ht="15.75" customHeight="1">
      <c r="A217" s="11"/>
      <c r="B217" s="8">
        <f t="shared" si="2"/>
        <v>0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</row>
    <row r="218" ht="15.75" customHeight="1">
      <c r="A218" s="11"/>
      <c r="B218" s="8">
        <f t="shared" si="2"/>
        <v>0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</row>
    <row r="219" ht="15.75" customHeight="1">
      <c r="A219" s="11"/>
      <c r="B219" s="8">
        <f t="shared" si="2"/>
        <v>0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</row>
    <row r="220" ht="15.75" customHeight="1">
      <c r="A220" s="11"/>
      <c r="B220" s="8">
        <f t="shared" si="2"/>
        <v>0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</row>
    <row r="221" ht="15.75" customHeight="1">
      <c r="A221" s="11"/>
      <c r="B221" s="8">
        <f t="shared" si="2"/>
        <v>0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</row>
    <row r="222" ht="15.75" customHeight="1">
      <c r="A222" s="11"/>
      <c r="B222" s="8">
        <f t="shared" si="2"/>
        <v>0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</row>
    <row r="223" ht="15.75" customHeight="1">
      <c r="A223" s="11"/>
      <c r="B223" s="8">
        <f t="shared" si="2"/>
        <v>0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</row>
    <row r="224" ht="15.75" customHeight="1">
      <c r="A224" s="11"/>
      <c r="B224" s="8">
        <f t="shared" si="2"/>
        <v>0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</row>
    <row r="225" ht="15.75" customHeight="1">
      <c r="A225" s="11"/>
      <c r="B225" s="8">
        <f t="shared" si="2"/>
        <v>0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</row>
    <row r="226" ht="15.75" customHeight="1">
      <c r="A226" s="11"/>
      <c r="B226" s="8">
        <f t="shared" si="2"/>
        <v>0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</row>
    <row r="227" ht="15.75" customHeight="1">
      <c r="A227" s="11"/>
      <c r="B227" s="8">
        <f t="shared" si="2"/>
        <v>0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</row>
    <row r="228" ht="15.75" customHeight="1">
      <c r="A228" s="11"/>
      <c r="B228" s="8">
        <f t="shared" si="2"/>
        <v>0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</row>
    <row r="229" ht="15.75" customHeight="1">
      <c r="A229" s="11"/>
      <c r="B229" s="8">
        <f t="shared" si="2"/>
        <v>0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</row>
    <row r="230" ht="15.75" customHeight="1">
      <c r="A230" s="11"/>
      <c r="B230" s="8">
        <f t="shared" si="2"/>
        <v>0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</row>
    <row r="231" ht="15.75" customHeight="1">
      <c r="A231" s="11"/>
      <c r="B231" s="8">
        <f t="shared" si="2"/>
        <v>0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</row>
    <row r="232" ht="15.75" customHeight="1">
      <c r="A232" s="11"/>
      <c r="B232" s="8">
        <f t="shared" si="2"/>
        <v>0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</row>
    <row r="233" ht="15.75" customHeight="1">
      <c r="A233" s="11"/>
      <c r="B233" s="8">
        <f t="shared" si="2"/>
        <v>0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</row>
    <row r="234" ht="15.75" customHeight="1">
      <c r="A234" s="11"/>
      <c r="B234" s="8">
        <f t="shared" si="2"/>
        <v>0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</row>
    <row r="235" ht="15.75" customHeight="1">
      <c r="A235" s="11"/>
      <c r="B235" s="8">
        <f t="shared" si="2"/>
        <v>0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</row>
    <row r="236" ht="15.75" customHeight="1">
      <c r="A236" s="11"/>
      <c r="B236" s="8">
        <f t="shared" si="2"/>
        <v>0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</row>
    <row r="237" ht="15.75" customHeight="1">
      <c r="A237" s="11"/>
      <c r="B237" s="8">
        <f t="shared" si="2"/>
        <v>0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</row>
    <row r="238" ht="15.75" customHeight="1">
      <c r="A238" s="11"/>
      <c r="B238" s="8">
        <f t="shared" si="2"/>
        <v>0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</row>
    <row r="239" ht="15.75" customHeight="1">
      <c r="A239" s="11"/>
      <c r="B239" s="8">
        <f t="shared" si="2"/>
        <v>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</row>
    <row r="240" ht="15.75" customHeight="1">
      <c r="A240" s="11"/>
      <c r="B240" s="8">
        <f t="shared" si="2"/>
        <v>0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</row>
    <row r="241" ht="15.75" customHeight="1">
      <c r="A241" s="11"/>
      <c r="B241" s="8">
        <f t="shared" si="2"/>
        <v>0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</row>
    <row r="242" ht="15.75" customHeight="1">
      <c r="A242" s="11"/>
      <c r="B242" s="8">
        <f t="shared" si="2"/>
        <v>0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</row>
    <row r="243" ht="15.75" customHeight="1">
      <c r="A243" s="11"/>
      <c r="B243" s="8">
        <f t="shared" si="2"/>
        <v>0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</row>
    <row r="244" ht="15.75" customHeight="1">
      <c r="A244" s="11"/>
      <c r="B244" s="8">
        <f t="shared" si="2"/>
        <v>0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</row>
    <row r="245" ht="15.75" customHeight="1">
      <c r="A245" s="11"/>
      <c r="B245" s="8">
        <f t="shared" si="2"/>
        <v>0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</row>
    <row r="246" ht="15.75" customHeight="1">
      <c r="A246" s="11"/>
      <c r="B246" s="8">
        <f t="shared" si="2"/>
        <v>0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</row>
    <row r="247" ht="15.75" customHeight="1">
      <c r="A247" s="11"/>
      <c r="B247" s="8">
        <f t="shared" si="2"/>
        <v>0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</row>
    <row r="248" ht="15.75" customHeight="1">
      <c r="A248" s="11"/>
      <c r="B248" s="8">
        <f t="shared" si="2"/>
        <v>0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</row>
    <row r="249" ht="15.75" customHeight="1">
      <c r="A249" s="11"/>
      <c r="B249" s="8">
        <f t="shared" si="2"/>
        <v>0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</row>
    <row r="250" ht="15.75" customHeight="1">
      <c r="A250" s="11"/>
      <c r="B250" s="8">
        <f t="shared" si="2"/>
        <v>0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</row>
    <row r="251" ht="15.75" customHeight="1">
      <c r="A251" s="11"/>
      <c r="B251" s="8">
        <f t="shared" si="2"/>
        <v>0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9.0"/>
    <col customWidth="1" min="2" max="2" width="18.63"/>
    <col customWidth="1" min="3" max="3" width="14.75"/>
    <col customWidth="1" min="4" max="4" width="9.38"/>
    <col customWidth="1" min="5" max="7" width="10.25"/>
    <col customWidth="1" min="8" max="42" width="8.63"/>
    <col customWidth="1" min="43" max="45" width="10.25"/>
    <col customWidth="1" min="46" max="47" width="8.63"/>
    <col customWidth="1" min="48" max="50" width="10.38"/>
    <col customWidth="1" min="51" max="51" width="8.63"/>
    <col customWidth="1" min="52" max="54" width="10.38"/>
  </cols>
  <sheetData>
    <row r="1">
      <c r="A1" s="31" t="s">
        <v>0</v>
      </c>
      <c r="B1" s="32" t="s">
        <v>1</v>
      </c>
      <c r="C1" s="5">
        <v>46025.0</v>
      </c>
      <c r="D1" s="5">
        <v>46032.0</v>
      </c>
      <c r="E1" s="5">
        <v>46039.0</v>
      </c>
      <c r="F1" s="5">
        <v>46046.0</v>
      </c>
      <c r="G1" s="5">
        <v>46053.0</v>
      </c>
      <c r="H1" s="5">
        <v>46060.0</v>
      </c>
      <c r="I1" s="5">
        <v>46067.0</v>
      </c>
      <c r="J1" s="5">
        <v>46074.0</v>
      </c>
      <c r="K1" s="5">
        <v>46081.0</v>
      </c>
      <c r="L1" s="5">
        <v>46088.0</v>
      </c>
      <c r="M1" s="5">
        <v>46095.0</v>
      </c>
      <c r="N1" s="5">
        <v>46102.0</v>
      </c>
      <c r="O1" s="5">
        <v>46109.0</v>
      </c>
      <c r="P1" s="5">
        <v>46116.0</v>
      </c>
      <c r="Q1" s="5">
        <v>46123.0</v>
      </c>
      <c r="R1" s="5">
        <v>46130.0</v>
      </c>
      <c r="S1" s="5">
        <v>46137.0</v>
      </c>
      <c r="T1" s="5">
        <v>46144.0</v>
      </c>
      <c r="U1" s="5">
        <v>46151.0</v>
      </c>
      <c r="V1" s="5">
        <v>46158.0</v>
      </c>
      <c r="W1" s="5">
        <v>46165.0</v>
      </c>
      <c r="X1" s="5">
        <v>46172.0</v>
      </c>
      <c r="Y1" s="5">
        <v>46179.0</v>
      </c>
      <c r="Z1" s="5">
        <v>46186.0</v>
      </c>
      <c r="AA1" s="5">
        <v>46193.0</v>
      </c>
      <c r="AB1" s="5">
        <v>46200.0</v>
      </c>
      <c r="AC1" s="5">
        <v>46207.0</v>
      </c>
      <c r="AD1" s="5">
        <v>46214.0</v>
      </c>
      <c r="AE1" s="5">
        <v>46221.0</v>
      </c>
      <c r="AF1" s="5">
        <v>46228.0</v>
      </c>
      <c r="AG1" s="5">
        <v>46235.0</v>
      </c>
      <c r="AH1" s="5">
        <v>46242.0</v>
      </c>
      <c r="AI1" s="5">
        <v>46249.0</v>
      </c>
      <c r="AJ1" s="5">
        <v>46256.0</v>
      </c>
      <c r="AK1" s="5">
        <v>46263.0</v>
      </c>
      <c r="AL1" s="5">
        <v>46270.0</v>
      </c>
      <c r="AM1" s="5">
        <v>46277.0</v>
      </c>
      <c r="AN1" s="5">
        <v>46284.0</v>
      </c>
      <c r="AO1" s="5">
        <v>46291.0</v>
      </c>
      <c r="AP1" s="5">
        <v>46298.0</v>
      </c>
      <c r="AQ1" s="5">
        <v>46305.0</v>
      </c>
      <c r="AR1" s="5">
        <v>46312.0</v>
      </c>
      <c r="AS1" s="5">
        <v>46319.0</v>
      </c>
      <c r="AT1" s="5">
        <v>46326.0</v>
      </c>
      <c r="AU1" s="5">
        <v>46333.0</v>
      </c>
      <c r="AV1" s="5">
        <v>46340.0</v>
      </c>
      <c r="AW1" s="5">
        <v>46347.0</v>
      </c>
      <c r="AX1" s="5">
        <v>46354.0</v>
      </c>
      <c r="AY1" s="5">
        <v>46361.0</v>
      </c>
      <c r="AZ1" s="5">
        <v>46368.0</v>
      </c>
      <c r="BA1" s="5">
        <v>46375.0</v>
      </c>
      <c r="BB1" s="5">
        <v>46382.0</v>
      </c>
    </row>
    <row r="2">
      <c r="A2" s="33">
        <v>5.0</v>
      </c>
      <c r="B2" s="34">
        <f>SUM(B3:B335)</f>
        <v>345.25</v>
      </c>
      <c r="C2" s="20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10"/>
      <c r="AT2" s="8"/>
      <c r="AU2" s="8"/>
      <c r="AV2" s="10"/>
      <c r="AW2" s="8"/>
      <c r="AX2" s="8"/>
      <c r="AY2" s="10"/>
      <c r="AZ2" s="8"/>
      <c r="BA2" s="8"/>
      <c r="BB2" s="10"/>
    </row>
    <row r="3">
      <c r="A3" s="35" t="s">
        <v>3</v>
      </c>
      <c r="B3" s="36">
        <f t="shared" ref="B3:B244" si="1">SUM(C3:CA3)</f>
        <v>0</v>
      </c>
      <c r="C3" s="20" t="s">
        <v>470</v>
      </c>
      <c r="D3" s="20" t="s">
        <v>471</v>
      </c>
      <c r="E3" s="21" t="s">
        <v>312</v>
      </c>
      <c r="F3" s="21" t="s">
        <v>472</v>
      </c>
      <c r="G3" s="8"/>
      <c r="H3" s="20" t="s">
        <v>473</v>
      </c>
      <c r="I3" s="20" t="s">
        <v>471</v>
      </c>
      <c r="J3" s="20" t="s">
        <v>474</v>
      </c>
      <c r="K3" s="21" t="s">
        <v>310</v>
      </c>
      <c r="L3" s="8"/>
      <c r="M3" s="20" t="s">
        <v>472</v>
      </c>
      <c r="N3" s="20" t="s">
        <v>475</v>
      </c>
      <c r="O3" s="20" t="s">
        <v>470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20"/>
      <c r="AR3" s="20"/>
      <c r="AS3" s="37"/>
      <c r="AT3" s="20"/>
      <c r="AU3" s="20"/>
      <c r="AV3" s="38"/>
      <c r="AW3" s="20"/>
      <c r="AX3" s="20"/>
      <c r="AY3" s="37"/>
      <c r="AZ3" s="20"/>
      <c r="BA3" s="20"/>
      <c r="BB3" s="37"/>
    </row>
    <row r="4">
      <c r="A4" s="35" t="s">
        <v>6</v>
      </c>
      <c r="B4" s="36">
        <f t="shared" si="1"/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10"/>
      <c r="AT4" s="8"/>
      <c r="AU4" s="8"/>
      <c r="AV4" s="38"/>
      <c r="AW4" s="8"/>
      <c r="AX4" s="8"/>
      <c r="AY4" s="10"/>
      <c r="AZ4" s="8"/>
      <c r="BA4" s="8"/>
      <c r="BB4" s="10"/>
    </row>
    <row r="5">
      <c r="A5" s="35" t="s">
        <v>7</v>
      </c>
      <c r="B5" s="36">
        <f t="shared" si="1"/>
        <v>4</v>
      </c>
      <c r="C5" s="8"/>
      <c r="D5" s="8"/>
      <c r="E5" s="8"/>
      <c r="F5" s="8"/>
      <c r="G5" s="20">
        <v>3.5</v>
      </c>
      <c r="H5" s="8"/>
      <c r="I5" s="20">
        <v>0.5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20"/>
      <c r="AR5" s="20"/>
      <c r="AS5" s="37"/>
      <c r="AT5" s="8"/>
      <c r="AU5" s="8"/>
      <c r="AV5" s="38"/>
      <c r="AW5" s="20"/>
      <c r="AX5" s="8"/>
      <c r="AY5" s="10"/>
      <c r="AZ5" s="8"/>
      <c r="BA5" s="20"/>
      <c r="BB5" s="37"/>
    </row>
    <row r="6">
      <c r="A6" s="35" t="s">
        <v>55</v>
      </c>
      <c r="B6" s="36">
        <f t="shared" si="1"/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20"/>
      <c r="AS6" s="10"/>
      <c r="AT6" s="8"/>
      <c r="AU6" s="8"/>
      <c r="AV6" s="10"/>
      <c r="AW6" s="8"/>
      <c r="AX6" s="8"/>
      <c r="AY6" s="10"/>
      <c r="AZ6" s="8"/>
      <c r="BA6" s="8"/>
      <c r="BB6" s="10"/>
    </row>
    <row r="7">
      <c r="A7" s="35" t="s">
        <v>17</v>
      </c>
      <c r="B7" s="36">
        <f t="shared" si="1"/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20"/>
      <c r="AS7" s="10"/>
      <c r="AT7" s="8"/>
      <c r="AU7" s="8"/>
      <c r="AV7" s="10"/>
      <c r="AW7" s="8"/>
      <c r="AX7" s="8"/>
      <c r="AY7" s="10"/>
      <c r="AZ7" s="8"/>
      <c r="BA7" s="8"/>
      <c r="BB7" s="10"/>
    </row>
    <row r="8">
      <c r="A8" s="35" t="s">
        <v>52</v>
      </c>
      <c r="B8" s="36">
        <f t="shared" si="1"/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10"/>
      <c r="AT8" s="8"/>
      <c r="AU8" s="8"/>
      <c r="AV8" s="10"/>
      <c r="AW8" s="8"/>
      <c r="AX8" s="8"/>
      <c r="AY8" s="10"/>
      <c r="AZ8" s="8"/>
      <c r="BA8" s="8"/>
      <c r="BB8" s="10"/>
    </row>
    <row r="9">
      <c r="A9" s="35" t="s">
        <v>46</v>
      </c>
      <c r="B9" s="36">
        <f t="shared" si="1"/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10"/>
      <c r="AT9" s="8"/>
      <c r="AU9" s="8"/>
      <c r="AV9" s="10"/>
      <c r="AW9" s="20"/>
      <c r="AX9" s="8"/>
      <c r="AY9" s="10"/>
      <c r="AZ9" s="8"/>
      <c r="BA9" s="8"/>
      <c r="BB9" s="10"/>
    </row>
    <row r="10">
      <c r="A10" s="35" t="s">
        <v>74</v>
      </c>
      <c r="B10" s="36">
        <f t="shared" si="1"/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10"/>
      <c r="AT10" s="8"/>
      <c r="AU10" s="8"/>
      <c r="AV10" s="10"/>
      <c r="AW10" s="8"/>
      <c r="AX10" s="8"/>
      <c r="AY10" s="10"/>
      <c r="AZ10" s="8"/>
      <c r="BA10" s="8"/>
      <c r="BB10" s="10"/>
    </row>
    <row r="11">
      <c r="A11" s="35" t="s">
        <v>313</v>
      </c>
      <c r="B11" s="36">
        <f t="shared" si="1"/>
        <v>4.5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20">
        <v>2.25</v>
      </c>
      <c r="N11" s="20">
        <v>2.25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10"/>
      <c r="AT11" s="8"/>
      <c r="AU11" s="8"/>
      <c r="AV11" s="10"/>
      <c r="AW11" s="20"/>
      <c r="AX11" s="8"/>
      <c r="AY11" s="10"/>
      <c r="AZ11" s="8"/>
      <c r="BA11" s="8"/>
      <c r="BB11" s="10"/>
    </row>
    <row r="12">
      <c r="A12" s="35" t="s">
        <v>314</v>
      </c>
      <c r="B12" s="36">
        <f t="shared" si="1"/>
        <v>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10"/>
      <c r="AT12" s="8"/>
      <c r="AU12" s="8"/>
      <c r="AV12" s="10"/>
      <c r="AW12" s="8"/>
      <c r="AX12" s="8"/>
      <c r="AY12" s="10"/>
      <c r="AZ12" s="8"/>
      <c r="BA12" s="8"/>
      <c r="BB12" s="10"/>
    </row>
    <row r="13">
      <c r="A13" s="35" t="s">
        <v>315</v>
      </c>
      <c r="B13" s="36">
        <f t="shared" si="1"/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10"/>
      <c r="AT13" s="8"/>
      <c r="AU13" s="8"/>
      <c r="AV13" s="10"/>
      <c r="AW13" s="8"/>
      <c r="AX13" s="8"/>
      <c r="AY13" s="10"/>
      <c r="AZ13" s="8"/>
      <c r="BA13" s="8"/>
      <c r="BB13" s="10"/>
    </row>
    <row r="14">
      <c r="A14" s="35" t="s">
        <v>54</v>
      </c>
      <c r="B14" s="36">
        <f t="shared" si="1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10"/>
      <c r="AT14" s="8"/>
      <c r="AU14" s="8"/>
      <c r="AV14" s="10"/>
      <c r="AW14" s="8"/>
      <c r="AX14" s="8"/>
      <c r="AY14" s="10"/>
      <c r="AZ14" s="8"/>
      <c r="BA14" s="8"/>
      <c r="BB14" s="10"/>
    </row>
    <row r="15">
      <c r="A15" s="35" t="s">
        <v>79</v>
      </c>
      <c r="B15" s="36">
        <f t="shared" si="1"/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10"/>
      <c r="AT15" s="8"/>
      <c r="AU15" s="8"/>
      <c r="AV15" s="10"/>
      <c r="AW15" s="8"/>
      <c r="AX15" s="8"/>
      <c r="AY15" s="10"/>
      <c r="AZ15" s="8"/>
      <c r="BA15" s="8"/>
      <c r="BB15" s="10"/>
    </row>
    <row r="16">
      <c r="A16" s="35" t="s">
        <v>69</v>
      </c>
      <c r="B16" s="36">
        <f t="shared" si="1"/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10"/>
      <c r="AT16" s="8"/>
      <c r="AU16" s="8"/>
      <c r="AV16" s="10"/>
      <c r="AW16" s="8"/>
      <c r="AX16" s="8"/>
      <c r="AY16" s="10"/>
      <c r="AZ16" s="8"/>
      <c r="BA16" s="8"/>
      <c r="BB16" s="10"/>
    </row>
    <row r="17">
      <c r="A17" s="35" t="s">
        <v>237</v>
      </c>
      <c r="B17" s="36">
        <f t="shared" si="1"/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10"/>
      <c r="AT17" s="8"/>
      <c r="AU17" s="8"/>
      <c r="AV17" s="10"/>
      <c r="AW17" s="8"/>
      <c r="AX17" s="8"/>
      <c r="AY17" s="10"/>
      <c r="AZ17" s="8"/>
      <c r="BA17" s="8"/>
      <c r="BB17" s="10"/>
    </row>
    <row r="18">
      <c r="A18" s="35" t="s">
        <v>10</v>
      </c>
      <c r="B18" s="36">
        <f t="shared" si="1"/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37"/>
      <c r="AT18" s="8"/>
      <c r="AU18" s="8"/>
      <c r="AV18" s="10"/>
      <c r="AW18" s="8"/>
      <c r="AX18" s="8"/>
      <c r="AY18" s="10"/>
      <c r="AZ18" s="8"/>
      <c r="BA18" s="8"/>
      <c r="BB18" s="37"/>
    </row>
    <row r="19">
      <c r="A19" s="35" t="s">
        <v>9</v>
      </c>
      <c r="B19" s="36">
        <f t="shared" si="1"/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0"/>
      <c r="AT19" s="8"/>
      <c r="AU19" s="8"/>
      <c r="AV19" s="10"/>
      <c r="AW19" s="8"/>
      <c r="AX19" s="8"/>
      <c r="AY19" s="10"/>
      <c r="AZ19" s="8"/>
      <c r="BA19" s="8"/>
      <c r="BB19" s="10"/>
    </row>
    <row r="20">
      <c r="A20" s="35" t="s">
        <v>117</v>
      </c>
      <c r="B20" s="36">
        <f t="shared" si="1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10"/>
      <c r="AT20" s="8"/>
      <c r="AU20" s="8"/>
      <c r="AV20" s="10"/>
      <c r="AW20" s="8"/>
      <c r="AX20" s="8"/>
      <c r="AY20" s="10"/>
      <c r="AZ20" s="8"/>
      <c r="BA20" s="8"/>
      <c r="BB20" s="10"/>
    </row>
    <row r="21" ht="15.75" customHeight="1">
      <c r="A21" s="35" t="s">
        <v>48</v>
      </c>
      <c r="B21" s="36">
        <f t="shared" si="1"/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10"/>
      <c r="AT21" s="8"/>
      <c r="AU21" s="8"/>
      <c r="AV21" s="10"/>
      <c r="AW21" s="8"/>
      <c r="AX21" s="8"/>
      <c r="AY21" s="10"/>
      <c r="AZ21" s="8"/>
      <c r="BA21" s="8"/>
      <c r="BB21" s="10"/>
    </row>
    <row r="22" ht="15.75" customHeight="1">
      <c r="A22" s="35" t="s">
        <v>18</v>
      </c>
      <c r="B22" s="36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10"/>
      <c r="AT22" s="8"/>
      <c r="AU22" s="8"/>
      <c r="AV22" s="10"/>
      <c r="AW22" s="8"/>
      <c r="AX22" s="8"/>
      <c r="AY22" s="10"/>
      <c r="AZ22" s="8"/>
      <c r="BA22" s="8"/>
      <c r="BB22" s="10"/>
    </row>
    <row r="23" ht="15.75" customHeight="1">
      <c r="A23" s="35" t="s">
        <v>113</v>
      </c>
      <c r="B23" s="36">
        <f t="shared" si="1"/>
        <v>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10"/>
      <c r="AT23" s="8"/>
      <c r="AU23" s="8"/>
      <c r="AV23" s="10"/>
      <c r="AW23" s="8"/>
      <c r="AX23" s="8"/>
      <c r="AY23" s="10"/>
      <c r="AZ23" s="8"/>
      <c r="BA23" s="8"/>
      <c r="BB23" s="37"/>
    </row>
    <row r="24" ht="15.75" customHeight="1">
      <c r="A24" s="35" t="s">
        <v>98</v>
      </c>
      <c r="B24" s="36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10"/>
      <c r="AT24" s="8"/>
      <c r="AU24" s="20"/>
      <c r="AV24" s="10"/>
      <c r="AW24" s="20"/>
      <c r="AX24" s="8"/>
      <c r="AY24" s="10"/>
      <c r="AZ24" s="8"/>
      <c r="BA24" s="8"/>
      <c r="BB24" s="10"/>
    </row>
    <row r="25" ht="15.75" customHeight="1">
      <c r="A25" s="35" t="s">
        <v>257</v>
      </c>
      <c r="B25" s="36">
        <f t="shared" si="1"/>
        <v>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10"/>
      <c r="AT25" s="8"/>
      <c r="AU25" s="20"/>
      <c r="AV25" s="10"/>
      <c r="AW25" s="8"/>
      <c r="AX25" s="8"/>
      <c r="AY25" s="10"/>
      <c r="AZ25" s="8"/>
      <c r="BA25" s="8"/>
      <c r="BB25" s="10"/>
    </row>
    <row r="26" ht="15.75" customHeight="1">
      <c r="A26" s="35" t="s">
        <v>83</v>
      </c>
      <c r="B26" s="36">
        <f t="shared" si="1"/>
        <v>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0"/>
      <c r="AT26" s="8"/>
      <c r="AU26" s="8"/>
      <c r="AV26" s="10"/>
      <c r="AW26" s="8"/>
      <c r="AX26" s="8"/>
      <c r="AY26" s="10"/>
      <c r="AZ26" s="8"/>
      <c r="BA26" s="8"/>
      <c r="BB26" s="10"/>
    </row>
    <row r="27" ht="15.75" customHeight="1">
      <c r="A27" s="35" t="s">
        <v>105</v>
      </c>
      <c r="B27" s="36">
        <f t="shared" si="1"/>
        <v>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10"/>
      <c r="AT27" s="8"/>
      <c r="AU27" s="8"/>
      <c r="AV27" s="10"/>
      <c r="AW27" s="8"/>
      <c r="AX27" s="8"/>
      <c r="AY27" s="10"/>
      <c r="AZ27" s="8"/>
      <c r="BA27" s="8"/>
      <c r="BB27" s="10"/>
    </row>
    <row r="28" ht="15.75" customHeight="1">
      <c r="A28" s="35" t="s">
        <v>61</v>
      </c>
      <c r="B28" s="36">
        <f t="shared" si="1"/>
        <v>2</v>
      </c>
      <c r="C28" s="20">
        <v>2.0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10"/>
      <c r="AT28" s="8"/>
      <c r="AU28" s="8"/>
      <c r="AV28" s="38"/>
      <c r="AW28" s="8"/>
      <c r="AX28" s="8"/>
      <c r="AY28" s="10"/>
      <c r="AZ28" s="8"/>
      <c r="BA28" s="8"/>
      <c r="BB28" s="10"/>
    </row>
    <row r="29" ht="15.75" customHeight="1">
      <c r="A29" s="35" t="s">
        <v>33</v>
      </c>
      <c r="B29" s="36">
        <f t="shared" si="1"/>
        <v>2</v>
      </c>
      <c r="C29" s="20">
        <v>2.0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10"/>
      <c r="AT29" s="8"/>
      <c r="AU29" s="8"/>
      <c r="AV29" s="38"/>
      <c r="AW29" s="8"/>
      <c r="AX29" s="8"/>
      <c r="AY29" s="10"/>
      <c r="AZ29" s="8"/>
      <c r="BA29" s="8"/>
      <c r="BB29" s="10"/>
    </row>
    <row r="30" ht="15.75" customHeight="1">
      <c r="A30" s="35" t="s">
        <v>31</v>
      </c>
      <c r="B30" s="36">
        <f t="shared" si="1"/>
        <v>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10"/>
      <c r="AT30" s="8"/>
      <c r="AU30" s="8"/>
      <c r="AV30" s="10"/>
      <c r="AW30" s="8"/>
      <c r="AX30" s="8"/>
      <c r="AY30" s="10"/>
      <c r="AZ30" s="8"/>
      <c r="BA30" s="8"/>
      <c r="BB30" s="10"/>
    </row>
    <row r="31" ht="15.75" customHeight="1">
      <c r="A31" s="35" t="s">
        <v>316</v>
      </c>
      <c r="B31" s="36">
        <f t="shared" si="1"/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10"/>
      <c r="AT31" s="8"/>
      <c r="AU31" s="8"/>
      <c r="AV31" s="10"/>
      <c r="AW31" s="8"/>
      <c r="AX31" s="8"/>
      <c r="AY31" s="10"/>
      <c r="AZ31" s="8"/>
      <c r="BA31" s="8"/>
      <c r="BB31" s="10"/>
    </row>
    <row r="32" ht="15.75" customHeight="1">
      <c r="A32" s="35" t="s">
        <v>37</v>
      </c>
      <c r="B32" s="36">
        <f t="shared" si="1"/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10"/>
      <c r="AT32" s="8"/>
      <c r="AU32" s="8"/>
      <c r="AV32" s="10"/>
      <c r="AW32" s="8"/>
      <c r="AX32" s="8"/>
      <c r="AY32" s="10"/>
      <c r="AZ32" s="8"/>
      <c r="BA32" s="8"/>
      <c r="BB32" s="10"/>
    </row>
    <row r="33" ht="15.75" customHeight="1">
      <c r="A33" s="35" t="s">
        <v>93</v>
      </c>
      <c r="B33" s="36">
        <f t="shared" si="1"/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10"/>
      <c r="AT33" s="8"/>
      <c r="AU33" s="8"/>
      <c r="AV33" s="10"/>
      <c r="AW33" s="8"/>
      <c r="AX33" s="8"/>
      <c r="AY33" s="10"/>
      <c r="AZ33" s="8"/>
      <c r="BA33" s="8"/>
      <c r="BB33" s="10"/>
    </row>
    <row r="34" ht="15.75" customHeight="1">
      <c r="A34" s="35" t="s">
        <v>317</v>
      </c>
      <c r="B34" s="36">
        <f t="shared" si="1"/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10"/>
      <c r="AT34" s="8"/>
      <c r="AU34" s="8"/>
      <c r="AV34" s="10"/>
      <c r="AW34" s="8"/>
      <c r="AX34" s="8"/>
      <c r="AY34" s="10"/>
      <c r="AZ34" s="8"/>
      <c r="BA34" s="8"/>
      <c r="BB34" s="10"/>
    </row>
    <row r="35" ht="15.75" customHeight="1">
      <c r="A35" s="35" t="s">
        <v>264</v>
      </c>
      <c r="B35" s="36">
        <f t="shared" si="1"/>
        <v>31</v>
      </c>
      <c r="C35" s="20">
        <v>2.0</v>
      </c>
      <c r="D35" s="20">
        <v>2.5</v>
      </c>
      <c r="E35" s="21">
        <v>2.0</v>
      </c>
      <c r="F35" s="21">
        <v>2.5</v>
      </c>
      <c r="G35" s="20">
        <v>3.5</v>
      </c>
      <c r="H35" s="20">
        <v>4.25</v>
      </c>
      <c r="I35" s="20">
        <v>2.25</v>
      </c>
      <c r="J35" s="20">
        <v>1.75</v>
      </c>
      <c r="K35" s="8"/>
      <c r="L35" s="20">
        <v>3.0</v>
      </c>
      <c r="M35" s="20">
        <v>5.0</v>
      </c>
      <c r="N35" s="20">
        <v>2.25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20"/>
      <c r="AR35" s="8"/>
      <c r="AS35" s="37"/>
      <c r="AT35" s="20"/>
      <c r="AU35" s="8"/>
      <c r="AV35" s="10"/>
      <c r="AW35" s="8"/>
      <c r="AX35" s="8"/>
      <c r="AY35" s="10"/>
      <c r="AZ35" s="20"/>
      <c r="BA35" s="20"/>
      <c r="BB35" s="37"/>
    </row>
    <row r="36" ht="15.75" customHeight="1">
      <c r="A36" s="35" t="s">
        <v>318</v>
      </c>
      <c r="B36" s="36">
        <f t="shared" si="1"/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10"/>
      <c r="AT36" s="8"/>
      <c r="AU36" s="8"/>
      <c r="AV36" s="10"/>
      <c r="AW36" s="8"/>
      <c r="AX36" s="8"/>
      <c r="AY36" s="10"/>
      <c r="AZ36" s="8"/>
      <c r="BA36" s="20"/>
      <c r="BB36" s="10"/>
    </row>
    <row r="37" ht="15.75" customHeight="1">
      <c r="A37" s="35" t="s">
        <v>97</v>
      </c>
      <c r="B37" s="36">
        <f t="shared" si="1"/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10"/>
      <c r="AT37" s="8"/>
      <c r="AU37" s="8"/>
      <c r="AV37" s="10"/>
      <c r="AW37" s="8"/>
      <c r="AX37" s="8"/>
      <c r="AY37" s="10"/>
      <c r="AZ37" s="8"/>
      <c r="BA37" s="8"/>
      <c r="BB37" s="10"/>
    </row>
    <row r="38" ht="15.75" customHeight="1">
      <c r="A38" s="35" t="s">
        <v>135</v>
      </c>
      <c r="B38" s="36">
        <f t="shared" si="1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10"/>
      <c r="AT38" s="8"/>
      <c r="AU38" s="8"/>
      <c r="AV38" s="10"/>
      <c r="AW38" s="8"/>
      <c r="AX38" s="8"/>
      <c r="AY38" s="10"/>
      <c r="AZ38" s="8"/>
      <c r="BA38" s="8"/>
      <c r="BB38" s="10"/>
    </row>
    <row r="39" ht="15.75" customHeight="1">
      <c r="A39" s="35" t="s">
        <v>319</v>
      </c>
      <c r="B39" s="36">
        <f t="shared" si="1"/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10"/>
      <c r="AT39" s="8"/>
      <c r="AU39" s="8"/>
      <c r="AV39" s="10"/>
      <c r="AW39" s="8"/>
      <c r="AX39" s="8"/>
      <c r="AY39" s="10"/>
      <c r="AZ39" s="8"/>
      <c r="BA39" s="8"/>
      <c r="BB39" s="10"/>
    </row>
    <row r="40" ht="15.75" customHeight="1">
      <c r="A40" s="35" t="s">
        <v>320</v>
      </c>
      <c r="B40" s="36">
        <f t="shared" si="1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10"/>
      <c r="AT40" s="8"/>
      <c r="AU40" s="8"/>
      <c r="AV40" s="10"/>
      <c r="AW40" s="8"/>
      <c r="AX40" s="8"/>
      <c r="AY40" s="10"/>
      <c r="AZ40" s="8"/>
      <c r="BA40" s="8"/>
      <c r="BB40" s="10"/>
    </row>
    <row r="41" ht="15.75" customHeight="1">
      <c r="A41" s="35" t="s">
        <v>321</v>
      </c>
      <c r="B41" s="36">
        <f t="shared" si="1"/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10"/>
      <c r="AT41" s="8"/>
      <c r="AU41" s="8"/>
      <c r="AV41" s="10"/>
      <c r="AW41" s="8"/>
      <c r="AX41" s="8"/>
      <c r="AY41" s="10"/>
      <c r="AZ41" s="8"/>
      <c r="BA41" s="8"/>
      <c r="BB41" s="10"/>
    </row>
    <row r="42" ht="15.75" customHeight="1">
      <c r="A42" s="35" t="s">
        <v>73</v>
      </c>
      <c r="B42" s="36">
        <f t="shared" si="1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10"/>
      <c r="AT42" s="8"/>
      <c r="AU42" s="8"/>
      <c r="AV42" s="10"/>
      <c r="AW42" s="8"/>
      <c r="AX42" s="8"/>
      <c r="AY42" s="10"/>
      <c r="AZ42" s="8"/>
      <c r="BA42" s="8"/>
      <c r="BB42" s="10"/>
    </row>
    <row r="43" ht="15.75" customHeight="1">
      <c r="A43" s="35" t="s">
        <v>259</v>
      </c>
      <c r="B43" s="36">
        <f t="shared" si="1"/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10"/>
      <c r="AT43" s="8"/>
      <c r="AU43" s="8"/>
      <c r="AV43" s="10"/>
      <c r="AW43" s="8"/>
      <c r="AX43" s="8"/>
      <c r="AY43" s="10"/>
      <c r="AZ43" s="8"/>
      <c r="BA43" s="8"/>
      <c r="BB43" s="10"/>
    </row>
    <row r="44" ht="15.75" customHeight="1">
      <c r="A44" s="35" t="s">
        <v>100</v>
      </c>
      <c r="B44" s="36">
        <f t="shared" si="1"/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37"/>
      <c r="AT44" s="8"/>
      <c r="AU44" s="8"/>
      <c r="AV44" s="38"/>
      <c r="AW44" s="8"/>
      <c r="AX44" s="8"/>
      <c r="AY44" s="10"/>
      <c r="AZ44" s="8"/>
      <c r="BA44" s="8"/>
      <c r="BB44" s="10"/>
    </row>
    <row r="45" ht="15.75" customHeight="1">
      <c r="A45" s="35" t="s">
        <v>106</v>
      </c>
      <c r="B45" s="36">
        <f t="shared" si="1"/>
        <v>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10"/>
      <c r="AT45" s="8"/>
      <c r="AU45" s="8"/>
      <c r="AV45" s="10"/>
      <c r="AW45" s="8"/>
      <c r="AX45" s="8"/>
      <c r="AY45" s="10"/>
      <c r="AZ45" s="8"/>
      <c r="BA45" s="8"/>
      <c r="BB45" s="10"/>
    </row>
    <row r="46" ht="15.75" customHeight="1">
      <c r="A46" s="35" t="s">
        <v>16</v>
      </c>
      <c r="B46" s="36">
        <f t="shared" si="1"/>
        <v>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10"/>
      <c r="AT46" s="8"/>
      <c r="AU46" s="20"/>
      <c r="AV46" s="38"/>
      <c r="AW46" s="8"/>
      <c r="AX46" s="8"/>
      <c r="AY46" s="10"/>
      <c r="AZ46" s="8"/>
      <c r="BA46" s="8"/>
      <c r="BB46" s="10"/>
    </row>
    <row r="47" ht="15.75" customHeight="1">
      <c r="A47" s="35" t="s">
        <v>142</v>
      </c>
      <c r="B47" s="36">
        <f t="shared" si="1"/>
        <v>2.5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20">
        <v>2.5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20"/>
      <c r="AS47" s="37"/>
      <c r="AT47" s="8"/>
      <c r="AU47" s="20"/>
      <c r="AV47" s="38"/>
      <c r="AW47" s="8"/>
      <c r="AX47" s="8"/>
      <c r="AY47" s="10"/>
      <c r="AZ47" s="8"/>
      <c r="BA47" s="8"/>
      <c r="BB47" s="10"/>
    </row>
    <row r="48" ht="15.75" customHeight="1">
      <c r="A48" s="35" t="s">
        <v>251</v>
      </c>
      <c r="B48" s="36">
        <f t="shared" si="1"/>
        <v>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10"/>
      <c r="AT48" s="8"/>
      <c r="AU48" s="8"/>
      <c r="AV48" s="10"/>
      <c r="AW48" s="8"/>
      <c r="AX48" s="8"/>
      <c r="AY48" s="10"/>
      <c r="AZ48" s="8"/>
      <c r="BA48" s="8"/>
      <c r="BB48" s="10"/>
    </row>
    <row r="49" ht="15.75" customHeight="1">
      <c r="A49" s="35" t="s">
        <v>322</v>
      </c>
      <c r="B49" s="36">
        <f t="shared" si="1"/>
        <v>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10"/>
      <c r="AT49" s="8"/>
      <c r="AU49" s="8"/>
      <c r="AV49" s="10"/>
      <c r="AW49" s="8"/>
      <c r="AX49" s="8"/>
      <c r="AY49" s="10"/>
      <c r="AZ49" s="8"/>
      <c r="BA49" s="8"/>
      <c r="BB49" s="10"/>
    </row>
    <row r="50" ht="15.75" customHeight="1">
      <c r="A50" s="35" t="s">
        <v>109</v>
      </c>
      <c r="B50" s="36">
        <f t="shared" si="1"/>
        <v>0.5</v>
      </c>
      <c r="C50" s="8"/>
      <c r="D50" s="8"/>
      <c r="E50" s="8"/>
      <c r="F50" s="8"/>
      <c r="G50" s="8"/>
      <c r="H50" s="8"/>
      <c r="I50" s="20">
        <v>0.5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20"/>
      <c r="AS50" s="10"/>
      <c r="AT50" s="8"/>
      <c r="AU50" s="20"/>
      <c r="AV50" s="10"/>
      <c r="AW50" s="8"/>
      <c r="AX50" s="8"/>
      <c r="AY50" s="10"/>
      <c r="AZ50" s="8"/>
      <c r="BA50" s="8"/>
      <c r="BB50" s="10"/>
    </row>
    <row r="51" ht="15.75" customHeight="1">
      <c r="A51" s="35" t="s">
        <v>323</v>
      </c>
      <c r="B51" s="36">
        <f t="shared" si="1"/>
        <v>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10"/>
      <c r="AT51" s="8"/>
      <c r="AU51" s="8"/>
      <c r="AV51" s="10"/>
      <c r="AW51" s="8"/>
      <c r="AX51" s="8"/>
      <c r="AY51" s="10"/>
      <c r="AZ51" s="8"/>
      <c r="BA51" s="8"/>
      <c r="BB51" s="10"/>
    </row>
    <row r="52" ht="15.75" customHeight="1">
      <c r="A52" s="35" t="s">
        <v>67</v>
      </c>
      <c r="B52" s="36">
        <f t="shared" si="1"/>
        <v>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10"/>
      <c r="AT52" s="8"/>
      <c r="AU52" s="8"/>
      <c r="AV52" s="10"/>
      <c r="AW52" s="8"/>
      <c r="AX52" s="8"/>
      <c r="AY52" s="10"/>
      <c r="AZ52" s="8"/>
      <c r="BA52" s="8"/>
      <c r="BB52" s="10"/>
    </row>
    <row r="53" ht="15.75" customHeight="1">
      <c r="A53" s="35" t="s">
        <v>324</v>
      </c>
      <c r="B53" s="36">
        <f t="shared" si="1"/>
        <v>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10"/>
      <c r="AT53" s="8"/>
      <c r="AU53" s="8"/>
      <c r="AV53" s="10"/>
      <c r="AW53" s="8"/>
      <c r="AX53" s="8"/>
      <c r="AY53" s="10"/>
      <c r="AZ53" s="8"/>
      <c r="BA53" s="8"/>
      <c r="BB53" s="10"/>
    </row>
    <row r="54" ht="15.75" customHeight="1">
      <c r="A54" s="35" t="s">
        <v>325</v>
      </c>
      <c r="B54" s="36">
        <f t="shared" si="1"/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10"/>
      <c r="AT54" s="8"/>
      <c r="AU54" s="8"/>
      <c r="AV54" s="10"/>
      <c r="AW54" s="8"/>
      <c r="AX54" s="8"/>
      <c r="AY54" s="10"/>
      <c r="AZ54" s="8"/>
      <c r="BA54" s="8"/>
      <c r="BB54" s="10"/>
    </row>
    <row r="55" ht="15.75" customHeight="1">
      <c r="A55" s="35" t="s">
        <v>209</v>
      </c>
      <c r="B55" s="36">
        <f t="shared" si="1"/>
        <v>9.75</v>
      </c>
      <c r="C55" s="8"/>
      <c r="D55" s="20">
        <v>2.5</v>
      </c>
      <c r="E55" s="8"/>
      <c r="F55" s="21">
        <v>2.75</v>
      </c>
      <c r="G55" s="8"/>
      <c r="H55" s="20">
        <v>2.5</v>
      </c>
      <c r="I55" s="8"/>
      <c r="J55" s="20">
        <v>2.0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20"/>
      <c r="AR55" s="8"/>
      <c r="AS55" s="37"/>
      <c r="AT55" s="8"/>
      <c r="AU55" s="20"/>
      <c r="AV55" s="10"/>
      <c r="AW55" s="8"/>
      <c r="AX55" s="20"/>
      <c r="AY55" s="37"/>
      <c r="AZ55" s="20"/>
      <c r="BA55" s="8"/>
      <c r="BB55" s="37"/>
    </row>
    <row r="56" ht="15.75" customHeight="1">
      <c r="A56" s="35" t="s">
        <v>326</v>
      </c>
      <c r="B56" s="36">
        <f t="shared" si="1"/>
        <v>2.5</v>
      </c>
      <c r="C56" s="8"/>
      <c r="D56" s="20">
        <v>2.5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10"/>
      <c r="AT56" s="8"/>
      <c r="AU56" s="8"/>
      <c r="AV56" s="10"/>
      <c r="AW56" s="8"/>
      <c r="AX56" s="8"/>
      <c r="AY56" s="37"/>
      <c r="AZ56" s="20"/>
      <c r="BA56" s="8"/>
      <c r="BB56" s="10"/>
    </row>
    <row r="57" ht="15.75" customHeight="1">
      <c r="A57" s="35" t="s">
        <v>163</v>
      </c>
      <c r="B57" s="36">
        <f t="shared" si="1"/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10"/>
      <c r="AT57" s="8"/>
      <c r="AU57" s="8"/>
      <c r="AV57" s="10"/>
      <c r="AW57" s="8"/>
      <c r="AX57" s="8"/>
      <c r="AY57" s="10"/>
      <c r="AZ57" s="8"/>
      <c r="BA57" s="8"/>
      <c r="BB57" s="10"/>
    </row>
    <row r="58" ht="15.75" customHeight="1">
      <c r="A58" s="35" t="s">
        <v>15</v>
      </c>
      <c r="B58" s="36">
        <f t="shared" si="1"/>
        <v>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10"/>
      <c r="AT58" s="8"/>
      <c r="AU58" s="8"/>
      <c r="AV58" s="10"/>
      <c r="AW58" s="8"/>
      <c r="AX58" s="8"/>
      <c r="AY58" s="10"/>
      <c r="AZ58" s="8"/>
      <c r="BA58" s="8"/>
      <c r="BB58" s="10"/>
    </row>
    <row r="59" ht="15.75" customHeight="1">
      <c r="A59" s="35" t="s">
        <v>12</v>
      </c>
      <c r="B59" s="36">
        <f t="shared" si="1"/>
        <v>2.25</v>
      </c>
      <c r="C59" s="8"/>
      <c r="D59" s="20">
        <v>2.25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20"/>
      <c r="AS59" s="10"/>
      <c r="AT59" s="20"/>
      <c r="AU59" s="8"/>
      <c r="AV59" s="10"/>
      <c r="AW59" s="20"/>
      <c r="AX59" s="8"/>
      <c r="AY59" s="10"/>
      <c r="AZ59" s="20"/>
      <c r="BA59" s="8"/>
      <c r="BB59" s="10"/>
    </row>
    <row r="60" ht="15.75" customHeight="1">
      <c r="A60" s="35" t="s">
        <v>150</v>
      </c>
      <c r="B60" s="36">
        <f t="shared" si="1"/>
        <v>6.25</v>
      </c>
      <c r="C60" s="20">
        <v>2.0</v>
      </c>
      <c r="D60" s="8"/>
      <c r="E60" s="8"/>
      <c r="F60" s="8"/>
      <c r="G60" s="8"/>
      <c r="H60" s="8"/>
      <c r="I60" s="8"/>
      <c r="J60" s="20">
        <v>1.75</v>
      </c>
      <c r="K60" s="8"/>
      <c r="L60" s="8"/>
      <c r="M60" s="20">
        <v>2.5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20"/>
      <c r="AR60" s="20"/>
      <c r="AS60" s="37"/>
      <c r="AT60" s="20"/>
      <c r="AU60" s="8"/>
      <c r="AV60" s="10"/>
      <c r="AW60" s="20"/>
      <c r="AX60" s="8"/>
      <c r="AY60" s="10"/>
      <c r="AZ60" s="8"/>
      <c r="BA60" s="8"/>
      <c r="BB60" s="10"/>
    </row>
    <row r="61" ht="15.75" customHeight="1">
      <c r="A61" s="35" t="s">
        <v>327</v>
      </c>
      <c r="B61" s="36">
        <f t="shared" si="1"/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10"/>
      <c r="AT61" s="8"/>
      <c r="AU61" s="8"/>
      <c r="AV61" s="10"/>
      <c r="AW61" s="8"/>
      <c r="AX61" s="8"/>
      <c r="AY61" s="10"/>
      <c r="AZ61" s="8"/>
      <c r="BA61" s="8"/>
      <c r="BB61" s="10"/>
    </row>
    <row r="62" ht="15.75" customHeight="1">
      <c r="A62" s="35" t="s">
        <v>328</v>
      </c>
      <c r="B62" s="36">
        <f t="shared" si="1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10"/>
      <c r="AT62" s="8"/>
      <c r="AU62" s="8"/>
      <c r="AV62" s="10"/>
      <c r="AW62" s="8"/>
      <c r="AX62" s="8"/>
      <c r="AY62" s="10"/>
      <c r="AZ62" s="8"/>
      <c r="BA62" s="8"/>
      <c r="BB62" s="10"/>
    </row>
    <row r="63" ht="15.75" customHeight="1">
      <c r="A63" s="35" t="s">
        <v>99</v>
      </c>
      <c r="B63" s="36">
        <f t="shared" si="1"/>
        <v>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10"/>
      <c r="AT63" s="8"/>
      <c r="AU63" s="8"/>
      <c r="AV63" s="10"/>
      <c r="AW63" s="8"/>
      <c r="AX63" s="8"/>
      <c r="AY63" s="10"/>
      <c r="AZ63" s="8"/>
      <c r="BA63" s="8"/>
      <c r="BB63" s="10"/>
    </row>
    <row r="64" ht="15.75" customHeight="1">
      <c r="A64" s="35" t="s">
        <v>329</v>
      </c>
      <c r="B64" s="36">
        <f t="shared" si="1"/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10"/>
      <c r="AT64" s="8"/>
      <c r="AU64" s="8"/>
      <c r="AV64" s="10"/>
      <c r="AW64" s="8"/>
      <c r="AX64" s="8"/>
      <c r="AY64" s="10"/>
      <c r="AZ64" s="8"/>
      <c r="BA64" s="8"/>
      <c r="BB64" s="10"/>
    </row>
    <row r="65" ht="15.75" customHeight="1">
      <c r="A65" s="35" t="s">
        <v>134</v>
      </c>
      <c r="B65" s="36">
        <f t="shared" si="1"/>
        <v>20.25</v>
      </c>
      <c r="C65" s="20">
        <v>2.0</v>
      </c>
      <c r="D65" s="8"/>
      <c r="E65" s="21">
        <v>2.25</v>
      </c>
      <c r="F65" s="21">
        <v>2.75</v>
      </c>
      <c r="G65" s="20">
        <v>3.5</v>
      </c>
      <c r="H65" s="20">
        <v>2.5</v>
      </c>
      <c r="I65" s="20">
        <v>2.75</v>
      </c>
      <c r="J65" s="20">
        <v>2.0</v>
      </c>
      <c r="K65" s="8"/>
      <c r="L65" s="8"/>
      <c r="M65" s="8"/>
      <c r="N65" s="8"/>
      <c r="O65" s="20">
        <v>2.5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20"/>
      <c r="AR65" s="20"/>
      <c r="AS65" s="37"/>
      <c r="AT65" s="20"/>
      <c r="AU65" s="8"/>
      <c r="AV65" s="38"/>
      <c r="AW65" s="20"/>
      <c r="AX65" s="20"/>
      <c r="AY65" s="37"/>
      <c r="AZ65" s="20"/>
      <c r="BA65" s="20"/>
      <c r="BB65" s="10"/>
    </row>
    <row r="66" ht="15.75" customHeight="1">
      <c r="A66" s="35" t="s">
        <v>330</v>
      </c>
      <c r="B66" s="36">
        <f t="shared" si="1"/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10"/>
      <c r="AT66" s="8"/>
      <c r="AU66" s="8"/>
      <c r="AV66" s="10"/>
      <c r="AW66" s="8"/>
      <c r="AX66" s="8"/>
      <c r="AY66" s="10"/>
      <c r="AZ66" s="8"/>
      <c r="BA66" s="8"/>
      <c r="BB66" s="10"/>
    </row>
    <row r="67" ht="15.75" customHeight="1">
      <c r="A67" s="35" t="s">
        <v>331</v>
      </c>
      <c r="B67" s="36">
        <f t="shared" si="1"/>
        <v>2</v>
      </c>
      <c r="C67" s="8"/>
      <c r="D67" s="8"/>
      <c r="E67" s="8"/>
      <c r="F67" s="8"/>
      <c r="G67" s="8"/>
      <c r="H67" s="8"/>
      <c r="I67" s="8"/>
      <c r="J67" s="8"/>
      <c r="K67" s="21">
        <v>2.0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20"/>
      <c r="AS67" s="10"/>
      <c r="AT67" s="8"/>
      <c r="AU67" s="20"/>
      <c r="AV67" s="10"/>
      <c r="AW67" s="8"/>
      <c r="AX67" s="8"/>
      <c r="AY67" s="37"/>
      <c r="AZ67" s="8"/>
      <c r="BA67" s="20"/>
      <c r="BB67" s="10"/>
    </row>
    <row r="68" ht="15.75" customHeight="1">
      <c r="A68" s="35" t="s">
        <v>332</v>
      </c>
      <c r="B68" s="36">
        <f t="shared" si="1"/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10"/>
      <c r="AT68" s="8"/>
      <c r="AU68" s="8"/>
      <c r="AV68" s="10"/>
      <c r="AW68" s="8"/>
      <c r="AX68" s="8"/>
      <c r="AY68" s="10"/>
      <c r="AZ68" s="8"/>
      <c r="BA68" s="8"/>
      <c r="BB68" s="10"/>
    </row>
    <row r="69" ht="15.75" customHeight="1">
      <c r="A69" s="35" t="s">
        <v>333</v>
      </c>
      <c r="B69" s="36">
        <f t="shared" si="1"/>
        <v>3.5</v>
      </c>
      <c r="C69" s="8"/>
      <c r="D69" s="8"/>
      <c r="E69" s="8"/>
      <c r="F69" s="8"/>
      <c r="G69" s="8"/>
      <c r="H69" s="8"/>
      <c r="I69" s="8"/>
      <c r="J69" s="20">
        <v>1.5</v>
      </c>
      <c r="K69" s="8"/>
      <c r="L69" s="20">
        <v>2.0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20"/>
      <c r="AS69" s="37"/>
      <c r="AT69" s="8"/>
      <c r="AU69" s="8"/>
      <c r="AV69" s="10"/>
      <c r="AW69" s="20"/>
      <c r="AX69" s="20"/>
      <c r="AY69" s="37"/>
      <c r="AZ69" s="8"/>
      <c r="BA69" s="20"/>
      <c r="BB69" s="10"/>
    </row>
    <row r="70" ht="15.75" customHeight="1">
      <c r="A70" s="35" t="s">
        <v>334</v>
      </c>
      <c r="B70" s="36">
        <f t="shared" si="1"/>
        <v>2.5</v>
      </c>
      <c r="C70" s="8"/>
      <c r="D70" s="8"/>
      <c r="E70" s="8"/>
      <c r="F70" s="8"/>
      <c r="G70" s="8"/>
      <c r="H70" s="8"/>
      <c r="I70" s="8"/>
      <c r="J70" s="8"/>
      <c r="K70" s="21">
        <v>2.5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20"/>
      <c r="AR70" s="8"/>
      <c r="AS70" s="10"/>
      <c r="AT70" s="8"/>
      <c r="AU70" s="8"/>
      <c r="AV70" s="10"/>
      <c r="AW70" s="8"/>
      <c r="AX70" s="8"/>
      <c r="AY70" s="10"/>
      <c r="AZ70" s="8"/>
      <c r="BA70" s="8"/>
      <c r="BB70" s="10"/>
    </row>
    <row r="71" ht="15.75" customHeight="1">
      <c r="A71" s="35" t="s">
        <v>335</v>
      </c>
      <c r="B71" s="36">
        <f t="shared" si="1"/>
        <v>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10"/>
      <c r="AT71" s="8"/>
      <c r="AU71" s="8"/>
      <c r="AV71" s="10"/>
      <c r="AW71" s="8"/>
      <c r="AX71" s="8"/>
      <c r="AY71" s="10"/>
      <c r="AZ71" s="8"/>
      <c r="BA71" s="8"/>
      <c r="BB71" s="10"/>
    </row>
    <row r="72" ht="15.75" customHeight="1">
      <c r="A72" s="35" t="s">
        <v>156</v>
      </c>
      <c r="B72" s="36">
        <f t="shared" si="1"/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20"/>
      <c r="AR72" s="8"/>
      <c r="AS72" s="10"/>
      <c r="AT72" s="20"/>
      <c r="AU72" s="8"/>
      <c r="AV72" s="10"/>
      <c r="AW72" s="8"/>
      <c r="AX72" s="8"/>
      <c r="AY72" s="10"/>
      <c r="AZ72" s="8"/>
      <c r="BA72" s="8"/>
      <c r="BB72" s="37"/>
    </row>
    <row r="73" ht="15.75" customHeight="1">
      <c r="A73" s="35" t="s">
        <v>148</v>
      </c>
      <c r="B73" s="36">
        <f t="shared" si="1"/>
        <v>0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10"/>
      <c r="AT73" s="8"/>
      <c r="AU73" s="8"/>
      <c r="AV73" s="10"/>
      <c r="AW73" s="8"/>
      <c r="AX73" s="8"/>
      <c r="AY73" s="10"/>
      <c r="AZ73" s="8"/>
      <c r="BA73" s="8"/>
      <c r="BB73" s="10"/>
    </row>
    <row r="74" ht="15.75" customHeight="1">
      <c r="A74" s="35" t="s">
        <v>265</v>
      </c>
      <c r="B74" s="36">
        <f t="shared" si="1"/>
        <v>4.75</v>
      </c>
      <c r="C74" s="8"/>
      <c r="D74" s="8"/>
      <c r="E74" s="21">
        <v>2.25</v>
      </c>
      <c r="F74" s="8"/>
      <c r="G74" s="8"/>
      <c r="H74" s="8"/>
      <c r="I74" s="20">
        <v>2.5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20"/>
      <c r="AS74" s="10"/>
      <c r="AT74" s="8"/>
      <c r="AU74" s="8"/>
      <c r="AV74" s="10"/>
      <c r="AW74" s="8"/>
      <c r="AX74" s="8"/>
      <c r="AY74" s="10"/>
      <c r="AZ74" s="8"/>
      <c r="BA74" s="8"/>
      <c r="BB74" s="10"/>
    </row>
    <row r="75" ht="15.75" customHeight="1">
      <c r="A75" s="35" t="s">
        <v>149</v>
      </c>
      <c r="B75" s="36">
        <f t="shared" si="1"/>
        <v>0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10"/>
      <c r="AT75" s="8"/>
      <c r="AU75" s="8"/>
      <c r="AV75" s="10"/>
      <c r="AW75" s="8"/>
      <c r="AX75" s="8"/>
      <c r="AY75" s="10"/>
      <c r="AZ75" s="8"/>
      <c r="BA75" s="8"/>
      <c r="BB75" s="10"/>
    </row>
    <row r="76" ht="15.75" customHeight="1">
      <c r="A76" s="39" t="s">
        <v>336</v>
      </c>
      <c r="B76" s="36">
        <f t="shared" si="1"/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20"/>
      <c r="AR76" s="8"/>
      <c r="AS76" s="10"/>
      <c r="AT76" s="8"/>
      <c r="AU76" s="8"/>
      <c r="AV76" s="10"/>
      <c r="AW76" s="8"/>
      <c r="AX76" s="8"/>
      <c r="AY76" s="10"/>
      <c r="AZ76" s="8"/>
      <c r="BA76" s="8"/>
      <c r="BB76" s="10"/>
    </row>
    <row r="77" ht="15.75" customHeight="1">
      <c r="A77" s="39" t="s">
        <v>337</v>
      </c>
      <c r="B77" s="36">
        <f t="shared" si="1"/>
        <v>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20"/>
      <c r="AR77" s="8"/>
      <c r="AS77" s="10"/>
      <c r="AT77" s="20"/>
      <c r="AU77" s="8"/>
      <c r="AV77" s="10"/>
      <c r="AW77" s="8"/>
      <c r="AX77" s="8"/>
      <c r="AY77" s="10"/>
      <c r="AZ77" s="8"/>
      <c r="BA77" s="8"/>
      <c r="BB77" s="10"/>
    </row>
    <row r="78" ht="15.75" customHeight="1">
      <c r="A78" s="39" t="s">
        <v>23</v>
      </c>
      <c r="B78" s="36">
        <f t="shared" si="1"/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20"/>
      <c r="AS78" s="10"/>
      <c r="AT78" s="8"/>
      <c r="AU78" s="8"/>
      <c r="AV78" s="10"/>
      <c r="AW78" s="8"/>
      <c r="AX78" s="8"/>
      <c r="AY78" s="10"/>
      <c r="AZ78" s="8"/>
      <c r="BA78" s="8"/>
      <c r="BB78" s="10"/>
    </row>
    <row r="79" ht="15.75" customHeight="1">
      <c r="A79" s="39" t="s">
        <v>122</v>
      </c>
      <c r="B79" s="36">
        <f t="shared" si="1"/>
        <v>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37"/>
      <c r="AT79" s="8"/>
      <c r="AU79" s="8"/>
      <c r="AV79" s="10"/>
      <c r="AW79" s="8"/>
      <c r="AX79" s="8"/>
      <c r="AY79" s="10"/>
      <c r="AZ79" s="8"/>
      <c r="BA79" s="8"/>
      <c r="BB79" s="10"/>
    </row>
    <row r="80" ht="15.75" customHeight="1">
      <c r="A80" s="39" t="s">
        <v>338</v>
      </c>
      <c r="B80" s="36">
        <f t="shared" si="1"/>
        <v>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37"/>
      <c r="AT80" s="8"/>
      <c r="AU80" s="8"/>
      <c r="AV80" s="10"/>
      <c r="AW80" s="8"/>
      <c r="AX80" s="8"/>
      <c r="AY80" s="10"/>
      <c r="AZ80" s="8"/>
      <c r="BA80" s="8"/>
      <c r="BB80" s="10"/>
    </row>
    <row r="81" ht="15.75" customHeight="1">
      <c r="A81" s="39" t="s">
        <v>339</v>
      </c>
      <c r="B81" s="36">
        <f t="shared" si="1"/>
        <v>3.5</v>
      </c>
      <c r="C81" s="8"/>
      <c r="D81" s="8"/>
      <c r="E81" s="8"/>
      <c r="F81" s="8"/>
      <c r="G81" s="20">
        <v>3.5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37"/>
      <c r="AT81" s="8"/>
      <c r="AU81" s="20"/>
      <c r="AV81" s="10"/>
      <c r="AW81" s="8"/>
      <c r="AX81" s="8"/>
      <c r="AY81" s="10"/>
      <c r="AZ81" s="8"/>
      <c r="BA81" s="8"/>
      <c r="BB81" s="10"/>
    </row>
    <row r="82" ht="15.75" customHeight="1">
      <c r="A82" s="39" t="s">
        <v>340</v>
      </c>
      <c r="B82" s="36">
        <f t="shared" si="1"/>
        <v>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37"/>
      <c r="AT82" s="8"/>
      <c r="AU82" s="8"/>
      <c r="AV82" s="10"/>
      <c r="AW82" s="8"/>
      <c r="AX82" s="8"/>
      <c r="AY82" s="10"/>
      <c r="AZ82" s="8"/>
      <c r="BA82" s="8"/>
      <c r="BB82" s="10"/>
    </row>
    <row r="83" ht="15.75" customHeight="1">
      <c r="A83" s="39" t="s">
        <v>341</v>
      </c>
      <c r="B83" s="36">
        <f t="shared" si="1"/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10"/>
      <c r="AT83" s="20"/>
      <c r="AU83" s="8"/>
      <c r="AV83" s="10"/>
      <c r="AW83" s="8"/>
      <c r="AX83" s="8"/>
      <c r="AY83" s="10"/>
      <c r="AZ83" s="8"/>
      <c r="BA83" s="8"/>
      <c r="BB83" s="10"/>
    </row>
    <row r="84" ht="15.75" customHeight="1">
      <c r="A84" s="39" t="s">
        <v>342</v>
      </c>
      <c r="B84" s="36">
        <f t="shared" si="1"/>
        <v>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10"/>
      <c r="AT84" s="20"/>
      <c r="AU84" s="8"/>
      <c r="AV84" s="10"/>
      <c r="AW84" s="8"/>
      <c r="AX84" s="8"/>
      <c r="AY84" s="10"/>
      <c r="AZ84" s="20"/>
      <c r="BA84" s="8"/>
      <c r="BB84" s="10"/>
    </row>
    <row r="85" ht="15.75" customHeight="1">
      <c r="A85" s="39" t="s">
        <v>281</v>
      </c>
      <c r="B85" s="36">
        <f t="shared" si="1"/>
        <v>2.25</v>
      </c>
      <c r="C85" s="8"/>
      <c r="D85" s="20">
        <v>2.25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10"/>
      <c r="AT85" s="20"/>
      <c r="AU85" s="8"/>
      <c r="AV85" s="10"/>
      <c r="AW85" s="8"/>
      <c r="AX85" s="8"/>
      <c r="AY85" s="10"/>
      <c r="AZ85" s="20"/>
      <c r="BA85" s="8"/>
      <c r="BB85" s="10"/>
    </row>
    <row r="86" ht="15.75" customHeight="1">
      <c r="A86" s="39" t="s">
        <v>186</v>
      </c>
      <c r="B86" s="36">
        <f t="shared" si="1"/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10"/>
      <c r="AT86" s="20"/>
      <c r="AU86" s="8"/>
      <c r="AV86" s="10"/>
      <c r="AW86" s="8"/>
      <c r="AX86" s="8"/>
      <c r="AY86" s="10"/>
      <c r="AZ86" s="8"/>
      <c r="BA86" s="8"/>
      <c r="BB86" s="10"/>
    </row>
    <row r="87" ht="15.75" customHeight="1">
      <c r="A87" s="39" t="s">
        <v>343</v>
      </c>
      <c r="B87" s="36">
        <f t="shared" si="1"/>
        <v>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10"/>
      <c r="AT87" s="20"/>
      <c r="AU87" s="8"/>
      <c r="AV87" s="10"/>
      <c r="AW87" s="8"/>
      <c r="AX87" s="8"/>
      <c r="AY87" s="10"/>
      <c r="AZ87" s="8"/>
      <c r="BA87" s="8"/>
      <c r="BB87" s="10"/>
    </row>
    <row r="88" ht="15.75" customHeight="1">
      <c r="A88" s="39" t="s">
        <v>155</v>
      </c>
      <c r="B88" s="36">
        <f t="shared" si="1"/>
        <v>2.5</v>
      </c>
      <c r="C88" s="8"/>
      <c r="D88" s="20">
        <v>2.5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10"/>
      <c r="AT88" s="20"/>
      <c r="AU88" s="20"/>
      <c r="AV88" s="38"/>
      <c r="AW88" s="20"/>
      <c r="AX88" s="20"/>
      <c r="AY88" s="10"/>
      <c r="AZ88" s="8"/>
      <c r="BA88" s="8"/>
      <c r="BB88" s="37"/>
    </row>
    <row r="89" ht="15.75" customHeight="1">
      <c r="A89" s="39" t="s">
        <v>344</v>
      </c>
      <c r="B89" s="36">
        <f t="shared" si="1"/>
        <v>0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10"/>
      <c r="AT89" s="8"/>
      <c r="AU89" s="20"/>
      <c r="AV89" s="10"/>
      <c r="AW89" s="8"/>
      <c r="AX89" s="8"/>
      <c r="AY89" s="10"/>
      <c r="AZ89" s="8"/>
      <c r="BA89" s="8"/>
      <c r="BB89" s="10"/>
    </row>
    <row r="90" ht="15.75" customHeight="1">
      <c r="A90" s="39" t="s">
        <v>141</v>
      </c>
      <c r="B90" s="36">
        <f t="shared" si="1"/>
        <v>0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10"/>
      <c r="AT90" s="8"/>
      <c r="AU90" s="20"/>
      <c r="AV90" s="10"/>
      <c r="AW90" s="8"/>
      <c r="AX90" s="8"/>
      <c r="AY90" s="10"/>
      <c r="AZ90" s="8"/>
      <c r="BA90" s="8"/>
      <c r="BB90" s="10"/>
    </row>
    <row r="91" ht="15.75" customHeight="1">
      <c r="A91" s="39" t="s">
        <v>345</v>
      </c>
      <c r="B91" s="36">
        <f t="shared" si="1"/>
        <v>3.5</v>
      </c>
      <c r="C91" s="8"/>
      <c r="D91" s="8"/>
      <c r="E91" s="8"/>
      <c r="F91" s="8"/>
      <c r="G91" s="20">
        <v>3.5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10"/>
      <c r="AT91" s="8"/>
      <c r="AU91" s="20"/>
      <c r="AV91" s="10"/>
      <c r="AW91" s="8"/>
      <c r="AX91" s="8"/>
      <c r="AY91" s="10"/>
      <c r="AZ91" s="8"/>
      <c r="BA91" s="8"/>
      <c r="BB91" s="10"/>
    </row>
    <row r="92" ht="15.75" customHeight="1">
      <c r="A92" s="39" t="s">
        <v>346</v>
      </c>
      <c r="B92" s="36">
        <f t="shared" si="1"/>
        <v>9</v>
      </c>
      <c r="C92" s="8"/>
      <c r="D92" s="8"/>
      <c r="E92" s="8"/>
      <c r="F92" s="8"/>
      <c r="G92" s="8"/>
      <c r="H92" s="20">
        <v>2.5</v>
      </c>
      <c r="I92" s="8"/>
      <c r="J92" s="8"/>
      <c r="K92" s="21">
        <v>2.0</v>
      </c>
      <c r="L92" s="20">
        <v>2.0</v>
      </c>
      <c r="M92" s="8"/>
      <c r="N92" s="8"/>
      <c r="O92" s="20">
        <v>2.5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10"/>
      <c r="AT92" s="8"/>
      <c r="AU92" s="20"/>
      <c r="AV92" s="10"/>
      <c r="AW92" s="8"/>
      <c r="AX92" s="8"/>
      <c r="AY92" s="37"/>
      <c r="AZ92" s="8"/>
      <c r="BA92" s="20"/>
      <c r="BB92" s="37"/>
    </row>
    <row r="93" ht="15.75" customHeight="1">
      <c r="A93" s="40" t="s">
        <v>121</v>
      </c>
      <c r="B93" s="36">
        <f t="shared" si="1"/>
        <v>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10"/>
      <c r="AT93" s="8"/>
      <c r="AU93" s="8"/>
      <c r="AV93" s="38"/>
      <c r="AW93" s="8"/>
      <c r="AX93" s="8"/>
      <c r="AY93" s="10"/>
      <c r="AZ93" s="8"/>
      <c r="BA93" s="8"/>
      <c r="BB93" s="10"/>
    </row>
    <row r="94" ht="15.75" customHeight="1">
      <c r="A94" s="40" t="s">
        <v>347</v>
      </c>
      <c r="B94" s="36">
        <f t="shared" si="1"/>
        <v>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10"/>
      <c r="AT94" s="8"/>
      <c r="AU94" s="8"/>
      <c r="AV94" s="38"/>
      <c r="AW94" s="8"/>
      <c r="AX94" s="8"/>
      <c r="AY94" s="10"/>
      <c r="AZ94" s="8"/>
      <c r="BA94" s="8"/>
      <c r="BB94" s="10"/>
    </row>
    <row r="95" ht="15.75" customHeight="1">
      <c r="A95" s="39" t="s">
        <v>296</v>
      </c>
      <c r="B95" s="36">
        <f t="shared" si="1"/>
        <v>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10"/>
      <c r="AT95" s="8"/>
      <c r="AU95" s="8"/>
      <c r="AV95" s="10"/>
      <c r="AW95" s="20"/>
      <c r="AX95" s="8"/>
      <c r="AY95" s="10"/>
      <c r="AZ95" s="8"/>
      <c r="BA95" s="8"/>
      <c r="BB95" s="10"/>
    </row>
    <row r="96" ht="15.75" customHeight="1">
      <c r="A96" s="39" t="s">
        <v>348</v>
      </c>
      <c r="B96" s="36">
        <f t="shared" si="1"/>
        <v>0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10"/>
      <c r="AT96" s="8"/>
      <c r="AU96" s="8"/>
      <c r="AV96" s="10"/>
      <c r="AW96" s="20"/>
      <c r="AX96" s="8"/>
      <c r="AY96" s="10"/>
      <c r="AZ96" s="8"/>
      <c r="BA96" s="8"/>
      <c r="BB96" s="10"/>
    </row>
    <row r="97" ht="15.75" customHeight="1">
      <c r="A97" s="39" t="s">
        <v>349</v>
      </c>
      <c r="B97" s="36">
        <f t="shared" si="1"/>
        <v>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10"/>
      <c r="AT97" s="8"/>
      <c r="AU97" s="8"/>
      <c r="AV97" s="10"/>
      <c r="AW97" s="20"/>
      <c r="AX97" s="8"/>
      <c r="AY97" s="10"/>
      <c r="AZ97" s="8"/>
      <c r="BA97" s="8"/>
      <c r="BB97" s="10"/>
    </row>
    <row r="98" ht="15.75" customHeight="1">
      <c r="A98" s="39" t="s">
        <v>350</v>
      </c>
      <c r="B98" s="36">
        <f t="shared" si="1"/>
        <v>0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10"/>
      <c r="AT98" s="8"/>
      <c r="AU98" s="8"/>
      <c r="AV98" s="10"/>
      <c r="AW98" s="20"/>
      <c r="AX98" s="20"/>
      <c r="AY98" s="10"/>
      <c r="AZ98" s="8"/>
      <c r="BA98" s="8"/>
      <c r="BB98" s="10"/>
    </row>
    <row r="99" ht="15.75" customHeight="1">
      <c r="A99" s="39" t="s">
        <v>170</v>
      </c>
      <c r="B99" s="36">
        <f t="shared" si="1"/>
        <v>0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10"/>
      <c r="AT99" s="8"/>
      <c r="AU99" s="8"/>
      <c r="AV99" s="10"/>
      <c r="AW99" s="8"/>
      <c r="AX99" s="20"/>
      <c r="AY99" s="10"/>
      <c r="AZ99" s="8"/>
      <c r="BA99" s="20"/>
      <c r="BB99" s="10"/>
    </row>
    <row r="100" ht="15.75" customHeight="1">
      <c r="A100" s="39" t="s">
        <v>92</v>
      </c>
      <c r="B100" s="36">
        <f t="shared" si="1"/>
        <v>0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10"/>
      <c r="AT100" s="8"/>
      <c r="AU100" s="8"/>
      <c r="AV100" s="10"/>
      <c r="AW100" s="8"/>
      <c r="AX100" s="20"/>
      <c r="AY100" s="10"/>
      <c r="AZ100" s="8"/>
      <c r="BA100" s="8"/>
      <c r="BB100" s="10"/>
    </row>
    <row r="101" ht="15.75" customHeight="1">
      <c r="A101" s="39" t="s">
        <v>351</v>
      </c>
      <c r="B101" s="36">
        <f t="shared" si="1"/>
        <v>0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10"/>
      <c r="AT101" s="8"/>
      <c r="AU101" s="8"/>
      <c r="AV101" s="10"/>
      <c r="AW101" s="8"/>
      <c r="AX101" s="20"/>
      <c r="AY101" s="10"/>
      <c r="AZ101" s="8"/>
      <c r="BA101" s="8"/>
      <c r="BB101" s="10"/>
    </row>
    <row r="102" ht="15.75" customHeight="1">
      <c r="A102" s="39" t="s">
        <v>352</v>
      </c>
      <c r="B102" s="36">
        <f t="shared" si="1"/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10"/>
      <c r="AT102" s="8"/>
      <c r="AU102" s="8"/>
      <c r="AV102" s="10"/>
      <c r="AW102" s="8"/>
      <c r="AX102" s="20"/>
      <c r="AY102" s="10"/>
      <c r="AZ102" s="8"/>
      <c r="BA102" s="8"/>
      <c r="BB102" s="10"/>
    </row>
    <row r="103" ht="15.75" customHeight="1">
      <c r="A103" s="39" t="s">
        <v>353</v>
      </c>
      <c r="B103" s="36">
        <f t="shared" si="1"/>
        <v>0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10"/>
      <c r="AT103" s="8"/>
      <c r="AU103" s="8"/>
      <c r="AV103" s="10"/>
      <c r="AW103" s="8"/>
      <c r="AX103" s="20"/>
      <c r="AY103" s="10"/>
      <c r="AZ103" s="8"/>
      <c r="BA103" s="8"/>
      <c r="BB103" s="10"/>
    </row>
    <row r="104" ht="15.75" customHeight="1">
      <c r="A104" s="39" t="s">
        <v>207</v>
      </c>
      <c r="B104" s="36">
        <f t="shared" si="1"/>
        <v>6.75</v>
      </c>
      <c r="C104" s="8"/>
      <c r="D104" s="8"/>
      <c r="E104" s="8"/>
      <c r="F104" s="8"/>
      <c r="G104" s="8"/>
      <c r="H104" s="20">
        <v>2.25</v>
      </c>
      <c r="I104" s="20">
        <v>2.25</v>
      </c>
      <c r="J104" s="8"/>
      <c r="K104" s="8"/>
      <c r="L104" s="20">
        <v>2.25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10"/>
      <c r="AT104" s="8"/>
      <c r="AU104" s="8"/>
      <c r="AV104" s="10"/>
      <c r="AW104" s="8"/>
      <c r="AX104" s="20"/>
      <c r="AY104" s="10"/>
      <c r="AZ104" s="8"/>
      <c r="BA104" s="20"/>
      <c r="BB104" s="10"/>
    </row>
    <row r="105" ht="15.75" customHeight="1">
      <c r="A105" s="39" t="s">
        <v>354</v>
      </c>
      <c r="B105" s="36">
        <f t="shared" si="1"/>
        <v>7</v>
      </c>
      <c r="C105" s="20">
        <v>2.0</v>
      </c>
      <c r="D105" s="8"/>
      <c r="E105" s="8"/>
      <c r="F105" s="21">
        <v>2.75</v>
      </c>
      <c r="G105" s="8"/>
      <c r="H105" s="8"/>
      <c r="I105" s="8"/>
      <c r="J105" s="8"/>
      <c r="K105" s="8"/>
      <c r="L105" s="8"/>
      <c r="M105" s="8"/>
      <c r="N105" s="8"/>
      <c r="O105" s="20">
        <v>2.25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10"/>
      <c r="AT105" s="8"/>
      <c r="AU105" s="8"/>
      <c r="AV105" s="10"/>
      <c r="AW105" s="8"/>
      <c r="AX105" s="20"/>
      <c r="AY105" s="37"/>
      <c r="AZ105" s="8"/>
      <c r="BA105" s="20"/>
      <c r="BB105" s="10"/>
    </row>
    <row r="106" ht="15.75" customHeight="1">
      <c r="A106" s="39" t="s">
        <v>355</v>
      </c>
      <c r="B106" s="36">
        <f t="shared" si="1"/>
        <v>2.25</v>
      </c>
      <c r="C106" s="8"/>
      <c r="D106" s="8"/>
      <c r="E106" s="8"/>
      <c r="F106" s="8"/>
      <c r="G106" s="8"/>
      <c r="H106" s="8"/>
      <c r="I106" s="20">
        <v>2.25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10"/>
      <c r="AT106" s="8"/>
      <c r="AU106" s="8"/>
      <c r="AV106" s="10"/>
      <c r="AW106" s="8"/>
      <c r="AX106" s="8"/>
      <c r="AY106" s="37"/>
      <c r="AZ106" s="8"/>
      <c r="BA106" s="8"/>
      <c r="BB106" s="10"/>
    </row>
    <row r="107" ht="15.75" customHeight="1">
      <c r="A107" s="39" t="s">
        <v>356</v>
      </c>
      <c r="B107" s="36">
        <f t="shared" si="1"/>
        <v>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10"/>
      <c r="AT107" s="8"/>
      <c r="AU107" s="8"/>
      <c r="AV107" s="10"/>
      <c r="AW107" s="8"/>
      <c r="AX107" s="8"/>
      <c r="AY107" s="37"/>
      <c r="AZ107" s="8"/>
      <c r="BA107" s="8"/>
      <c r="BB107" s="10"/>
    </row>
    <row r="108" ht="15.75" customHeight="1">
      <c r="A108" s="39" t="s">
        <v>357</v>
      </c>
      <c r="B108" s="36">
        <f t="shared" si="1"/>
        <v>7.25</v>
      </c>
      <c r="C108" s="20">
        <v>2.0</v>
      </c>
      <c r="D108" s="8"/>
      <c r="E108" s="8"/>
      <c r="F108" s="21">
        <v>2.75</v>
      </c>
      <c r="G108" s="8"/>
      <c r="H108" s="8"/>
      <c r="I108" s="8"/>
      <c r="J108" s="8"/>
      <c r="K108" s="8"/>
      <c r="L108" s="8"/>
      <c r="M108" s="8"/>
      <c r="N108" s="20">
        <v>2.5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10"/>
      <c r="AT108" s="8"/>
      <c r="AU108" s="8"/>
      <c r="AV108" s="10"/>
      <c r="AW108" s="8"/>
      <c r="AX108" s="8"/>
      <c r="AY108" s="37"/>
      <c r="AZ108" s="8"/>
      <c r="BA108" s="20"/>
      <c r="BB108" s="10"/>
    </row>
    <row r="109" ht="15.75" customHeight="1">
      <c r="A109" s="39" t="s">
        <v>190</v>
      </c>
      <c r="B109" s="36">
        <f t="shared" si="1"/>
        <v>2</v>
      </c>
      <c r="C109" s="20">
        <v>2.0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10"/>
      <c r="AT109" s="8"/>
      <c r="AU109" s="8"/>
      <c r="AV109" s="10"/>
      <c r="AW109" s="8"/>
      <c r="AX109" s="8"/>
      <c r="AY109" s="37"/>
      <c r="AZ109" s="20"/>
      <c r="BA109" s="20"/>
      <c r="BB109" s="37"/>
    </row>
    <row r="110" ht="15.75" customHeight="1">
      <c r="A110" s="39" t="s">
        <v>216</v>
      </c>
      <c r="B110" s="36">
        <f t="shared" si="1"/>
        <v>11.75</v>
      </c>
      <c r="C110" s="8"/>
      <c r="D110" s="20">
        <v>2.5</v>
      </c>
      <c r="E110" s="21">
        <v>2.25</v>
      </c>
      <c r="F110" s="8"/>
      <c r="G110" s="8"/>
      <c r="H110" s="8"/>
      <c r="I110" s="8"/>
      <c r="J110" s="20">
        <v>2.0</v>
      </c>
      <c r="K110" s="21">
        <v>2.5</v>
      </c>
      <c r="L110" s="8"/>
      <c r="M110" s="8"/>
      <c r="N110" s="8"/>
      <c r="O110" s="20">
        <v>2.5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10"/>
      <c r="AT110" s="8"/>
      <c r="AU110" s="8"/>
      <c r="AV110" s="10"/>
      <c r="AW110" s="8"/>
      <c r="AX110" s="8"/>
      <c r="AY110" s="37"/>
      <c r="AZ110" s="8"/>
      <c r="BA110" s="20"/>
      <c r="BB110" s="37"/>
    </row>
    <row r="111" ht="15.75" customHeight="1">
      <c r="A111" s="39" t="s">
        <v>358</v>
      </c>
      <c r="B111" s="36">
        <f t="shared" si="1"/>
        <v>6.75</v>
      </c>
      <c r="C111" s="20">
        <v>2.0</v>
      </c>
      <c r="D111" s="20">
        <v>2.5</v>
      </c>
      <c r="E111" s="21">
        <v>2.25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10"/>
      <c r="AT111" s="8"/>
      <c r="AU111" s="8"/>
      <c r="AV111" s="10"/>
      <c r="AW111" s="8"/>
      <c r="AX111" s="8"/>
      <c r="AY111" s="10"/>
      <c r="AZ111" s="20"/>
      <c r="BA111" s="8"/>
      <c r="BB111" s="10"/>
    </row>
    <row r="112" ht="15.75" customHeight="1">
      <c r="A112" s="39" t="s">
        <v>359</v>
      </c>
      <c r="B112" s="36">
        <f t="shared" si="1"/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10"/>
      <c r="AT112" s="8"/>
      <c r="AU112" s="8"/>
      <c r="AV112" s="10"/>
      <c r="AW112" s="8"/>
      <c r="AX112" s="8"/>
      <c r="AY112" s="10"/>
      <c r="AZ112" s="20"/>
      <c r="BA112" s="8"/>
      <c r="BB112" s="10"/>
    </row>
    <row r="113" ht="15.75" customHeight="1">
      <c r="A113" s="39" t="s">
        <v>223</v>
      </c>
      <c r="B113" s="36">
        <f t="shared" si="1"/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10"/>
      <c r="AT113" s="8"/>
      <c r="AU113" s="8"/>
      <c r="AV113" s="10"/>
      <c r="AW113" s="8"/>
      <c r="AX113" s="8"/>
      <c r="AY113" s="10"/>
      <c r="AZ113" s="8"/>
      <c r="BA113" s="20"/>
      <c r="BB113" s="10"/>
    </row>
    <row r="114" ht="15.75" customHeight="1">
      <c r="A114" s="39" t="s">
        <v>360</v>
      </c>
      <c r="B114" s="36">
        <f t="shared" si="1"/>
        <v>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10"/>
      <c r="AT114" s="8"/>
      <c r="AU114" s="8"/>
      <c r="AV114" s="10"/>
      <c r="AW114" s="8"/>
      <c r="AX114" s="8"/>
      <c r="AY114" s="10"/>
      <c r="AZ114" s="8"/>
      <c r="BA114" s="8"/>
      <c r="BB114" s="37"/>
    </row>
    <row r="115" ht="15.75" customHeight="1">
      <c r="A115" s="39" t="s">
        <v>234</v>
      </c>
      <c r="B115" s="36">
        <f t="shared" si="1"/>
        <v>3.75</v>
      </c>
      <c r="C115" s="8"/>
      <c r="D115" s="8"/>
      <c r="E115" s="8"/>
      <c r="F115" s="8"/>
      <c r="G115" s="8"/>
      <c r="H115" s="8"/>
      <c r="I115" s="8"/>
      <c r="J115" s="8"/>
      <c r="K115" s="21">
        <v>2.25</v>
      </c>
      <c r="L115" s="8"/>
      <c r="M115" s="8"/>
      <c r="N115" s="8"/>
      <c r="O115" s="20">
        <v>1.5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10"/>
      <c r="AT115" s="8"/>
      <c r="AU115" s="8"/>
      <c r="AV115" s="10"/>
      <c r="AW115" s="8"/>
      <c r="AX115" s="8"/>
      <c r="AY115" s="10"/>
      <c r="AZ115" s="8"/>
      <c r="BA115" s="8"/>
      <c r="BB115" s="37"/>
    </row>
    <row r="116" ht="15.75" customHeight="1">
      <c r="A116" s="39" t="s">
        <v>361</v>
      </c>
      <c r="B116" s="36">
        <f t="shared" si="1"/>
        <v>2.25</v>
      </c>
      <c r="C116" s="8"/>
      <c r="D116" s="8"/>
      <c r="E116" s="8"/>
      <c r="F116" s="8"/>
      <c r="G116" s="8"/>
      <c r="H116" s="8"/>
      <c r="I116" s="8"/>
      <c r="J116" s="8"/>
      <c r="K116" s="21">
        <v>2.25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10"/>
      <c r="AT116" s="8"/>
      <c r="AU116" s="8"/>
      <c r="AV116" s="10"/>
      <c r="AW116" s="8"/>
      <c r="AX116" s="8"/>
      <c r="AY116" s="10"/>
      <c r="AZ116" s="8"/>
      <c r="BA116" s="8"/>
      <c r="BB116" s="37"/>
    </row>
    <row r="117" ht="15.75" customHeight="1">
      <c r="A117" s="39" t="s">
        <v>282</v>
      </c>
      <c r="B117" s="36">
        <f t="shared" si="1"/>
        <v>6.25</v>
      </c>
      <c r="C117" s="20">
        <v>1.75</v>
      </c>
      <c r="D117" s="8"/>
      <c r="E117" s="8"/>
      <c r="F117" s="8"/>
      <c r="G117" s="8"/>
      <c r="H117" s="20">
        <v>2.5</v>
      </c>
      <c r="I117" s="8"/>
      <c r="J117" s="20">
        <v>2.0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10"/>
      <c r="AT117" s="8"/>
      <c r="AU117" s="8"/>
      <c r="AV117" s="10"/>
      <c r="AW117" s="8"/>
      <c r="AX117" s="8"/>
      <c r="AY117" s="10"/>
      <c r="AZ117" s="8"/>
      <c r="BA117" s="8"/>
      <c r="BB117" s="10"/>
    </row>
    <row r="118" ht="15.75" customHeight="1">
      <c r="A118" s="39" t="s">
        <v>364</v>
      </c>
      <c r="B118" s="36">
        <f t="shared" si="1"/>
        <v>1.75</v>
      </c>
      <c r="C118" s="20">
        <v>1.75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10"/>
      <c r="AT118" s="8"/>
      <c r="AU118" s="8"/>
      <c r="AV118" s="10"/>
      <c r="AW118" s="8"/>
      <c r="AX118" s="8"/>
      <c r="AY118" s="10"/>
      <c r="AZ118" s="8"/>
      <c r="BA118" s="8"/>
      <c r="BB118" s="10"/>
    </row>
    <row r="119" ht="15.75" customHeight="1">
      <c r="A119" s="39" t="s">
        <v>476</v>
      </c>
      <c r="B119" s="36">
        <f t="shared" si="1"/>
        <v>9.25</v>
      </c>
      <c r="C119" s="20">
        <v>2.0</v>
      </c>
      <c r="D119" s="8"/>
      <c r="E119" s="21">
        <v>2.25</v>
      </c>
      <c r="F119" s="21">
        <v>2.75</v>
      </c>
      <c r="G119" s="8"/>
      <c r="H119" s="8"/>
      <c r="I119" s="8"/>
      <c r="J119" s="8"/>
      <c r="K119" s="21">
        <v>2.25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10"/>
      <c r="AT119" s="8"/>
      <c r="AU119" s="8"/>
      <c r="AV119" s="10"/>
      <c r="AW119" s="8"/>
      <c r="AX119" s="8"/>
      <c r="AY119" s="10"/>
      <c r="AZ119" s="8"/>
      <c r="BA119" s="8"/>
      <c r="BB119" s="10"/>
    </row>
    <row r="120" ht="15.75" customHeight="1">
      <c r="A120" s="39" t="s">
        <v>477</v>
      </c>
      <c r="B120" s="36">
        <f t="shared" si="1"/>
        <v>2</v>
      </c>
      <c r="C120" s="20">
        <v>2.0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10"/>
      <c r="AT120" s="8"/>
      <c r="AU120" s="8"/>
      <c r="AV120" s="10"/>
      <c r="AW120" s="8"/>
      <c r="AX120" s="8"/>
      <c r="AY120" s="10"/>
      <c r="AZ120" s="8"/>
      <c r="BA120" s="8"/>
      <c r="BB120" s="10"/>
    </row>
    <row r="121" ht="15.75" customHeight="1">
      <c r="A121" s="39" t="s">
        <v>147</v>
      </c>
      <c r="B121" s="36">
        <f t="shared" si="1"/>
        <v>21.25</v>
      </c>
      <c r="C121" s="20">
        <v>2.5</v>
      </c>
      <c r="D121" s="8"/>
      <c r="E121" s="21">
        <v>2.25</v>
      </c>
      <c r="F121" s="21">
        <v>2.75</v>
      </c>
      <c r="G121" s="8"/>
      <c r="H121" s="20">
        <v>2.5</v>
      </c>
      <c r="I121" s="8"/>
      <c r="J121" s="8"/>
      <c r="K121" s="21">
        <v>2.5</v>
      </c>
      <c r="L121" s="20">
        <v>2.25</v>
      </c>
      <c r="M121" s="20">
        <v>2.5</v>
      </c>
      <c r="N121" s="20">
        <v>2.0</v>
      </c>
      <c r="O121" s="20">
        <v>2.0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10"/>
      <c r="AT121" s="8"/>
      <c r="AU121" s="8"/>
      <c r="AV121" s="10"/>
      <c r="AW121" s="8"/>
      <c r="AX121" s="8"/>
      <c r="AY121" s="10"/>
      <c r="AZ121" s="8"/>
      <c r="BA121" s="8"/>
      <c r="BB121" s="10"/>
    </row>
    <row r="122" ht="15.75" customHeight="1">
      <c r="A122" s="39" t="s">
        <v>60</v>
      </c>
      <c r="B122" s="36">
        <f t="shared" si="1"/>
        <v>2</v>
      </c>
      <c r="C122" s="20">
        <v>2.0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10"/>
      <c r="AT122" s="8"/>
      <c r="AU122" s="8"/>
      <c r="AV122" s="10"/>
      <c r="AW122" s="8"/>
      <c r="AX122" s="8"/>
      <c r="AY122" s="10"/>
      <c r="AZ122" s="8"/>
      <c r="BA122" s="8"/>
      <c r="BB122" s="10"/>
    </row>
    <row r="123" ht="15.75" customHeight="1">
      <c r="A123" s="39" t="s">
        <v>82</v>
      </c>
      <c r="B123" s="36">
        <f t="shared" si="1"/>
        <v>2.5</v>
      </c>
      <c r="C123" s="8"/>
      <c r="D123" s="20">
        <v>2.5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10"/>
      <c r="AT123" s="8"/>
      <c r="AU123" s="8"/>
      <c r="AV123" s="10"/>
      <c r="AW123" s="8"/>
      <c r="AX123" s="8"/>
      <c r="AY123" s="10"/>
      <c r="AZ123" s="8"/>
      <c r="BA123" s="8"/>
      <c r="BB123" s="10"/>
    </row>
    <row r="124" ht="15.75" customHeight="1">
      <c r="A124" s="39" t="s">
        <v>51</v>
      </c>
      <c r="B124" s="36">
        <f t="shared" si="1"/>
        <v>2.25</v>
      </c>
      <c r="C124" s="8"/>
      <c r="D124" s="20">
        <v>1.0</v>
      </c>
      <c r="E124" s="21">
        <v>1.25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10"/>
      <c r="AT124" s="8"/>
      <c r="AU124" s="8"/>
      <c r="AV124" s="10"/>
      <c r="AW124" s="8"/>
      <c r="AX124" s="8"/>
      <c r="AY124" s="10"/>
      <c r="AZ124" s="8"/>
      <c r="BA124" s="8"/>
      <c r="BB124" s="10"/>
    </row>
    <row r="125" ht="15.75" customHeight="1">
      <c r="A125" s="39" t="s">
        <v>478</v>
      </c>
      <c r="B125" s="36">
        <f t="shared" si="1"/>
        <v>2.5</v>
      </c>
      <c r="C125" s="8"/>
      <c r="D125" s="20">
        <v>2.5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10"/>
      <c r="AT125" s="8"/>
      <c r="AU125" s="8"/>
      <c r="AV125" s="10"/>
      <c r="AW125" s="8"/>
      <c r="AX125" s="8"/>
      <c r="AY125" s="10"/>
      <c r="AZ125" s="8"/>
      <c r="BA125" s="8"/>
      <c r="BB125" s="10"/>
    </row>
    <row r="126" ht="15.75" customHeight="1">
      <c r="A126" s="40" t="s">
        <v>479</v>
      </c>
      <c r="B126" s="36">
        <f t="shared" si="1"/>
        <v>2.25</v>
      </c>
      <c r="C126" s="8"/>
      <c r="D126" s="8"/>
      <c r="E126" s="21">
        <v>2.25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10"/>
      <c r="AT126" s="8"/>
      <c r="AU126" s="8"/>
      <c r="AV126" s="10"/>
      <c r="AW126" s="8"/>
      <c r="AX126" s="8"/>
      <c r="AY126" s="10"/>
      <c r="AZ126" s="8"/>
      <c r="BA126" s="8"/>
      <c r="BB126" s="10"/>
    </row>
    <row r="127" ht="15.75" customHeight="1">
      <c r="A127" s="40" t="s">
        <v>192</v>
      </c>
      <c r="B127" s="36">
        <f t="shared" si="1"/>
        <v>3.5</v>
      </c>
      <c r="C127" s="8"/>
      <c r="D127" s="8"/>
      <c r="E127" s="21">
        <v>2.25</v>
      </c>
      <c r="F127" s="8"/>
      <c r="G127" s="20">
        <v>1.25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10"/>
      <c r="AT127" s="8"/>
      <c r="AU127" s="8"/>
      <c r="AV127" s="10"/>
      <c r="AW127" s="8"/>
      <c r="AX127" s="8"/>
      <c r="AY127" s="10"/>
      <c r="AZ127" s="8"/>
      <c r="BA127" s="8"/>
      <c r="BB127" s="10"/>
    </row>
    <row r="128" ht="15.75" customHeight="1">
      <c r="A128" s="40" t="s">
        <v>250</v>
      </c>
      <c r="B128" s="36">
        <f t="shared" si="1"/>
        <v>10.25</v>
      </c>
      <c r="C128" s="8"/>
      <c r="D128" s="8"/>
      <c r="E128" s="21">
        <v>2.25</v>
      </c>
      <c r="F128" s="8"/>
      <c r="G128" s="20">
        <v>3.0</v>
      </c>
      <c r="H128" s="20">
        <v>2.25</v>
      </c>
      <c r="I128" s="20">
        <v>2.75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10"/>
      <c r="AT128" s="8"/>
      <c r="AU128" s="8"/>
      <c r="AV128" s="10"/>
      <c r="AW128" s="8"/>
      <c r="AX128" s="8"/>
      <c r="AY128" s="10"/>
      <c r="AZ128" s="8"/>
      <c r="BA128" s="8"/>
      <c r="BB128" s="10"/>
    </row>
    <row r="129" ht="15.75" customHeight="1">
      <c r="A129" s="40" t="s">
        <v>368</v>
      </c>
      <c r="B129" s="36">
        <f t="shared" si="1"/>
        <v>2.75</v>
      </c>
      <c r="C129" s="8"/>
      <c r="D129" s="8"/>
      <c r="E129" s="8"/>
      <c r="F129" s="21">
        <v>2.75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10"/>
      <c r="AT129" s="8"/>
      <c r="AU129" s="8"/>
      <c r="AV129" s="10"/>
      <c r="AW129" s="8"/>
      <c r="AX129" s="8"/>
      <c r="AY129" s="10"/>
      <c r="AZ129" s="8"/>
      <c r="BA129" s="8"/>
      <c r="BB129" s="10"/>
    </row>
    <row r="130" ht="15.75" customHeight="1">
      <c r="A130" s="40" t="s">
        <v>151</v>
      </c>
      <c r="B130" s="36">
        <f t="shared" si="1"/>
        <v>5.25</v>
      </c>
      <c r="C130" s="8"/>
      <c r="D130" s="8"/>
      <c r="E130" s="8"/>
      <c r="F130" s="21">
        <v>2.75</v>
      </c>
      <c r="G130" s="8"/>
      <c r="H130" s="20">
        <v>2.5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10"/>
      <c r="AT130" s="8"/>
      <c r="AU130" s="8"/>
      <c r="AV130" s="10"/>
      <c r="AW130" s="8"/>
      <c r="AX130" s="8"/>
      <c r="AY130" s="10"/>
      <c r="AZ130" s="8"/>
      <c r="BA130" s="8"/>
      <c r="BB130" s="10"/>
    </row>
    <row r="131" ht="15.75" customHeight="1">
      <c r="A131" s="40" t="s">
        <v>480</v>
      </c>
      <c r="B131" s="36">
        <f t="shared" si="1"/>
        <v>4.75</v>
      </c>
      <c r="C131" s="8"/>
      <c r="D131" s="8"/>
      <c r="E131" s="8"/>
      <c r="F131" s="21">
        <v>2.75</v>
      </c>
      <c r="G131" s="8"/>
      <c r="H131" s="8"/>
      <c r="I131" s="20"/>
      <c r="J131" s="20">
        <v>2.0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10"/>
      <c r="AT131" s="8"/>
      <c r="AU131" s="8"/>
      <c r="AV131" s="10"/>
      <c r="AW131" s="8"/>
      <c r="AX131" s="8"/>
      <c r="AY131" s="10"/>
      <c r="AZ131" s="8"/>
      <c r="BA131" s="8"/>
      <c r="BB131" s="10"/>
    </row>
    <row r="132" ht="15.75" customHeight="1">
      <c r="A132" s="39" t="s">
        <v>389</v>
      </c>
      <c r="B132" s="36">
        <f t="shared" si="1"/>
        <v>10</v>
      </c>
      <c r="C132" s="8"/>
      <c r="D132" s="8"/>
      <c r="E132" s="8"/>
      <c r="F132" s="21">
        <v>2.75</v>
      </c>
      <c r="G132" s="8"/>
      <c r="H132" s="20">
        <v>2.5</v>
      </c>
      <c r="I132" s="20">
        <v>2.5</v>
      </c>
      <c r="J132" s="8"/>
      <c r="K132" s="8"/>
      <c r="L132" s="8"/>
      <c r="M132" s="8"/>
      <c r="N132" s="8"/>
      <c r="O132" s="20">
        <v>2.25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10"/>
      <c r="AT132" s="8"/>
      <c r="AU132" s="8"/>
      <c r="AV132" s="10"/>
      <c r="AW132" s="8"/>
      <c r="AX132" s="8"/>
      <c r="AY132" s="10"/>
      <c r="AZ132" s="8"/>
      <c r="BA132" s="8"/>
      <c r="BB132" s="10"/>
    </row>
    <row r="133" ht="15.75" customHeight="1">
      <c r="A133" s="40" t="s">
        <v>481</v>
      </c>
      <c r="B133" s="36">
        <f t="shared" si="1"/>
        <v>2.75</v>
      </c>
      <c r="C133" s="8"/>
      <c r="D133" s="8"/>
      <c r="E133" s="8"/>
      <c r="F133" s="21">
        <v>2.75</v>
      </c>
      <c r="G133" s="2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10"/>
      <c r="AT133" s="8"/>
      <c r="AU133" s="8"/>
      <c r="AV133" s="10"/>
      <c r="AW133" s="8"/>
      <c r="AX133" s="8"/>
      <c r="AY133" s="10"/>
      <c r="AZ133" s="8"/>
      <c r="BA133" s="8"/>
      <c r="BB133" s="10"/>
    </row>
    <row r="134" ht="15.75" customHeight="1">
      <c r="A134" s="39" t="s">
        <v>482</v>
      </c>
      <c r="B134" s="36">
        <f t="shared" si="1"/>
        <v>3</v>
      </c>
      <c r="C134" s="8"/>
      <c r="D134" s="8"/>
      <c r="E134" s="8"/>
      <c r="F134" s="8"/>
      <c r="G134" s="20">
        <v>3.0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10"/>
      <c r="AT134" s="8"/>
      <c r="AU134" s="8"/>
      <c r="AV134" s="10"/>
      <c r="AW134" s="8"/>
      <c r="AX134" s="8"/>
      <c r="AY134" s="10"/>
      <c r="AZ134" s="8"/>
      <c r="BA134" s="8"/>
      <c r="BB134" s="10"/>
    </row>
    <row r="135" ht="15.75" customHeight="1">
      <c r="A135" s="39" t="s">
        <v>483</v>
      </c>
      <c r="B135" s="36">
        <f t="shared" si="1"/>
        <v>3.25</v>
      </c>
      <c r="C135" s="8"/>
      <c r="D135" s="8"/>
      <c r="E135" s="8"/>
      <c r="F135" s="8"/>
      <c r="G135" s="20">
        <v>3.25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10"/>
      <c r="AT135" s="8"/>
      <c r="AU135" s="8"/>
      <c r="AV135" s="10"/>
      <c r="AW135" s="8"/>
      <c r="AX135" s="8"/>
      <c r="AY135" s="10"/>
      <c r="AZ135" s="8"/>
      <c r="BA135" s="8"/>
      <c r="BB135" s="10"/>
    </row>
    <row r="136" ht="15.75" customHeight="1">
      <c r="A136" s="39" t="s">
        <v>484</v>
      </c>
      <c r="B136" s="36">
        <f t="shared" si="1"/>
        <v>2.5</v>
      </c>
      <c r="C136" s="8"/>
      <c r="D136" s="8"/>
      <c r="E136" s="8"/>
      <c r="F136" s="8"/>
      <c r="G136" s="8"/>
      <c r="H136" s="20">
        <v>2.5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10"/>
      <c r="AT136" s="8"/>
      <c r="AU136" s="8"/>
      <c r="AV136" s="10"/>
      <c r="AW136" s="8"/>
      <c r="AX136" s="8"/>
      <c r="AY136" s="10"/>
      <c r="AZ136" s="8"/>
      <c r="BA136" s="8"/>
      <c r="BB136" s="10"/>
    </row>
    <row r="137" ht="15.75" customHeight="1">
      <c r="A137" s="39" t="s">
        <v>392</v>
      </c>
      <c r="B137" s="36">
        <f t="shared" si="1"/>
        <v>2.25</v>
      </c>
      <c r="C137" s="8"/>
      <c r="D137" s="8"/>
      <c r="E137" s="8"/>
      <c r="F137" s="8"/>
      <c r="G137" s="8"/>
      <c r="H137" s="20">
        <v>2.25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10"/>
      <c r="AT137" s="8"/>
      <c r="AU137" s="8"/>
      <c r="AV137" s="10"/>
      <c r="AW137" s="8"/>
      <c r="AX137" s="8"/>
      <c r="AY137" s="10"/>
      <c r="AZ137" s="8"/>
      <c r="BA137" s="8"/>
      <c r="BB137" s="10"/>
    </row>
    <row r="138" ht="15.75" customHeight="1">
      <c r="A138" s="39" t="s">
        <v>485</v>
      </c>
      <c r="B138" s="36">
        <f t="shared" si="1"/>
        <v>2.25</v>
      </c>
      <c r="C138" s="8"/>
      <c r="D138" s="8"/>
      <c r="E138" s="8"/>
      <c r="F138" s="8"/>
      <c r="G138" s="8"/>
      <c r="H138" s="20">
        <v>2.25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10"/>
      <c r="AT138" s="8"/>
      <c r="AU138" s="8"/>
      <c r="AV138" s="10"/>
      <c r="AW138" s="8"/>
      <c r="AX138" s="8"/>
      <c r="AY138" s="10"/>
      <c r="AZ138" s="8"/>
      <c r="BA138" s="8"/>
      <c r="BB138" s="10"/>
    </row>
    <row r="139" ht="15.75" customHeight="1">
      <c r="A139" s="39" t="s">
        <v>179</v>
      </c>
      <c r="B139" s="36">
        <f t="shared" si="1"/>
        <v>2</v>
      </c>
      <c r="C139" s="8"/>
      <c r="D139" s="8"/>
      <c r="E139" s="8"/>
      <c r="F139" s="8"/>
      <c r="G139" s="8"/>
      <c r="H139" s="8"/>
      <c r="I139" s="8"/>
      <c r="J139" s="20">
        <v>2.0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10"/>
      <c r="AT139" s="8"/>
      <c r="AU139" s="8"/>
      <c r="AV139" s="10"/>
      <c r="AW139" s="8"/>
      <c r="AX139" s="8"/>
      <c r="AY139" s="10"/>
      <c r="AZ139" s="8"/>
      <c r="BA139" s="8"/>
      <c r="BB139" s="10"/>
    </row>
    <row r="140" ht="15.75" customHeight="1">
      <c r="A140" s="39" t="s">
        <v>430</v>
      </c>
      <c r="B140" s="36">
        <f t="shared" si="1"/>
        <v>4.25</v>
      </c>
      <c r="C140" s="8"/>
      <c r="D140" s="8"/>
      <c r="E140" s="8"/>
      <c r="F140" s="8"/>
      <c r="G140" s="8"/>
      <c r="H140" s="8"/>
      <c r="I140" s="8"/>
      <c r="J140" s="20">
        <v>2.0</v>
      </c>
      <c r="K140" s="8"/>
      <c r="L140" s="20">
        <v>2.25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10"/>
      <c r="AT140" s="8"/>
      <c r="AU140" s="8"/>
      <c r="AV140" s="10"/>
      <c r="AW140" s="8"/>
      <c r="AX140" s="8"/>
      <c r="AY140" s="10"/>
      <c r="AZ140" s="8"/>
      <c r="BA140" s="8"/>
      <c r="BB140" s="10"/>
    </row>
    <row r="141" ht="15.75" customHeight="1">
      <c r="A141" s="39" t="s">
        <v>486</v>
      </c>
      <c r="B141" s="36">
        <f t="shared" si="1"/>
        <v>2</v>
      </c>
      <c r="C141" s="8"/>
      <c r="D141" s="8"/>
      <c r="E141" s="8"/>
      <c r="F141" s="8"/>
      <c r="G141" s="8"/>
      <c r="H141" s="8"/>
      <c r="I141" s="8"/>
      <c r="J141" s="20">
        <v>2.0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10"/>
      <c r="AT141" s="8"/>
      <c r="AU141" s="8"/>
      <c r="AV141" s="10"/>
      <c r="AW141" s="8"/>
      <c r="AX141" s="8"/>
      <c r="AY141" s="10"/>
      <c r="AZ141" s="8"/>
      <c r="BA141" s="8"/>
      <c r="BB141" s="10"/>
    </row>
    <row r="142" ht="15.75" customHeight="1">
      <c r="A142" s="39" t="s">
        <v>487</v>
      </c>
      <c r="B142" s="36">
        <f t="shared" si="1"/>
        <v>2</v>
      </c>
      <c r="C142" s="8"/>
      <c r="D142" s="8"/>
      <c r="E142" s="8"/>
      <c r="F142" s="8"/>
      <c r="G142" s="8"/>
      <c r="H142" s="8"/>
      <c r="I142" s="8"/>
      <c r="J142" s="20">
        <v>2.0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10"/>
      <c r="AT142" s="8"/>
      <c r="AU142" s="8"/>
      <c r="AV142" s="10"/>
      <c r="AW142" s="8"/>
      <c r="AX142" s="8"/>
      <c r="AY142" s="10"/>
      <c r="AZ142" s="8"/>
      <c r="BA142" s="8"/>
      <c r="BB142" s="10"/>
    </row>
    <row r="143" ht="15.75" customHeight="1">
      <c r="A143" s="39" t="s">
        <v>407</v>
      </c>
      <c r="B143" s="36">
        <f t="shared" si="1"/>
        <v>2</v>
      </c>
      <c r="C143" s="8"/>
      <c r="D143" s="8"/>
      <c r="E143" s="8"/>
      <c r="F143" s="8"/>
      <c r="G143" s="8"/>
      <c r="H143" s="8"/>
      <c r="I143" s="8"/>
      <c r="J143" s="20">
        <v>2.0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10"/>
      <c r="AT143" s="8"/>
      <c r="AU143" s="8"/>
      <c r="AV143" s="10"/>
      <c r="AW143" s="8"/>
      <c r="AX143" s="8"/>
      <c r="AY143" s="10"/>
      <c r="AZ143" s="8"/>
      <c r="BA143" s="8"/>
      <c r="BB143" s="10"/>
    </row>
    <row r="144" ht="15.75" customHeight="1">
      <c r="A144" s="39" t="s">
        <v>462</v>
      </c>
      <c r="B144" s="36">
        <f t="shared" si="1"/>
        <v>2</v>
      </c>
      <c r="C144" s="8"/>
      <c r="D144" s="8"/>
      <c r="E144" s="8"/>
      <c r="F144" s="8"/>
      <c r="G144" s="8"/>
      <c r="H144" s="8"/>
      <c r="I144" s="8"/>
      <c r="J144" s="20">
        <v>2.0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10"/>
      <c r="AT144" s="8"/>
      <c r="AU144" s="8"/>
      <c r="AV144" s="10"/>
      <c r="AW144" s="8"/>
      <c r="AX144" s="8"/>
      <c r="AY144" s="10"/>
      <c r="AZ144" s="8"/>
      <c r="BA144" s="8"/>
      <c r="BB144" s="10"/>
    </row>
    <row r="145" ht="15.75" customHeight="1">
      <c r="A145" s="39" t="s">
        <v>397</v>
      </c>
      <c r="B145" s="36">
        <f t="shared" si="1"/>
        <v>6.5</v>
      </c>
      <c r="C145" s="8"/>
      <c r="D145" s="8"/>
      <c r="E145" s="8"/>
      <c r="F145" s="8"/>
      <c r="G145" s="8"/>
      <c r="H145" s="8"/>
      <c r="I145" s="8"/>
      <c r="J145" s="20">
        <v>2.0</v>
      </c>
      <c r="K145" s="8"/>
      <c r="L145" s="8"/>
      <c r="M145" s="20">
        <v>1.75</v>
      </c>
      <c r="N145" s="20">
        <v>1.5</v>
      </c>
      <c r="O145" s="20">
        <v>1.25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10"/>
      <c r="AT145" s="8"/>
      <c r="AU145" s="8"/>
      <c r="AV145" s="10"/>
      <c r="AW145" s="8"/>
      <c r="AX145" s="8"/>
      <c r="AY145" s="10"/>
      <c r="AZ145" s="8"/>
      <c r="BA145" s="8"/>
      <c r="BB145" s="10"/>
    </row>
    <row r="146" ht="15.75" customHeight="1">
      <c r="A146" s="40" t="s">
        <v>457</v>
      </c>
      <c r="B146" s="36">
        <f t="shared" si="1"/>
        <v>4.5</v>
      </c>
      <c r="C146" s="8"/>
      <c r="D146" s="8"/>
      <c r="E146" s="8"/>
      <c r="F146" s="8"/>
      <c r="G146" s="8"/>
      <c r="H146" s="8"/>
      <c r="I146" s="8"/>
      <c r="J146" s="8"/>
      <c r="K146" s="21">
        <v>2.0</v>
      </c>
      <c r="L146" s="8"/>
      <c r="M146" s="8"/>
      <c r="N146" s="20">
        <v>2.5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10"/>
      <c r="AT146" s="8"/>
      <c r="AU146" s="8"/>
      <c r="AV146" s="10"/>
      <c r="AW146" s="8"/>
      <c r="AX146" s="8"/>
      <c r="AY146" s="10"/>
      <c r="AZ146" s="8"/>
      <c r="BA146" s="8"/>
      <c r="BB146" s="10"/>
    </row>
    <row r="147" ht="15.75" customHeight="1">
      <c r="A147" s="40" t="s">
        <v>218</v>
      </c>
      <c r="B147" s="36">
        <f t="shared" si="1"/>
        <v>2.5</v>
      </c>
      <c r="C147" s="8"/>
      <c r="D147" s="8"/>
      <c r="E147" s="8"/>
      <c r="F147" s="8"/>
      <c r="G147" s="8"/>
      <c r="H147" s="8"/>
      <c r="I147" s="8"/>
      <c r="J147" s="8"/>
      <c r="K147" s="21">
        <v>2.5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10"/>
      <c r="AT147" s="8"/>
      <c r="AU147" s="8"/>
      <c r="AV147" s="10"/>
      <c r="AW147" s="8"/>
      <c r="AX147" s="8"/>
      <c r="AY147" s="10"/>
      <c r="AZ147" s="8"/>
      <c r="BA147" s="8"/>
      <c r="BB147" s="10"/>
    </row>
    <row r="148" ht="15.75" customHeight="1">
      <c r="A148" s="39" t="s">
        <v>488</v>
      </c>
      <c r="B148" s="36">
        <f t="shared" si="1"/>
        <v>2.25</v>
      </c>
      <c r="C148" s="8"/>
      <c r="D148" s="8"/>
      <c r="E148" s="8"/>
      <c r="F148" s="8"/>
      <c r="G148" s="8"/>
      <c r="H148" s="8"/>
      <c r="I148" s="8"/>
      <c r="J148" s="8"/>
      <c r="K148" s="8"/>
      <c r="L148" s="20">
        <v>2.25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10"/>
      <c r="AT148" s="8"/>
      <c r="AU148" s="8"/>
      <c r="AV148" s="10"/>
      <c r="AW148" s="8"/>
      <c r="AX148" s="8"/>
      <c r="AY148" s="10"/>
      <c r="AZ148" s="8"/>
      <c r="BA148" s="8"/>
      <c r="BB148" s="10"/>
    </row>
    <row r="149" ht="15.75" customHeight="1">
      <c r="A149" s="39" t="s">
        <v>431</v>
      </c>
      <c r="B149" s="36">
        <f t="shared" si="1"/>
        <v>3</v>
      </c>
      <c r="C149" s="8"/>
      <c r="D149" s="8"/>
      <c r="E149" s="8"/>
      <c r="F149" s="8"/>
      <c r="G149" s="8"/>
      <c r="H149" s="8"/>
      <c r="I149" s="8"/>
      <c r="J149" s="8"/>
      <c r="K149" s="8"/>
      <c r="L149" s="20">
        <v>3.0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10"/>
      <c r="AT149" s="8"/>
      <c r="AU149" s="8"/>
      <c r="AV149" s="10"/>
      <c r="AW149" s="8"/>
      <c r="AX149" s="8"/>
      <c r="AY149" s="10"/>
      <c r="AZ149" s="8"/>
      <c r="BA149" s="8"/>
      <c r="BB149" s="10"/>
    </row>
    <row r="150" ht="15.75" customHeight="1">
      <c r="A150" s="39" t="s">
        <v>489</v>
      </c>
      <c r="B150" s="36">
        <f t="shared" si="1"/>
        <v>2.25</v>
      </c>
      <c r="C150" s="8"/>
      <c r="D150" s="8"/>
      <c r="E150" s="8"/>
      <c r="F150" s="8"/>
      <c r="G150" s="8"/>
      <c r="H150" s="8"/>
      <c r="I150" s="8"/>
      <c r="J150" s="8"/>
      <c r="K150" s="8"/>
      <c r="L150" s="20">
        <v>2.25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10"/>
      <c r="AT150" s="8"/>
      <c r="AU150" s="8"/>
      <c r="AV150" s="10"/>
      <c r="AW150" s="8"/>
      <c r="AX150" s="8"/>
      <c r="AY150" s="10"/>
      <c r="AZ150" s="8"/>
      <c r="BA150" s="8"/>
      <c r="BB150" s="10"/>
    </row>
    <row r="151" ht="15.75" customHeight="1">
      <c r="A151" s="39" t="s">
        <v>385</v>
      </c>
      <c r="B151" s="36">
        <f t="shared" si="1"/>
        <v>2</v>
      </c>
      <c r="C151" s="8"/>
      <c r="D151" s="8"/>
      <c r="E151" s="8"/>
      <c r="F151" s="8"/>
      <c r="G151" s="8"/>
      <c r="H151" s="8"/>
      <c r="I151" s="8"/>
      <c r="J151" s="8"/>
      <c r="K151" s="8"/>
      <c r="L151" s="20">
        <v>2.0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10"/>
      <c r="AT151" s="8"/>
      <c r="AU151" s="8"/>
      <c r="AV151" s="10"/>
      <c r="AW151" s="8"/>
      <c r="AX151" s="8"/>
      <c r="AY151" s="10"/>
      <c r="AZ151" s="8"/>
      <c r="BA151" s="8"/>
      <c r="BB151" s="10"/>
    </row>
    <row r="152" ht="15.75" customHeight="1">
      <c r="A152" s="39" t="s">
        <v>41</v>
      </c>
      <c r="B152" s="36">
        <f t="shared" si="1"/>
        <v>2.25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20">
        <v>2.25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10"/>
      <c r="AT152" s="8"/>
      <c r="AU152" s="8"/>
      <c r="AV152" s="10"/>
      <c r="AW152" s="8"/>
      <c r="AX152" s="8"/>
      <c r="AY152" s="10"/>
      <c r="AZ152" s="8"/>
      <c r="BA152" s="8"/>
      <c r="BB152" s="10"/>
    </row>
    <row r="153" ht="15.75" customHeight="1">
      <c r="A153" s="39" t="s">
        <v>490</v>
      </c>
      <c r="B153" s="36">
        <f t="shared" si="1"/>
        <v>2.5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20">
        <v>2.5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10"/>
      <c r="AT153" s="8"/>
      <c r="AU153" s="8"/>
      <c r="AV153" s="10"/>
      <c r="AW153" s="8"/>
      <c r="AX153" s="8"/>
      <c r="AY153" s="10"/>
      <c r="AZ153" s="8"/>
      <c r="BA153" s="8"/>
      <c r="BB153" s="10"/>
    </row>
    <row r="154" ht="15.75" customHeight="1">
      <c r="A154" s="39" t="s">
        <v>491</v>
      </c>
      <c r="B154" s="36">
        <f t="shared" si="1"/>
        <v>2.25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20">
        <v>2.25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10"/>
      <c r="AT154" s="8"/>
      <c r="AU154" s="8"/>
      <c r="AV154" s="10"/>
      <c r="AW154" s="8"/>
      <c r="AX154" s="8"/>
      <c r="AY154" s="10"/>
      <c r="AZ154" s="8"/>
      <c r="BA154" s="8"/>
      <c r="BB154" s="10"/>
    </row>
    <row r="155" ht="15.75" customHeight="1">
      <c r="A155" s="39" t="s">
        <v>396</v>
      </c>
      <c r="B155" s="36">
        <f t="shared" si="1"/>
        <v>4.5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20">
        <v>1.75</v>
      </c>
      <c r="N155" s="20">
        <v>1.5</v>
      </c>
      <c r="O155" s="20">
        <v>1.25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10"/>
      <c r="AT155" s="8"/>
      <c r="AU155" s="8"/>
      <c r="AV155" s="10"/>
      <c r="AW155" s="8"/>
      <c r="AX155" s="8"/>
      <c r="AY155" s="10"/>
      <c r="AZ155" s="8"/>
      <c r="BA155" s="8"/>
      <c r="BB155" s="10"/>
    </row>
    <row r="156" ht="15.75" customHeight="1">
      <c r="A156" s="39" t="s">
        <v>492</v>
      </c>
      <c r="B156" s="36">
        <f t="shared" si="1"/>
        <v>2.5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20">
        <v>2.5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10"/>
      <c r="AT156" s="8"/>
      <c r="AU156" s="8"/>
      <c r="AV156" s="10"/>
      <c r="AW156" s="8"/>
      <c r="AX156" s="8"/>
      <c r="AY156" s="10"/>
      <c r="AZ156" s="8"/>
      <c r="BA156" s="8"/>
      <c r="BB156" s="10"/>
    </row>
    <row r="157" ht="15.75" customHeight="1">
      <c r="A157" s="39" t="s">
        <v>493</v>
      </c>
      <c r="B157" s="36">
        <f t="shared" si="1"/>
        <v>2.5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20">
        <v>2.5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10"/>
      <c r="AT157" s="8"/>
      <c r="AU157" s="8"/>
      <c r="AV157" s="10"/>
      <c r="AW157" s="8"/>
      <c r="AX157" s="8"/>
      <c r="AY157" s="10"/>
      <c r="AZ157" s="8"/>
      <c r="BA157" s="8"/>
      <c r="BB157" s="10"/>
    </row>
    <row r="158" ht="15.75" customHeight="1">
      <c r="A158" s="39" t="s">
        <v>273</v>
      </c>
      <c r="B158" s="36">
        <f t="shared" si="1"/>
        <v>2.25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20">
        <v>2.25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10"/>
      <c r="AT158" s="8"/>
      <c r="AU158" s="8"/>
      <c r="AV158" s="10"/>
      <c r="AW158" s="8"/>
      <c r="AX158" s="8"/>
      <c r="AY158" s="10"/>
      <c r="AZ158" s="8"/>
      <c r="BA158" s="8"/>
      <c r="BB158" s="10"/>
    </row>
    <row r="159" ht="15.75" customHeight="1">
      <c r="A159" s="39" t="s">
        <v>494</v>
      </c>
      <c r="B159" s="36">
        <f t="shared" si="1"/>
        <v>2.5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20">
        <v>2.5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10"/>
      <c r="AT159" s="8"/>
      <c r="AU159" s="8"/>
      <c r="AV159" s="10"/>
      <c r="AW159" s="8"/>
      <c r="AX159" s="8"/>
      <c r="AY159" s="10"/>
      <c r="AZ159" s="8"/>
      <c r="BA159" s="8"/>
      <c r="BB159" s="10"/>
    </row>
    <row r="160" ht="15.75" customHeight="1">
      <c r="A160" s="39" t="s">
        <v>495</v>
      </c>
      <c r="B160" s="36">
        <f t="shared" si="1"/>
        <v>2.5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20">
        <v>2.5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10"/>
      <c r="AT160" s="8"/>
      <c r="AU160" s="8"/>
      <c r="AV160" s="10"/>
      <c r="AW160" s="8"/>
      <c r="AX160" s="8"/>
      <c r="AY160" s="10"/>
      <c r="AZ160" s="8"/>
      <c r="BA160" s="8"/>
      <c r="BB160" s="10"/>
    </row>
    <row r="161" ht="15.75" customHeight="1">
      <c r="A161" s="39" t="s">
        <v>496</v>
      </c>
      <c r="B161" s="36">
        <f t="shared" si="1"/>
        <v>2.5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20">
        <v>2.5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10"/>
      <c r="AT161" s="8"/>
      <c r="AU161" s="8"/>
      <c r="AV161" s="10"/>
      <c r="AW161" s="8"/>
      <c r="AX161" s="8"/>
      <c r="AY161" s="10"/>
      <c r="AZ161" s="8"/>
      <c r="BA161" s="8"/>
      <c r="BB161" s="10"/>
    </row>
    <row r="162" ht="15.75" customHeight="1">
      <c r="A162" s="39" t="s">
        <v>497</v>
      </c>
      <c r="B162" s="36">
        <f t="shared" si="1"/>
        <v>2.5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20">
        <v>2.5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10"/>
      <c r="AT162" s="8"/>
      <c r="AU162" s="8"/>
      <c r="AV162" s="10"/>
      <c r="AW162" s="8"/>
      <c r="AX162" s="8"/>
      <c r="AY162" s="10"/>
      <c r="AZ162" s="8"/>
      <c r="BA162" s="8"/>
      <c r="BB162" s="10"/>
    </row>
    <row r="163" ht="15.75" customHeight="1">
      <c r="A163" s="39" t="s">
        <v>498</v>
      </c>
      <c r="B163" s="36">
        <f t="shared" si="1"/>
        <v>2.5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20">
        <v>2.5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10"/>
      <c r="AT163" s="8"/>
      <c r="AU163" s="8"/>
      <c r="AV163" s="10"/>
      <c r="AW163" s="8"/>
      <c r="AX163" s="8"/>
      <c r="AY163" s="10"/>
      <c r="AZ163" s="8"/>
      <c r="BA163" s="8"/>
      <c r="BB163" s="10"/>
    </row>
    <row r="164" ht="15.75" customHeight="1">
      <c r="A164" s="39" t="s">
        <v>499</v>
      </c>
      <c r="B164" s="36">
        <f t="shared" si="1"/>
        <v>1.5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20">
        <v>1.5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10"/>
      <c r="AT164" s="8"/>
      <c r="AU164" s="8"/>
      <c r="AV164" s="10"/>
      <c r="AW164" s="8"/>
      <c r="AX164" s="8"/>
      <c r="AY164" s="10"/>
      <c r="AZ164" s="8"/>
      <c r="BA164" s="8"/>
      <c r="BB164" s="10"/>
    </row>
    <row r="165" ht="15.75" customHeight="1">
      <c r="A165" s="35"/>
      <c r="B165" s="36">
        <f t="shared" si="1"/>
        <v>0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10"/>
      <c r="AT165" s="8"/>
      <c r="AU165" s="8"/>
      <c r="AV165" s="10"/>
      <c r="AW165" s="8"/>
      <c r="AX165" s="8"/>
      <c r="AY165" s="10"/>
      <c r="AZ165" s="8"/>
      <c r="BA165" s="8"/>
      <c r="BB165" s="10"/>
    </row>
    <row r="166" ht="15.75" customHeight="1">
      <c r="A166" s="35"/>
      <c r="B166" s="36">
        <f t="shared" si="1"/>
        <v>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10"/>
      <c r="AT166" s="8"/>
      <c r="AU166" s="8"/>
      <c r="AV166" s="10"/>
      <c r="AW166" s="8"/>
      <c r="AX166" s="8"/>
      <c r="AY166" s="10"/>
      <c r="AZ166" s="8"/>
      <c r="BA166" s="8"/>
      <c r="BB166" s="10"/>
    </row>
    <row r="167" ht="15.75" customHeight="1">
      <c r="A167" s="35"/>
      <c r="B167" s="36">
        <f t="shared" si="1"/>
        <v>0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10"/>
      <c r="AT167" s="8"/>
      <c r="AU167" s="8"/>
      <c r="AV167" s="10"/>
      <c r="AW167" s="8"/>
      <c r="AX167" s="8"/>
      <c r="AY167" s="10"/>
      <c r="AZ167" s="8"/>
      <c r="BA167" s="8"/>
      <c r="BB167" s="10"/>
    </row>
    <row r="168" ht="15.75" customHeight="1">
      <c r="A168" s="35"/>
      <c r="B168" s="36">
        <f t="shared" si="1"/>
        <v>0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10"/>
      <c r="AT168" s="8"/>
      <c r="AU168" s="8"/>
      <c r="AV168" s="10"/>
      <c r="AW168" s="8"/>
      <c r="AX168" s="8"/>
      <c r="AY168" s="10"/>
      <c r="AZ168" s="8"/>
      <c r="BA168" s="8"/>
      <c r="BB168" s="10"/>
    </row>
    <row r="169" ht="15.75" customHeight="1">
      <c r="A169" s="35"/>
      <c r="B169" s="36">
        <f t="shared" si="1"/>
        <v>0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10"/>
      <c r="AT169" s="8"/>
      <c r="AU169" s="8"/>
      <c r="AV169" s="10"/>
      <c r="AW169" s="8"/>
      <c r="AX169" s="8"/>
      <c r="AY169" s="10"/>
      <c r="AZ169" s="8"/>
      <c r="BA169" s="8"/>
      <c r="BB169" s="10"/>
    </row>
    <row r="170" ht="15.75" customHeight="1">
      <c r="A170" s="35"/>
      <c r="B170" s="36">
        <f t="shared" si="1"/>
        <v>0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10"/>
      <c r="AT170" s="8"/>
      <c r="AU170" s="8"/>
      <c r="AV170" s="10"/>
      <c r="AW170" s="8"/>
      <c r="AX170" s="8"/>
      <c r="AY170" s="10"/>
      <c r="AZ170" s="8"/>
      <c r="BA170" s="8"/>
      <c r="BB170" s="10"/>
    </row>
    <row r="171" ht="15.75" customHeight="1">
      <c r="A171" s="35"/>
      <c r="B171" s="36">
        <f t="shared" si="1"/>
        <v>0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10"/>
      <c r="AT171" s="8"/>
      <c r="AU171" s="8"/>
      <c r="AV171" s="10"/>
      <c r="AW171" s="8"/>
      <c r="AX171" s="8"/>
      <c r="AY171" s="10"/>
      <c r="AZ171" s="8"/>
      <c r="BA171" s="8"/>
      <c r="BB171" s="10"/>
    </row>
    <row r="172" ht="15.75" customHeight="1">
      <c r="A172" s="35"/>
      <c r="B172" s="36">
        <f t="shared" si="1"/>
        <v>0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10"/>
      <c r="AT172" s="8"/>
      <c r="AU172" s="8"/>
      <c r="AV172" s="10"/>
      <c r="AW172" s="8"/>
      <c r="AX172" s="8"/>
      <c r="AY172" s="10"/>
      <c r="AZ172" s="8"/>
      <c r="BA172" s="8"/>
      <c r="BB172" s="10"/>
    </row>
    <row r="173" ht="15.75" customHeight="1">
      <c r="A173" s="35"/>
      <c r="B173" s="36">
        <f t="shared" si="1"/>
        <v>0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10"/>
      <c r="AT173" s="8"/>
      <c r="AU173" s="8"/>
      <c r="AV173" s="10"/>
      <c r="AW173" s="8"/>
      <c r="AX173" s="8"/>
      <c r="AY173" s="10"/>
      <c r="AZ173" s="8"/>
      <c r="BA173" s="8"/>
      <c r="BB173" s="10"/>
    </row>
    <row r="174" ht="15.75" customHeight="1">
      <c r="A174" s="35"/>
      <c r="B174" s="36">
        <f t="shared" si="1"/>
        <v>0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10"/>
      <c r="AT174" s="8"/>
      <c r="AU174" s="8"/>
      <c r="AV174" s="10"/>
      <c r="AW174" s="8"/>
      <c r="AX174" s="8"/>
      <c r="AY174" s="10"/>
      <c r="AZ174" s="8"/>
      <c r="BA174" s="8"/>
      <c r="BB174" s="10"/>
    </row>
    <row r="175" ht="15.75" customHeight="1">
      <c r="A175" s="35"/>
      <c r="B175" s="36">
        <f t="shared" si="1"/>
        <v>0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10"/>
      <c r="AT175" s="8"/>
      <c r="AU175" s="8"/>
      <c r="AV175" s="10"/>
      <c r="AW175" s="8"/>
      <c r="AX175" s="8"/>
      <c r="AY175" s="10"/>
      <c r="AZ175" s="8"/>
      <c r="BA175" s="8"/>
      <c r="BB175" s="10"/>
    </row>
    <row r="176" ht="15.75" customHeight="1">
      <c r="A176" s="35"/>
      <c r="B176" s="36">
        <f t="shared" si="1"/>
        <v>0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10"/>
      <c r="AT176" s="8"/>
      <c r="AU176" s="8"/>
      <c r="AV176" s="10"/>
      <c r="AW176" s="8"/>
      <c r="AX176" s="8"/>
      <c r="AY176" s="10"/>
      <c r="AZ176" s="8"/>
      <c r="BA176" s="8"/>
      <c r="BB176" s="10"/>
    </row>
    <row r="177" ht="15.75" customHeight="1">
      <c r="A177" s="35"/>
      <c r="B177" s="36">
        <f t="shared" si="1"/>
        <v>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10"/>
      <c r="AT177" s="8"/>
      <c r="AU177" s="8"/>
      <c r="AV177" s="10"/>
      <c r="AW177" s="8"/>
      <c r="AX177" s="8"/>
      <c r="AY177" s="10"/>
      <c r="AZ177" s="8"/>
      <c r="BA177" s="8"/>
      <c r="BB177" s="10"/>
    </row>
    <row r="178" ht="15.75" customHeight="1">
      <c r="A178" s="35"/>
      <c r="B178" s="36">
        <f t="shared" si="1"/>
        <v>0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10"/>
      <c r="AT178" s="8"/>
      <c r="AU178" s="8"/>
      <c r="AV178" s="10"/>
      <c r="AW178" s="8"/>
      <c r="AX178" s="8"/>
      <c r="AY178" s="10"/>
      <c r="AZ178" s="8"/>
      <c r="BA178" s="8"/>
      <c r="BB178" s="10"/>
    </row>
    <row r="179" ht="15.75" customHeight="1">
      <c r="A179" s="35"/>
      <c r="B179" s="36">
        <f t="shared" si="1"/>
        <v>0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10"/>
      <c r="AT179" s="8"/>
      <c r="AU179" s="8"/>
      <c r="AV179" s="10"/>
      <c r="AW179" s="8"/>
      <c r="AX179" s="8"/>
      <c r="AY179" s="10"/>
      <c r="AZ179" s="8"/>
      <c r="BA179" s="8"/>
      <c r="BB179" s="10"/>
    </row>
    <row r="180" ht="15.75" customHeight="1">
      <c r="A180" s="35"/>
      <c r="B180" s="36">
        <f t="shared" si="1"/>
        <v>0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10"/>
      <c r="AT180" s="8"/>
      <c r="AU180" s="8"/>
      <c r="AV180" s="10"/>
      <c r="AW180" s="8"/>
      <c r="AX180" s="8"/>
      <c r="AY180" s="10"/>
      <c r="AZ180" s="8"/>
      <c r="BA180" s="8"/>
      <c r="BB180" s="10"/>
    </row>
    <row r="181" ht="15.75" customHeight="1">
      <c r="A181" s="35"/>
      <c r="B181" s="36">
        <f t="shared" si="1"/>
        <v>0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10"/>
      <c r="AT181" s="8"/>
      <c r="AU181" s="8"/>
      <c r="AV181" s="10"/>
      <c r="AW181" s="8"/>
      <c r="AX181" s="8"/>
      <c r="AY181" s="10"/>
      <c r="AZ181" s="8"/>
      <c r="BA181" s="8"/>
      <c r="BB181" s="10"/>
    </row>
    <row r="182" ht="15.75" customHeight="1">
      <c r="A182" s="35"/>
      <c r="B182" s="36">
        <f t="shared" si="1"/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10"/>
      <c r="AT182" s="8"/>
      <c r="AU182" s="8"/>
      <c r="AV182" s="10"/>
      <c r="AW182" s="8"/>
      <c r="AX182" s="8"/>
      <c r="AY182" s="10"/>
      <c r="AZ182" s="8"/>
      <c r="BA182" s="8"/>
      <c r="BB182" s="10"/>
    </row>
    <row r="183" ht="15.75" customHeight="1">
      <c r="A183" s="35"/>
      <c r="B183" s="36">
        <f t="shared" si="1"/>
        <v>0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10"/>
      <c r="AT183" s="8"/>
      <c r="AU183" s="8"/>
      <c r="AV183" s="10"/>
      <c r="AW183" s="8"/>
      <c r="AX183" s="8"/>
      <c r="AY183" s="10"/>
      <c r="AZ183" s="8"/>
      <c r="BA183" s="8"/>
      <c r="BB183" s="10"/>
    </row>
    <row r="184" ht="15.75" customHeight="1">
      <c r="A184" s="35"/>
      <c r="B184" s="36">
        <f t="shared" si="1"/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10"/>
      <c r="AT184" s="8"/>
      <c r="AU184" s="8"/>
      <c r="AV184" s="10"/>
      <c r="AW184" s="8"/>
      <c r="AX184" s="8"/>
      <c r="AY184" s="10"/>
      <c r="AZ184" s="8"/>
      <c r="BA184" s="8"/>
      <c r="BB184" s="10"/>
    </row>
    <row r="185" ht="15.75" customHeight="1">
      <c r="A185" s="35"/>
      <c r="B185" s="36">
        <f t="shared" si="1"/>
        <v>0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10"/>
      <c r="AT185" s="8"/>
      <c r="AU185" s="8"/>
      <c r="AV185" s="10"/>
      <c r="AW185" s="8"/>
      <c r="AX185" s="8"/>
      <c r="AY185" s="10"/>
      <c r="AZ185" s="8"/>
      <c r="BA185" s="8"/>
      <c r="BB185" s="10"/>
    </row>
    <row r="186" ht="15.75" customHeight="1">
      <c r="A186" s="35"/>
      <c r="B186" s="36">
        <f t="shared" si="1"/>
        <v>0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10"/>
      <c r="AT186" s="8"/>
      <c r="AU186" s="8"/>
      <c r="AV186" s="10"/>
      <c r="AW186" s="8"/>
      <c r="AX186" s="8"/>
      <c r="AY186" s="10"/>
      <c r="AZ186" s="8"/>
      <c r="BA186" s="8"/>
      <c r="BB186" s="10"/>
    </row>
    <row r="187" ht="15.75" customHeight="1">
      <c r="A187" s="35"/>
      <c r="B187" s="36">
        <f t="shared" si="1"/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10"/>
      <c r="AT187" s="8"/>
      <c r="AU187" s="8"/>
      <c r="AV187" s="10"/>
      <c r="AW187" s="8"/>
      <c r="AX187" s="8"/>
      <c r="AY187" s="10"/>
      <c r="AZ187" s="8"/>
      <c r="BA187" s="8"/>
      <c r="BB187" s="10"/>
    </row>
    <row r="188" ht="15.75" customHeight="1">
      <c r="A188" s="35"/>
      <c r="B188" s="36">
        <f t="shared" si="1"/>
        <v>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10"/>
      <c r="AT188" s="8"/>
      <c r="AU188" s="8"/>
      <c r="AV188" s="10"/>
      <c r="AW188" s="8"/>
      <c r="AX188" s="8"/>
      <c r="AY188" s="10"/>
      <c r="AZ188" s="8"/>
      <c r="BA188" s="8"/>
      <c r="BB188" s="10"/>
    </row>
    <row r="189" ht="15.75" customHeight="1">
      <c r="A189" s="35"/>
      <c r="B189" s="36">
        <f t="shared" si="1"/>
        <v>0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10"/>
      <c r="AT189" s="8"/>
      <c r="AU189" s="8"/>
      <c r="AV189" s="10"/>
      <c r="AW189" s="8"/>
      <c r="AX189" s="8"/>
      <c r="AY189" s="10"/>
      <c r="AZ189" s="8"/>
      <c r="BA189" s="8"/>
      <c r="BB189" s="10"/>
    </row>
    <row r="190" ht="15.75" customHeight="1">
      <c r="A190" s="35"/>
      <c r="B190" s="36">
        <f t="shared" si="1"/>
        <v>0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10"/>
      <c r="AT190" s="8"/>
      <c r="AU190" s="8"/>
      <c r="AV190" s="10"/>
      <c r="AW190" s="8"/>
      <c r="AX190" s="8"/>
      <c r="AY190" s="10"/>
      <c r="AZ190" s="8"/>
      <c r="BA190" s="8"/>
      <c r="BB190" s="10"/>
    </row>
    <row r="191" ht="15.75" customHeight="1">
      <c r="A191" s="35"/>
      <c r="B191" s="36">
        <f t="shared" si="1"/>
        <v>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10"/>
      <c r="AT191" s="8"/>
      <c r="AU191" s="8"/>
      <c r="AV191" s="10"/>
      <c r="AW191" s="8"/>
      <c r="AX191" s="8"/>
      <c r="AY191" s="10"/>
      <c r="AZ191" s="8"/>
      <c r="BA191" s="8"/>
      <c r="BB191" s="10"/>
    </row>
    <row r="192" ht="15.75" customHeight="1">
      <c r="A192" s="35"/>
      <c r="B192" s="36">
        <f t="shared" si="1"/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10"/>
      <c r="AT192" s="8"/>
      <c r="AU192" s="8"/>
      <c r="AV192" s="10"/>
      <c r="AW192" s="8"/>
      <c r="AX192" s="8"/>
      <c r="AY192" s="10"/>
      <c r="AZ192" s="8"/>
      <c r="BA192" s="8"/>
      <c r="BB192" s="10"/>
    </row>
    <row r="193" ht="15.75" customHeight="1">
      <c r="A193" s="35"/>
      <c r="B193" s="36">
        <f t="shared" si="1"/>
        <v>0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10"/>
      <c r="AT193" s="8"/>
      <c r="AU193" s="8"/>
      <c r="AV193" s="10"/>
      <c r="AW193" s="8"/>
      <c r="AX193" s="8"/>
      <c r="AY193" s="10"/>
      <c r="AZ193" s="8"/>
      <c r="BA193" s="8"/>
      <c r="BB193" s="10"/>
    </row>
    <row r="194" ht="15.75" customHeight="1">
      <c r="A194" s="35"/>
      <c r="B194" s="36">
        <f t="shared" si="1"/>
        <v>0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10"/>
      <c r="AT194" s="8"/>
      <c r="AU194" s="8"/>
      <c r="AV194" s="10"/>
      <c r="AW194" s="8"/>
      <c r="AX194" s="8"/>
      <c r="AY194" s="10"/>
      <c r="AZ194" s="8"/>
      <c r="BA194" s="8"/>
      <c r="BB194" s="10"/>
    </row>
    <row r="195" ht="15.75" customHeight="1">
      <c r="A195" s="35"/>
      <c r="B195" s="36">
        <f t="shared" si="1"/>
        <v>0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10"/>
      <c r="AT195" s="8"/>
      <c r="AU195" s="8"/>
      <c r="AV195" s="10"/>
      <c r="AW195" s="8"/>
      <c r="AX195" s="8"/>
      <c r="AY195" s="10"/>
      <c r="AZ195" s="8"/>
      <c r="BA195" s="8"/>
      <c r="BB195" s="10"/>
    </row>
    <row r="196" ht="15.75" customHeight="1">
      <c r="A196" s="35"/>
      <c r="B196" s="36">
        <f t="shared" si="1"/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10"/>
      <c r="AT196" s="8"/>
      <c r="AU196" s="8"/>
      <c r="AV196" s="10"/>
      <c r="AW196" s="8"/>
      <c r="AX196" s="8"/>
      <c r="AY196" s="10"/>
      <c r="AZ196" s="8"/>
      <c r="BA196" s="8"/>
      <c r="BB196" s="10"/>
    </row>
    <row r="197" ht="15.75" customHeight="1">
      <c r="A197" s="35"/>
      <c r="B197" s="36">
        <f t="shared" si="1"/>
        <v>0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10"/>
      <c r="AT197" s="8"/>
      <c r="AU197" s="8"/>
      <c r="AV197" s="10"/>
      <c r="AW197" s="8"/>
      <c r="AX197" s="8"/>
      <c r="AY197" s="10"/>
      <c r="AZ197" s="8"/>
      <c r="BA197" s="8"/>
      <c r="BB197" s="10"/>
    </row>
    <row r="198" ht="15.75" customHeight="1">
      <c r="A198" s="35"/>
      <c r="B198" s="36">
        <f t="shared" si="1"/>
        <v>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10"/>
      <c r="AT198" s="8"/>
      <c r="AU198" s="8"/>
      <c r="AV198" s="10"/>
      <c r="AW198" s="8"/>
      <c r="AX198" s="8"/>
      <c r="AY198" s="10"/>
      <c r="AZ198" s="8"/>
      <c r="BA198" s="8"/>
      <c r="BB198" s="10"/>
    </row>
    <row r="199" ht="15.75" customHeight="1">
      <c r="A199" s="35"/>
      <c r="B199" s="36">
        <f t="shared" si="1"/>
        <v>0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10"/>
      <c r="AT199" s="8"/>
      <c r="AU199" s="8"/>
      <c r="AV199" s="10"/>
      <c r="AW199" s="8"/>
      <c r="AX199" s="8"/>
      <c r="AY199" s="10"/>
      <c r="AZ199" s="8"/>
      <c r="BA199" s="8"/>
      <c r="BB199" s="10"/>
    </row>
    <row r="200" ht="15.75" customHeight="1">
      <c r="A200" s="35"/>
      <c r="B200" s="36">
        <f t="shared" si="1"/>
        <v>0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10"/>
      <c r="AT200" s="8"/>
      <c r="AU200" s="8"/>
      <c r="AV200" s="10"/>
      <c r="AW200" s="8"/>
      <c r="AX200" s="8"/>
      <c r="AY200" s="10"/>
      <c r="AZ200" s="8"/>
      <c r="BA200" s="8"/>
      <c r="BB200" s="10"/>
    </row>
    <row r="201" ht="15.75" customHeight="1">
      <c r="A201" s="35"/>
      <c r="B201" s="36">
        <f t="shared" si="1"/>
        <v>0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10"/>
      <c r="AT201" s="8"/>
      <c r="AU201" s="8"/>
      <c r="AV201" s="10"/>
      <c r="AW201" s="8"/>
      <c r="AX201" s="8"/>
      <c r="AY201" s="10"/>
      <c r="AZ201" s="8"/>
      <c r="BA201" s="8"/>
      <c r="BB201" s="10"/>
    </row>
    <row r="202" ht="15.75" customHeight="1">
      <c r="A202" s="35"/>
      <c r="B202" s="36">
        <f t="shared" si="1"/>
        <v>0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10"/>
      <c r="AT202" s="8"/>
      <c r="AU202" s="8"/>
      <c r="AV202" s="10"/>
      <c r="AW202" s="8"/>
      <c r="AX202" s="8"/>
      <c r="AY202" s="10"/>
      <c r="AZ202" s="8"/>
      <c r="BA202" s="8"/>
      <c r="BB202" s="10"/>
    </row>
    <row r="203" ht="15.75" customHeight="1">
      <c r="A203" s="35"/>
      <c r="B203" s="36">
        <f t="shared" si="1"/>
        <v>0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10"/>
      <c r="AT203" s="8"/>
      <c r="AU203" s="8"/>
      <c r="AV203" s="10"/>
      <c r="AW203" s="8"/>
      <c r="AX203" s="8"/>
      <c r="AY203" s="10"/>
      <c r="AZ203" s="8"/>
      <c r="BA203" s="8"/>
      <c r="BB203" s="10"/>
    </row>
    <row r="204" ht="15.75" customHeight="1">
      <c r="A204" s="35"/>
      <c r="B204" s="36">
        <f t="shared" si="1"/>
        <v>0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10"/>
      <c r="AT204" s="8"/>
      <c r="AU204" s="8"/>
      <c r="AV204" s="10"/>
      <c r="AW204" s="8"/>
      <c r="AX204" s="8"/>
      <c r="AY204" s="10"/>
      <c r="AZ204" s="8"/>
      <c r="BA204" s="8"/>
      <c r="BB204" s="10"/>
    </row>
    <row r="205" ht="15.75" customHeight="1">
      <c r="A205" s="35"/>
      <c r="B205" s="36">
        <f t="shared" si="1"/>
        <v>0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10"/>
      <c r="AT205" s="8"/>
      <c r="AU205" s="8"/>
      <c r="AV205" s="10"/>
      <c r="AW205" s="8"/>
      <c r="AX205" s="8"/>
      <c r="AY205" s="10"/>
      <c r="AZ205" s="8"/>
      <c r="BA205" s="8"/>
      <c r="BB205" s="10"/>
    </row>
    <row r="206" ht="15.75" customHeight="1">
      <c r="A206" s="35"/>
      <c r="B206" s="36">
        <f t="shared" si="1"/>
        <v>0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10"/>
      <c r="AT206" s="8"/>
      <c r="AU206" s="8"/>
      <c r="AV206" s="10"/>
      <c r="AW206" s="8"/>
      <c r="AX206" s="8"/>
      <c r="AY206" s="10"/>
      <c r="AZ206" s="8"/>
      <c r="BA206" s="8"/>
      <c r="BB206" s="10"/>
    </row>
    <row r="207" ht="15.75" customHeight="1">
      <c r="A207" s="35"/>
      <c r="B207" s="36">
        <f t="shared" si="1"/>
        <v>0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10"/>
      <c r="AT207" s="8"/>
      <c r="AU207" s="8"/>
      <c r="AV207" s="10"/>
      <c r="AW207" s="8"/>
      <c r="AX207" s="8"/>
      <c r="AY207" s="10"/>
      <c r="AZ207" s="8"/>
      <c r="BA207" s="8"/>
      <c r="BB207" s="10"/>
    </row>
    <row r="208" ht="15.75" customHeight="1">
      <c r="A208" s="35"/>
      <c r="B208" s="36">
        <f t="shared" si="1"/>
        <v>0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10"/>
      <c r="AT208" s="8"/>
      <c r="AU208" s="8"/>
      <c r="AV208" s="10"/>
      <c r="AW208" s="8"/>
      <c r="AX208" s="8"/>
      <c r="AY208" s="10"/>
      <c r="AZ208" s="8"/>
      <c r="BA208" s="8"/>
      <c r="BB208" s="10"/>
    </row>
    <row r="209" ht="15.75" customHeight="1">
      <c r="A209" s="35"/>
      <c r="B209" s="36">
        <f t="shared" si="1"/>
        <v>0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10"/>
      <c r="AT209" s="8"/>
      <c r="AU209" s="8"/>
      <c r="AV209" s="10"/>
      <c r="AW209" s="8"/>
      <c r="AX209" s="8"/>
      <c r="AY209" s="10"/>
      <c r="AZ209" s="8"/>
      <c r="BA209" s="8"/>
      <c r="BB209" s="10"/>
    </row>
    <row r="210" ht="15.75" customHeight="1">
      <c r="A210" s="35"/>
      <c r="B210" s="36">
        <f t="shared" si="1"/>
        <v>0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10"/>
      <c r="AT210" s="8"/>
      <c r="AU210" s="8"/>
      <c r="AV210" s="10"/>
      <c r="AW210" s="8"/>
      <c r="AX210" s="8"/>
      <c r="AY210" s="10"/>
      <c r="AZ210" s="8"/>
      <c r="BA210" s="8"/>
      <c r="BB210" s="10"/>
    </row>
    <row r="211" ht="15.75" customHeight="1">
      <c r="A211" s="35"/>
      <c r="B211" s="36">
        <f t="shared" si="1"/>
        <v>0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10"/>
      <c r="AT211" s="8"/>
      <c r="AU211" s="8"/>
      <c r="AV211" s="10"/>
      <c r="AW211" s="8"/>
      <c r="AX211" s="8"/>
      <c r="AY211" s="10"/>
      <c r="AZ211" s="8"/>
      <c r="BA211" s="8"/>
      <c r="BB211" s="10"/>
    </row>
    <row r="212" ht="15.75" customHeight="1">
      <c r="A212" s="35"/>
      <c r="B212" s="36">
        <f t="shared" si="1"/>
        <v>0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10"/>
      <c r="AT212" s="8"/>
      <c r="AU212" s="8"/>
      <c r="AV212" s="10"/>
      <c r="AW212" s="8"/>
      <c r="AX212" s="8"/>
      <c r="AY212" s="10"/>
      <c r="AZ212" s="8"/>
      <c r="BA212" s="8"/>
      <c r="BB212" s="10"/>
    </row>
    <row r="213" ht="15.75" customHeight="1">
      <c r="A213" s="35"/>
      <c r="B213" s="36">
        <f t="shared" si="1"/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10"/>
      <c r="AT213" s="8"/>
      <c r="AU213" s="8"/>
      <c r="AV213" s="10"/>
      <c r="AW213" s="8"/>
      <c r="AX213" s="8"/>
      <c r="AY213" s="10"/>
      <c r="AZ213" s="8"/>
      <c r="BA213" s="8"/>
      <c r="BB213" s="10"/>
    </row>
    <row r="214" ht="15.75" customHeight="1">
      <c r="A214" s="35"/>
      <c r="B214" s="36">
        <f t="shared" si="1"/>
        <v>0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10"/>
      <c r="AT214" s="8"/>
      <c r="AU214" s="8"/>
      <c r="AV214" s="10"/>
      <c r="AW214" s="8"/>
      <c r="AX214" s="8"/>
      <c r="AY214" s="10"/>
      <c r="AZ214" s="8"/>
      <c r="BA214" s="8"/>
      <c r="BB214" s="10"/>
    </row>
    <row r="215" ht="15.75" customHeight="1">
      <c r="A215" s="35"/>
      <c r="B215" s="36">
        <f t="shared" si="1"/>
        <v>0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10"/>
      <c r="AT215" s="8"/>
      <c r="AU215" s="8"/>
      <c r="AV215" s="10"/>
      <c r="AW215" s="8"/>
      <c r="AX215" s="8"/>
      <c r="AY215" s="10"/>
      <c r="AZ215" s="8"/>
      <c r="BA215" s="8"/>
      <c r="BB215" s="10"/>
    </row>
    <row r="216" ht="15.75" customHeight="1">
      <c r="A216" s="35"/>
      <c r="B216" s="36">
        <f t="shared" si="1"/>
        <v>0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10"/>
      <c r="AT216" s="8"/>
      <c r="AU216" s="8"/>
      <c r="AV216" s="10"/>
      <c r="AW216" s="8"/>
      <c r="AX216" s="8"/>
      <c r="AY216" s="10"/>
      <c r="AZ216" s="8"/>
      <c r="BA216" s="8"/>
      <c r="BB216" s="10"/>
    </row>
    <row r="217" ht="15.75" customHeight="1">
      <c r="A217" s="35"/>
      <c r="B217" s="36">
        <f t="shared" si="1"/>
        <v>0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10"/>
      <c r="AT217" s="8"/>
      <c r="AU217" s="8"/>
      <c r="AV217" s="10"/>
      <c r="AW217" s="8"/>
      <c r="AX217" s="8"/>
      <c r="AY217" s="10"/>
      <c r="AZ217" s="8"/>
      <c r="BA217" s="8"/>
      <c r="BB217" s="10"/>
    </row>
    <row r="218" ht="15.75" customHeight="1">
      <c r="A218" s="35"/>
      <c r="B218" s="36">
        <f t="shared" si="1"/>
        <v>0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10"/>
      <c r="AT218" s="8"/>
      <c r="AU218" s="8"/>
      <c r="AV218" s="10"/>
      <c r="AW218" s="8"/>
      <c r="AX218" s="8"/>
      <c r="AY218" s="10"/>
      <c r="AZ218" s="8"/>
      <c r="BA218" s="8"/>
      <c r="BB218" s="10"/>
    </row>
    <row r="219" ht="15.75" customHeight="1">
      <c r="A219" s="35"/>
      <c r="B219" s="36">
        <f t="shared" si="1"/>
        <v>0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10"/>
      <c r="AT219" s="8"/>
      <c r="AU219" s="8"/>
      <c r="AV219" s="10"/>
      <c r="AW219" s="8"/>
      <c r="AX219" s="8"/>
      <c r="AY219" s="10"/>
      <c r="AZ219" s="8"/>
      <c r="BA219" s="8"/>
      <c r="BB219" s="10"/>
    </row>
    <row r="220" ht="15.75" customHeight="1">
      <c r="A220" s="35"/>
      <c r="B220" s="36">
        <f t="shared" si="1"/>
        <v>0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10"/>
      <c r="AT220" s="8"/>
      <c r="AU220" s="8"/>
      <c r="AV220" s="10"/>
      <c r="AW220" s="8"/>
      <c r="AX220" s="8"/>
      <c r="AY220" s="10"/>
      <c r="AZ220" s="8"/>
      <c r="BA220" s="8"/>
      <c r="BB220" s="10"/>
    </row>
    <row r="221" ht="15.75" customHeight="1">
      <c r="A221" s="35"/>
      <c r="B221" s="36">
        <f t="shared" si="1"/>
        <v>0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10"/>
      <c r="AT221" s="8"/>
      <c r="AU221" s="8"/>
      <c r="AV221" s="10"/>
      <c r="AW221" s="8"/>
      <c r="AX221" s="8"/>
      <c r="AY221" s="10"/>
      <c r="AZ221" s="8"/>
      <c r="BA221" s="8"/>
      <c r="BB221" s="10"/>
    </row>
    <row r="222" ht="15.75" customHeight="1">
      <c r="A222" s="35"/>
      <c r="B222" s="36">
        <f t="shared" si="1"/>
        <v>0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10"/>
      <c r="AT222" s="8"/>
      <c r="AU222" s="8"/>
      <c r="AV222" s="10"/>
      <c r="AW222" s="8"/>
      <c r="AX222" s="8"/>
      <c r="AY222" s="10"/>
      <c r="AZ222" s="8"/>
      <c r="BA222" s="8"/>
      <c r="BB222" s="10"/>
    </row>
    <row r="223" ht="15.75" customHeight="1">
      <c r="A223" s="35"/>
      <c r="B223" s="36">
        <f t="shared" si="1"/>
        <v>0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10"/>
      <c r="AT223" s="8"/>
      <c r="AU223" s="8"/>
      <c r="AV223" s="10"/>
      <c r="AW223" s="8"/>
      <c r="AX223" s="8"/>
      <c r="AY223" s="10"/>
      <c r="AZ223" s="8"/>
      <c r="BA223" s="8"/>
      <c r="BB223" s="10"/>
    </row>
    <row r="224" ht="15.75" customHeight="1">
      <c r="A224" s="35"/>
      <c r="B224" s="36">
        <f t="shared" si="1"/>
        <v>0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10"/>
      <c r="AT224" s="8"/>
      <c r="AU224" s="8"/>
      <c r="AV224" s="10"/>
      <c r="AW224" s="8"/>
      <c r="AX224" s="8"/>
      <c r="AY224" s="10"/>
      <c r="AZ224" s="8"/>
      <c r="BA224" s="8"/>
      <c r="BB224" s="10"/>
    </row>
    <row r="225" ht="15.75" customHeight="1">
      <c r="A225" s="35"/>
      <c r="B225" s="36">
        <f t="shared" si="1"/>
        <v>0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10"/>
      <c r="AT225" s="8"/>
      <c r="AU225" s="8"/>
      <c r="AV225" s="10"/>
      <c r="AW225" s="8"/>
      <c r="AX225" s="8"/>
      <c r="AY225" s="10"/>
      <c r="AZ225" s="8"/>
      <c r="BA225" s="8"/>
      <c r="BB225" s="10"/>
    </row>
    <row r="226" ht="15.75" customHeight="1">
      <c r="A226" s="35"/>
      <c r="B226" s="36">
        <f t="shared" si="1"/>
        <v>0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10"/>
      <c r="AT226" s="8"/>
      <c r="AU226" s="8"/>
      <c r="AV226" s="10"/>
      <c r="AW226" s="8"/>
      <c r="AX226" s="8"/>
      <c r="AY226" s="10"/>
      <c r="AZ226" s="8"/>
      <c r="BA226" s="8"/>
      <c r="BB226" s="10"/>
    </row>
    <row r="227" ht="15.75" customHeight="1">
      <c r="A227" s="35"/>
      <c r="B227" s="36">
        <f t="shared" si="1"/>
        <v>0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10"/>
      <c r="AT227" s="8"/>
      <c r="AU227" s="8"/>
      <c r="AV227" s="10"/>
      <c r="AW227" s="8"/>
      <c r="AX227" s="8"/>
      <c r="AY227" s="10"/>
      <c r="AZ227" s="8"/>
      <c r="BA227" s="8"/>
      <c r="BB227" s="10"/>
    </row>
    <row r="228" ht="15.75" customHeight="1">
      <c r="A228" s="35"/>
      <c r="B228" s="36">
        <f t="shared" si="1"/>
        <v>0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10"/>
      <c r="AT228" s="8"/>
      <c r="AU228" s="8"/>
      <c r="AV228" s="10"/>
      <c r="AW228" s="8"/>
      <c r="AX228" s="8"/>
      <c r="AY228" s="10"/>
      <c r="AZ228" s="8"/>
      <c r="BA228" s="8"/>
      <c r="BB228" s="10"/>
    </row>
    <row r="229" ht="15.75" customHeight="1">
      <c r="A229" s="35"/>
      <c r="B229" s="36">
        <f t="shared" si="1"/>
        <v>0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10"/>
      <c r="AT229" s="8"/>
      <c r="AU229" s="8"/>
      <c r="AV229" s="10"/>
      <c r="AW229" s="8"/>
      <c r="AX229" s="8"/>
      <c r="AY229" s="10"/>
      <c r="AZ229" s="8"/>
      <c r="BA229" s="8"/>
      <c r="BB229" s="10"/>
    </row>
    <row r="230" ht="15.75" customHeight="1">
      <c r="A230" s="35"/>
      <c r="B230" s="36">
        <f t="shared" si="1"/>
        <v>0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10"/>
      <c r="AT230" s="8"/>
      <c r="AU230" s="8"/>
      <c r="AV230" s="10"/>
      <c r="AW230" s="8"/>
      <c r="AX230" s="8"/>
      <c r="AY230" s="10"/>
      <c r="AZ230" s="8"/>
      <c r="BA230" s="8"/>
      <c r="BB230" s="10"/>
    </row>
    <row r="231" ht="15.75" customHeight="1">
      <c r="A231" s="35"/>
      <c r="B231" s="36">
        <f t="shared" si="1"/>
        <v>0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10"/>
      <c r="AT231" s="8"/>
      <c r="AU231" s="8"/>
      <c r="AV231" s="10"/>
      <c r="AW231" s="8"/>
      <c r="AX231" s="8"/>
      <c r="AY231" s="10"/>
      <c r="AZ231" s="8"/>
      <c r="BA231" s="8"/>
      <c r="BB231" s="10"/>
    </row>
    <row r="232" ht="15.75" customHeight="1">
      <c r="A232" s="35"/>
      <c r="B232" s="36">
        <f t="shared" si="1"/>
        <v>0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10"/>
      <c r="AT232" s="8"/>
      <c r="AU232" s="8"/>
      <c r="AV232" s="10"/>
      <c r="AW232" s="8"/>
      <c r="AX232" s="8"/>
      <c r="AY232" s="10"/>
      <c r="AZ232" s="8"/>
      <c r="BA232" s="8"/>
      <c r="BB232" s="10"/>
    </row>
    <row r="233" ht="15.75" customHeight="1">
      <c r="A233" s="35"/>
      <c r="B233" s="36">
        <f t="shared" si="1"/>
        <v>0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10"/>
      <c r="AT233" s="8"/>
      <c r="AU233" s="8"/>
      <c r="AV233" s="10"/>
      <c r="AW233" s="8"/>
      <c r="AX233" s="8"/>
      <c r="AY233" s="10"/>
      <c r="AZ233" s="8"/>
      <c r="BA233" s="8"/>
      <c r="BB233" s="10"/>
    </row>
    <row r="234" ht="15.75" customHeight="1">
      <c r="A234" s="35"/>
      <c r="B234" s="36">
        <f t="shared" si="1"/>
        <v>0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10"/>
      <c r="AT234" s="8"/>
      <c r="AU234" s="8"/>
      <c r="AV234" s="10"/>
      <c r="AW234" s="8"/>
      <c r="AX234" s="8"/>
      <c r="AY234" s="10"/>
      <c r="AZ234" s="8"/>
      <c r="BA234" s="8"/>
      <c r="BB234" s="10"/>
    </row>
    <row r="235" ht="15.75" customHeight="1">
      <c r="A235" s="35"/>
      <c r="B235" s="36">
        <f t="shared" si="1"/>
        <v>0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10"/>
      <c r="AT235" s="8"/>
      <c r="AU235" s="8"/>
      <c r="AV235" s="10"/>
      <c r="AW235" s="8"/>
      <c r="AX235" s="8"/>
      <c r="AY235" s="10"/>
      <c r="AZ235" s="8"/>
      <c r="BA235" s="8"/>
      <c r="BB235" s="10"/>
    </row>
    <row r="236" ht="15.75" customHeight="1">
      <c r="A236" s="35"/>
      <c r="B236" s="36">
        <f t="shared" si="1"/>
        <v>0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10"/>
      <c r="AT236" s="8"/>
      <c r="AU236" s="8"/>
      <c r="AV236" s="10"/>
      <c r="AW236" s="8"/>
      <c r="AX236" s="8"/>
      <c r="AY236" s="10"/>
      <c r="AZ236" s="8"/>
      <c r="BA236" s="8"/>
      <c r="BB236" s="10"/>
    </row>
    <row r="237" ht="15.75" customHeight="1">
      <c r="A237" s="35"/>
      <c r="B237" s="36">
        <f t="shared" si="1"/>
        <v>0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10"/>
      <c r="AT237" s="8"/>
      <c r="AU237" s="8"/>
      <c r="AV237" s="10"/>
      <c r="AW237" s="8"/>
      <c r="AX237" s="8"/>
      <c r="AY237" s="10"/>
      <c r="AZ237" s="8"/>
      <c r="BA237" s="8"/>
      <c r="BB237" s="10"/>
    </row>
    <row r="238" ht="15.75" customHeight="1">
      <c r="A238" s="35"/>
      <c r="B238" s="36">
        <f t="shared" si="1"/>
        <v>0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10"/>
      <c r="AT238" s="8"/>
      <c r="AU238" s="8"/>
      <c r="AV238" s="10"/>
      <c r="AW238" s="8"/>
      <c r="AX238" s="8"/>
      <c r="AY238" s="10"/>
      <c r="AZ238" s="8"/>
      <c r="BA238" s="8"/>
      <c r="BB238" s="10"/>
    </row>
    <row r="239" ht="15.75" customHeight="1">
      <c r="A239" s="35"/>
      <c r="B239" s="36">
        <f t="shared" si="1"/>
        <v>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10"/>
      <c r="AT239" s="8"/>
      <c r="AU239" s="8"/>
      <c r="AV239" s="10"/>
      <c r="AW239" s="8"/>
      <c r="AX239" s="8"/>
      <c r="AY239" s="10"/>
      <c r="AZ239" s="8"/>
      <c r="BA239" s="8"/>
      <c r="BB239" s="10"/>
    </row>
    <row r="240" ht="15.75" customHeight="1">
      <c r="A240" s="35"/>
      <c r="B240" s="36">
        <f t="shared" si="1"/>
        <v>0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10"/>
      <c r="AT240" s="8"/>
      <c r="AU240" s="8"/>
      <c r="AV240" s="10"/>
      <c r="AW240" s="8"/>
      <c r="AX240" s="8"/>
      <c r="AY240" s="10"/>
      <c r="AZ240" s="8"/>
      <c r="BA240" s="8"/>
      <c r="BB240" s="10"/>
    </row>
    <row r="241" ht="15.75" customHeight="1">
      <c r="A241" s="35"/>
      <c r="B241" s="36">
        <f t="shared" si="1"/>
        <v>0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10"/>
      <c r="AT241" s="8"/>
      <c r="AU241" s="8"/>
      <c r="AV241" s="10"/>
      <c r="AW241" s="8"/>
      <c r="AX241" s="8"/>
      <c r="AY241" s="10"/>
      <c r="AZ241" s="8"/>
      <c r="BA241" s="8"/>
      <c r="BB241" s="10"/>
    </row>
    <row r="242" ht="15.75" customHeight="1">
      <c r="A242" s="35"/>
      <c r="B242" s="36">
        <f t="shared" si="1"/>
        <v>0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10"/>
      <c r="AT242" s="8"/>
      <c r="AU242" s="8"/>
      <c r="AV242" s="10"/>
      <c r="AW242" s="8"/>
      <c r="AX242" s="8"/>
      <c r="AY242" s="10"/>
      <c r="AZ242" s="8"/>
      <c r="BA242" s="8"/>
      <c r="BB242" s="10"/>
    </row>
    <row r="243" ht="15.75" customHeight="1">
      <c r="A243" s="35"/>
      <c r="B243" s="36">
        <f t="shared" si="1"/>
        <v>0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10"/>
      <c r="AT243" s="8"/>
      <c r="AU243" s="8"/>
      <c r="AV243" s="10"/>
      <c r="AW243" s="8"/>
      <c r="AX243" s="8"/>
      <c r="AY243" s="10"/>
      <c r="AZ243" s="8"/>
      <c r="BA243" s="8"/>
      <c r="BB243" s="10"/>
    </row>
    <row r="244" ht="15.75" customHeight="1">
      <c r="A244" s="41"/>
      <c r="B244" s="36">
        <f t="shared" si="1"/>
        <v>0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8"/>
      <c r="AS244" s="10"/>
      <c r="AT244" s="8"/>
      <c r="AU244" s="8"/>
      <c r="AV244" s="10"/>
      <c r="AW244" s="8"/>
      <c r="AX244" s="8"/>
      <c r="AY244" s="10"/>
      <c r="AZ244" s="8"/>
      <c r="BA244" s="8"/>
      <c r="BB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2.88"/>
    <col customWidth="1" min="3" max="3" width="18.25"/>
    <col customWidth="1" min="4" max="6" width="18.88"/>
    <col customWidth="1" min="7" max="7" width="15.63"/>
    <col customWidth="1" min="8" max="8" width="18.25"/>
    <col customWidth="1" min="9" max="9" width="8.63"/>
    <col customWidth="1" min="10" max="12" width="18.88"/>
    <col customWidth="1" min="13" max="13" width="15.63"/>
    <col customWidth="1" min="14" max="14" width="18.25"/>
    <col customWidth="1" min="15" max="15" width="8.63"/>
    <col customWidth="1" min="16" max="16" width="25.63"/>
    <col customWidth="1" min="17" max="17" width="8.63"/>
    <col customWidth="1" min="18" max="18" width="40.75"/>
    <col customWidth="1" min="19" max="19" width="15.63"/>
    <col customWidth="1" min="20" max="20" width="8.63"/>
    <col customWidth="1" min="21" max="21" width="21.5"/>
    <col customWidth="1" min="22" max="22" width="18.5"/>
    <col customWidth="1" min="23" max="32" width="8.63"/>
  </cols>
  <sheetData>
    <row r="1">
      <c r="A1" s="42" t="s">
        <v>500</v>
      </c>
      <c r="B1" s="42" t="s">
        <v>501</v>
      </c>
      <c r="C1" s="43" t="s">
        <v>502</v>
      </c>
      <c r="D1" s="42" t="s">
        <v>503</v>
      </c>
      <c r="E1" s="42" t="s">
        <v>501</v>
      </c>
      <c r="F1" s="42" t="s">
        <v>504</v>
      </c>
      <c r="G1" s="42" t="s">
        <v>501</v>
      </c>
      <c r="H1" s="43" t="s">
        <v>505</v>
      </c>
      <c r="J1" s="44" t="s">
        <v>503</v>
      </c>
      <c r="K1" s="44" t="s">
        <v>501</v>
      </c>
      <c r="L1" s="44" t="s">
        <v>504</v>
      </c>
      <c r="M1" s="44" t="s">
        <v>501</v>
      </c>
      <c r="N1" s="45" t="s">
        <v>506</v>
      </c>
      <c r="P1" s="46" t="s">
        <v>507</v>
      </c>
      <c r="R1" s="42" t="s">
        <v>508</v>
      </c>
      <c r="S1" s="46">
        <v>53.0</v>
      </c>
      <c r="U1" s="42" t="s">
        <v>502</v>
      </c>
      <c r="V1" s="46">
        <f>Sum(S1:S2)</f>
        <v>665</v>
      </c>
    </row>
    <row r="2">
      <c r="A2" s="47">
        <v>45319.0</v>
      </c>
      <c r="B2" s="48">
        <v>18.0</v>
      </c>
      <c r="C2" s="49">
        <f>SUM(B2:B304)</f>
        <v>3150</v>
      </c>
      <c r="D2" s="47">
        <v>45661.0</v>
      </c>
      <c r="E2" s="48">
        <v>0.0</v>
      </c>
      <c r="F2" s="47">
        <v>45662.0</v>
      </c>
      <c r="G2" s="48">
        <v>108.0</v>
      </c>
      <c r="H2" s="49">
        <f t="array" ref="H2">SUM(G2:G57+E2:E57)</f>
        <v>10809</v>
      </c>
      <c r="J2" s="50">
        <v>46025.0</v>
      </c>
      <c r="K2" s="51">
        <v>198.0</v>
      </c>
      <c r="L2" s="50">
        <v>46026.0</v>
      </c>
      <c r="M2" s="51">
        <v>108.0</v>
      </c>
      <c r="N2" s="49">
        <f t="array" ref="N2">SUM(M2:M57+K2:K57)</f>
        <v>3861</v>
      </c>
      <c r="P2" s="46">
        <f>SUM(C2+H2+N2)</f>
        <v>17820</v>
      </c>
      <c r="R2" s="42" t="s">
        <v>509</v>
      </c>
      <c r="S2" s="46">
        <v>612.0</v>
      </c>
      <c r="U2" s="42" t="s">
        <v>505</v>
      </c>
      <c r="V2" s="46">
        <f>SUM(S3:S6)</f>
        <v>3169.5</v>
      </c>
    </row>
    <row r="3">
      <c r="A3" s="47"/>
      <c r="C3" s="52"/>
      <c r="D3" s="47"/>
      <c r="F3" s="47"/>
      <c r="H3" s="52"/>
      <c r="J3" s="50"/>
      <c r="K3" s="51"/>
      <c r="L3" s="50"/>
      <c r="M3" s="51"/>
      <c r="N3" s="52"/>
      <c r="P3" s="52"/>
      <c r="R3" s="42" t="s">
        <v>510</v>
      </c>
      <c r="S3" s="53">
        <v>1081.0</v>
      </c>
      <c r="U3" s="42" t="s">
        <v>506</v>
      </c>
      <c r="V3" s="46">
        <f>SUM(S7:S10)</f>
        <v>1245.25</v>
      </c>
    </row>
    <row r="4">
      <c r="A4" s="47"/>
      <c r="C4" s="52"/>
      <c r="D4" s="47"/>
      <c r="F4" s="47"/>
      <c r="H4" s="52"/>
      <c r="J4" s="50"/>
      <c r="K4" s="51"/>
      <c r="L4" s="50"/>
      <c r="M4" s="51"/>
      <c r="N4" s="52"/>
      <c r="P4" s="52"/>
      <c r="R4" s="42" t="s">
        <v>511</v>
      </c>
      <c r="S4" s="53">
        <v>774.75</v>
      </c>
    </row>
    <row r="5">
      <c r="A5" s="47"/>
      <c r="C5" s="52"/>
      <c r="D5" s="47"/>
      <c r="F5" s="47"/>
      <c r="H5" s="52"/>
      <c r="J5" s="50"/>
      <c r="K5" s="51"/>
      <c r="L5" s="50"/>
      <c r="M5" s="51"/>
      <c r="N5" s="52"/>
      <c r="P5" s="52"/>
      <c r="R5" s="42" t="s">
        <v>512</v>
      </c>
      <c r="S5" s="53">
        <v>1042.75</v>
      </c>
    </row>
    <row r="6">
      <c r="A6" s="47"/>
      <c r="C6" s="52"/>
      <c r="D6" s="47"/>
      <c r="F6" s="47"/>
      <c r="H6" s="52"/>
      <c r="J6" s="50"/>
      <c r="K6" s="51"/>
      <c r="L6" s="50"/>
      <c r="M6" s="51"/>
      <c r="N6" s="52"/>
      <c r="P6" s="52"/>
      <c r="R6" s="42" t="s">
        <v>513</v>
      </c>
      <c r="S6" s="53">
        <v>271.0</v>
      </c>
    </row>
    <row r="7">
      <c r="A7" s="47">
        <v>45326.0</v>
      </c>
      <c r="B7" s="48">
        <v>36.0</v>
      </c>
      <c r="C7" s="52"/>
      <c r="D7" s="47">
        <v>45668.0</v>
      </c>
      <c r="E7" s="48">
        <v>0.0</v>
      </c>
      <c r="F7" s="47">
        <v>45669.0</v>
      </c>
      <c r="G7" s="48">
        <v>108.0</v>
      </c>
      <c r="H7" s="52"/>
      <c r="J7" s="50">
        <v>46032.0</v>
      </c>
      <c r="K7" s="51">
        <v>198.0</v>
      </c>
      <c r="L7" s="50">
        <v>46033.0</v>
      </c>
      <c r="M7" s="51">
        <v>108.0</v>
      </c>
      <c r="N7" s="52"/>
      <c r="P7" s="52"/>
      <c r="R7" s="44" t="s">
        <v>514</v>
      </c>
      <c r="S7" s="53">
        <v>345.75</v>
      </c>
    </row>
    <row r="8">
      <c r="A8" s="47">
        <v>45333.0</v>
      </c>
      <c r="B8" s="48">
        <v>54.0</v>
      </c>
      <c r="C8" s="52"/>
      <c r="D8" s="47">
        <v>45675.0</v>
      </c>
      <c r="E8" s="48">
        <v>0.0</v>
      </c>
      <c r="F8" s="47">
        <v>45676.0</v>
      </c>
      <c r="G8" s="48">
        <v>108.0</v>
      </c>
      <c r="H8" s="52"/>
      <c r="J8" s="50">
        <v>46039.0</v>
      </c>
      <c r="K8" s="51">
        <v>198.0</v>
      </c>
      <c r="L8" s="50">
        <v>46040.0</v>
      </c>
      <c r="M8" s="51">
        <v>108.0</v>
      </c>
      <c r="N8" s="52"/>
      <c r="P8" s="52"/>
      <c r="R8" s="44" t="s">
        <v>515</v>
      </c>
      <c r="S8" s="53">
        <v>556.0</v>
      </c>
    </row>
    <row r="9">
      <c r="A9" s="47">
        <v>45340.0</v>
      </c>
      <c r="B9" s="48">
        <v>54.0</v>
      </c>
      <c r="C9" s="52"/>
      <c r="D9" s="47">
        <v>45682.0</v>
      </c>
      <c r="E9" s="48">
        <v>0.0</v>
      </c>
      <c r="F9" s="47">
        <v>45683.0</v>
      </c>
      <c r="G9" s="48">
        <v>108.0</v>
      </c>
      <c r="H9" s="52"/>
      <c r="J9" s="50">
        <v>46046.0</v>
      </c>
      <c r="K9" s="51">
        <v>189.0</v>
      </c>
      <c r="L9" s="50">
        <v>46047.0</v>
      </c>
      <c r="M9" s="51">
        <v>0.0</v>
      </c>
      <c r="N9" s="52"/>
      <c r="P9" s="52"/>
      <c r="R9" s="44" t="s">
        <v>516</v>
      </c>
      <c r="S9" s="53">
        <v>343.5</v>
      </c>
    </row>
    <row r="10">
      <c r="A10" s="47">
        <v>45347.0</v>
      </c>
      <c r="B10" s="48">
        <v>54.0</v>
      </c>
      <c r="C10" s="52"/>
      <c r="D10" s="47">
        <v>45689.0</v>
      </c>
      <c r="E10" s="48">
        <v>0.0</v>
      </c>
      <c r="F10" s="47">
        <v>45690.0</v>
      </c>
      <c r="G10" s="48">
        <v>108.0</v>
      </c>
      <c r="H10" s="52"/>
      <c r="J10" s="50">
        <v>46053.0</v>
      </c>
      <c r="K10" s="51">
        <v>198.0</v>
      </c>
      <c r="L10" s="50">
        <v>46054.0</v>
      </c>
      <c r="M10" s="51">
        <v>108.0</v>
      </c>
      <c r="N10" s="52"/>
      <c r="P10" s="52"/>
      <c r="R10" s="44" t="s">
        <v>517</v>
      </c>
      <c r="S10" s="53"/>
    </row>
    <row r="11">
      <c r="A11" s="47">
        <v>45354.0</v>
      </c>
      <c r="B11" s="48">
        <v>0.0</v>
      </c>
      <c r="C11" s="52"/>
      <c r="D11" s="47">
        <v>45696.0</v>
      </c>
      <c r="E11" s="48">
        <v>0.0</v>
      </c>
      <c r="F11" s="47">
        <v>45697.0</v>
      </c>
      <c r="G11" s="48">
        <v>108.0</v>
      </c>
      <c r="H11" s="52"/>
      <c r="J11" s="50">
        <v>46060.0</v>
      </c>
      <c r="K11" s="51">
        <v>198.0</v>
      </c>
      <c r="L11" s="50">
        <v>46061.0</v>
      </c>
      <c r="M11" s="51">
        <v>108.0</v>
      </c>
      <c r="N11" s="52"/>
      <c r="P11" s="52"/>
      <c r="R11" s="42" t="s">
        <v>518</v>
      </c>
      <c r="S11" s="46">
        <f>SUM(S1:S10)</f>
        <v>5079.75</v>
      </c>
    </row>
    <row r="12">
      <c r="A12" s="47">
        <v>45361.0</v>
      </c>
      <c r="B12" s="48">
        <v>54.0</v>
      </c>
      <c r="C12" s="52"/>
      <c r="D12" s="47">
        <v>45703.0</v>
      </c>
      <c r="E12" s="48">
        <v>0.0</v>
      </c>
      <c r="F12" s="47">
        <v>45704.0</v>
      </c>
      <c r="G12" s="48">
        <v>108.0</v>
      </c>
      <c r="H12" s="52"/>
      <c r="J12" s="50">
        <v>46067.0</v>
      </c>
      <c r="K12" s="51">
        <v>198.0</v>
      </c>
      <c r="L12" s="50">
        <v>46068.0</v>
      </c>
      <c r="M12" s="51">
        <v>108.0</v>
      </c>
      <c r="N12" s="52"/>
      <c r="P12" s="52"/>
      <c r="S12" s="52"/>
    </row>
    <row r="13">
      <c r="A13" s="47">
        <v>45368.0</v>
      </c>
      <c r="B13" s="48">
        <v>54.0</v>
      </c>
      <c r="C13" s="52"/>
      <c r="D13" s="47">
        <v>45710.0</v>
      </c>
      <c r="E13" s="48">
        <v>0.0</v>
      </c>
      <c r="F13" s="47">
        <v>45711.0</v>
      </c>
      <c r="G13" s="48">
        <v>108.0</v>
      </c>
      <c r="H13" s="52"/>
      <c r="J13" s="50">
        <v>46074.0</v>
      </c>
      <c r="K13" s="51">
        <v>198.0</v>
      </c>
      <c r="L13" s="50">
        <v>46075.0</v>
      </c>
      <c r="M13" s="51">
        <v>108.0</v>
      </c>
      <c r="N13" s="52"/>
      <c r="P13" s="52"/>
      <c r="S13" s="52"/>
    </row>
    <row r="14">
      <c r="A14" s="47">
        <v>45375.0</v>
      </c>
      <c r="B14" s="48">
        <v>63.0</v>
      </c>
      <c r="C14" s="52"/>
      <c r="D14" s="47">
        <v>45717.0</v>
      </c>
      <c r="E14" s="48">
        <v>0.0</v>
      </c>
      <c r="F14" s="47">
        <v>45718.0</v>
      </c>
      <c r="G14" s="48">
        <v>108.0</v>
      </c>
      <c r="H14" s="52"/>
      <c r="J14" s="50">
        <v>46081.0</v>
      </c>
      <c r="K14" s="51">
        <v>198.0</v>
      </c>
      <c r="L14" s="50">
        <v>46082.0</v>
      </c>
      <c r="M14" s="51">
        <v>108.0</v>
      </c>
      <c r="N14" s="52"/>
      <c r="P14" s="52"/>
      <c r="S14" s="52"/>
    </row>
    <row r="15">
      <c r="A15" s="47">
        <v>45382.0</v>
      </c>
      <c r="B15" s="48">
        <v>54.0</v>
      </c>
      <c r="C15" s="52"/>
      <c r="D15" s="47">
        <v>45724.0</v>
      </c>
      <c r="E15" s="48">
        <v>0.0</v>
      </c>
      <c r="F15" s="47">
        <v>45725.0</v>
      </c>
      <c r="G15" s="48">
        <v>108.0</v>
      </c>
      <c r="H15" s="52"/>
      <c r="J15" s="50">
        <v>46088.0</v>
      </c>
      <c r="K15" s="51">
        <v>198.0</v>
      </c>
      <c r="L15" s="50">
        <v>46089.0</v>
      </c>
      <c r="M15" s="51">
        <v>108.0</v>
      </c>
      <c r="N15" s="52"/>
      <c r="P15" s="52"/>
      <c r="S15" s="52"/>
    </row>
    <row r="16">
      <c r="A16" s="47">
        <v>45389.0</v>
      </c>
      <c r="B16" s="48">
        <v>54.0</v>
      </c>
      <c r="C16" s="52"/>
      <c r="D16" s="47">
        <v>45731.0</v>
      </c>
      <c r="E16" s="48">
        <v>0.0</v>
      </c>
      <c r="F16" s="47">
        <v>45732.0</v>
      </c>
      <c r="G16" s="48">
        <v>108.0</v>
      </c>
      <c r="H16" s="52"/>
      <c r="J16" s="50">
        <v>46095.0</v>
      </c>
      <c r="K16" s="51">
        <v>198.0</v>
      </c>
      <c r="L16" s="50">
        <v>46096.0</v>
      </c>
      <c r="M16" s="51">
        <v>108.0</v>
      </c>
      <c r="N16" s="52"/>
      <c r="P16" s="52"/>
      <c r="S16" s="52"/>
    </row>
    <row r="17">
      <c r="A17" s="47">
        <v>45396.0</v>
      </c>
      <c r="B17" s="48">
        <v>54.0</v>
      </c>
      <c r="C17" s="52"/>
      <c r="D17" s="47">
        <v>45738.0</v>
      </c>
      <c r="E17" s="48">
        <v>0.0</v>
      </c>
      <c r="F17" s="47">
        <v>45739.0</v>
      </c>
      <c r="G17" s="48">
        <v>108.0</v>
      </c>
      <c r="H17" s="52"/>
      <c r="J17" s="50">
        <v>46102.0</v>
      </c>
      <c r="K17" s="51">
        <v>198.0</v>
      </c>
      <c r="L17" s="50">
        <v>46103.0</v>
      </c>
      <c r="M17" s="51">
        <v>108.0</v>
      </c>
      <c r="N17" s="52"/>
      <c r="P17" s="52"/>
      <c r="S17" s="52"/>
    </row>
    <row r="18">
      <c r="A18" s="47">
        <v>45403.0</v>
      </c>
      <c r="B18" s="48">
        <v>0.0</v>
      </c>
      <c r="C18" s="52"/>
      <c r="D18" s="47">
        <v>45745.0</v>
      </c>
      <c r="E18" s="48">
        <v>0.0</v>
      </c>
      <c r="F18" s="47">
        <v>45746.0</v>
      </c>
      <c r="G18" s="48">
        <v>108.0</v>
      </c>
      <c r="H18" s="52"/>
      <c r="J18" s="50">
        <v>46109.0</v>
      </c>
      <c r="K18" s="51">
        <v>198.0</v>
      </c>
      <c r="L18" s="50">
        <v>46110.0</v>
      </c>
      <c r="M18" s="51">
        <v>108.0</v>
      </c>
      <c r="N18" s="52"/>
      <c r="P18" s="52"/>
      <c r="S18" s="52"/>
    </row>
    <row r="19">
      <c r="A19" s="47">
        <v>45410.0</v>
      </c>
      <c r="B19" s="48">
        <v>0.0</v>
      </c>
      <c r="C19" s="52"/>
      <c r="D19" s="47">
        <v>45752.0</v>
      </c>
      <c r="E19" s="48">
        <v>108.0</v>
      </c>
      <c r="F19" s="47">
        <v>45753.0</v>
      </c>
      <c r="G19" s="48">
        <v>108.0</v>
      </c>
      <c r="H19" s="52"/>
      <c r="J19" s="50">
        <v>46116.0</v>
      </c>
      <c r="K19" s="51"/>
      <c r="L19" s="50">
        <v>46117.0</v>
      </c>
      <c r="M19" s="51"/>
      <c r="N19" s="52"/>
      <c r="P19" s="52"/>
      <c r="S19" s="52"/>
    </row>
    <row r="20">
      <c r="A20" s="47">
        <v>45417.0</v>
      </c>
      <c r="B20" s="48">
        <v>63.0</v>
      </c>
      <c r="C20" s="52"/>
      <c r="D20" s="47">
        <v>45759.0</v>
      </c>
      <c r="E20" s="48">
        <v>108.0</v>
      </c>
      <c r="F20" s="47">
        <v>45760.0</v>
      </c>
      <c r="G20" s="48">
        <v>108.0</v>
      </c>
      <c r="H20" s="52"/>
      <c r="J20" s="50">
        <v>46123.0</v>
      </c>
      <c r="K20" s="51"/>
      <c r="L20" s="50">
        <v>46124.0</v>
      </c>
      <c r="M20" s="51"/>
      <c r="N20" s="52"/>
      <c r="P20" s="52"/>
      <c r="S20" s="52"/>
    </row>
    <row r="21">
      <c r="A21" s="47">
        <v>45424.0</v>
      </c>
      <c r="B21" s="48">
        <v>54.0</v>
      </c>
      <c r="C21" s="52"/>
      <c r="D21" s="47">
        <v>45766.0</v>
      </c>
      <c r="E21" s="48">
        <v>108.0</v>
      </c>
      <c r="F21" s="47">
        <v>45767.0</v>
      </c>
      <c r="G21" s="48">
        <v>108.0</v>
      </c>
      <c r="H21" s="52"/>
      <c r="J21" s="50">
        <v>46130.0</v>
      </c>
      <c r="K21" s="51"/>
      <c r="L21" s="50">
        <v>46131.0</v>
      </c>
      <c r="M21" s="51"/>
      <c r="N21" s="52"/>
      <c r="P21" s="52"/>
      <c r="S21" s="52"/>
    </row>
    <row r="22">
      <c r="A22" s="47">
        <v>45431.0</v>
      </c>
      <c r="B22" s="48">
        <v>54.0</v>
      </c>
      <c r="C22" s="52"/>
      <c r="D22" s="47">
        <v>45773.0</v>
      </c>
      <c r="E22" s="48">
        <v>108.0</v>
      </c>
      <c r="F22" s="47">
        <v>45774.0</v>
      </c>
      <c r="G22" s="48">
        <v>108.0</v>
      </c>
      <c r="H22" s="52"/>
      <c r="J22" s="50">
        <v>46137.0</v>
      </c>
      <c r="K22" s="51"/>
      <c r="L22" s="50">
        <v>46138.0</v>
      </c>
      <c r="M22" s="51"/>
      <c r="N22" s="52"/>
      <c r="P22" s="52"/>
      <c r="S22" s="52"/>
    </row>
    <row r="23">
      <c r="A23" s="47">
        <v>45438.0</v>
      </c>
      <c r="B23" s="48">
        <v>54.0</v>
      </c>
      <c r="C23" s="52"/>
      <c r="D23" s="47">
        <v>45780.0</v>
      </c>
      <c r="E23" s="48">
        <v>108.0</v>
      </c>
      <c r="F23" s="47">
        <v>45781.0</v>
      </c>
      <c r="G23" s="48">
        <v>108.0</v>
      </c>
      <c r="H23" s="52"/>
      <c r="J23" s="50">
        <v>46144.0</v>
      </c>
      <c r="K23" s="51"/>
      <c r="L23" s="50">
        <v>46145.0</v>
      </c>
      <c r="M23" s="51"/>
      <c r="N23" s="52"/>
      <c r="P23" s="52"/>
      <c r="S23" s="52"/>
    </row>
    <row r="24">
      <c r="A24" s="47">
        <v>45445.0</v>
      </c>
      <c r="B24" s="48">
        <v>54.0</v>
      </c>
      <c r="C24" s="52"/>
      <c r="D24" s="47">
        <v>45787.0</v>
      </c>
      <c r="E24" s="48">
        <v>0.0</v>
      </c>
      <c r="F24" s="47">
        <v>45788.0</v>
      </c>
      <c r="G24" s="48">
        <v>216.0</v>
      </c>
      <c r="H24" s="52"/>
      <c r="J24" s="50">
        <v>46151.0</v>
      </c>
      <c r="K24" s="51"/>
      <c r="L24" s="50">
        <v>46152.0</v>
      </c>
      <c r="M24" s="51"/>
      <c r="N24" s="52"/>
      <c r="P24" s="52"/>
      <c r="S24" s="52"/>
    </row>
    <row r="25" ht="15.75" customHeight="1">
      <c r="A25" s="47">
        <v>45452.0</v>
      </c>
      <c r="B25" s="48">
        <v>54.0</v>
      </c>
      <c r="C25" s="52"/>
      <c r="D25" s="47">
        <v>45794.0</v>
      </c>
      <c r="E25" s="48">
        <v>108.0</v>
      </c>
      <c r="F25" s="47">
        <v>45795.0</v>
      </c>
      <c r="G25" s="48">
        <v>108.0</v>
      </c>
      <c r="H25" s="52"/>
      <c r="J25" s="50">
        <v>46158.0</v>
      </c>
      <c r="K25" s="51"/>
      <c r="L25" s="50">
        <v>46159.0</v>
      </c>
      <c r="M25" s="51"/>
      <c r="N25" s="52"/>
      <c r="P25" s="52"/>
      <c r="S25" s="52"/>
    </row>
    <row r="26" ht="15.75" customHeight="1">
      <c r="A26" s="47">
        <v>45459.0</v>
      </c>
      <c r="B26" s="48">
        <v>0.0</v>
      </c>
      <c r="C26" s="52"/>
      <c r="D26" s="47">
        <v>45801.0</v>
      </c>
      <c r="E26" s="48">
        <v>108.0</v>
      </c>
      <c r="F26" s="47">
        <v>45802.0</v>
      </c>
      <c r="G26" s="48">
        <v>108.0</v>
      </c>
      <c r="H26" s="52"/>
      <c r="J26" s="50">
        <v>46165.0</v>
      </c>
      <c r="K26" s="51"/>
      <c r="L26" s="50">
        <v>46166.0</v>
      </c>
      <c r="M26" s="51"/>
      <c r="N26" s="52"/>
      <c r="P26" s="52"/>
      <c r="S26" s="52"/>
    </row>
    <row r="27" ht="15.75" customHeight="1">
      <c r="A27" s="47">
        <v>45466.0</v>
      </c>
      <c r="B27" s="48">
        <v>54.0</v>
      </c>
      <c r="C27" s="52"/>
      <c r="D27" s="47">
        <v>45808.0</v>
      </c>
      <c r="E27" s="48">
        <v>108.0</v>
      </c>
      <c r="F27" s="47">
        <v>45809.0</v>
      </c>
      <c r="G27" s="48">
        <v>108.0</v>
      </c>
      <c r="H27" s="52"/>
      <c r="J27" s="50">
        <v>46172.0</v>
      </c>
      <c r="K27" s="51"/>
      <c r="L27" s="50">
        <v>46173.0</v>
      </c>
      <c r="M27" s="51"/>
      <c r="N27" s="52"/>
      <c r="P27" s="52"/>
      <c r="S27" s="52"/>
    </row>
    <row r="28" ht="15.75" customHeight="1">
      <c r="A28" s="47">
        <v>45473.0</v>
      </c>
      <c r="B28" s="48">
        <v>54.0</v>
      </c>
      <c r="C28" s="52"/>
      <c r="D28" s="47">
        <v>45815.0</v>
      </c>
      <c r="E28" s="48">
        <v>108.0</v>
      </c>
      <c r="F28" s="47">
        <v>45816.0</v>
      </c>
      <c r="G28" s="48">
        <v>108.0</v>
      </c>
      <c r="H28" s="52"/>
      <c r="J28" s="50">
        <v>46179.0</v>
      </c>
      <c r="K28" s="51"/>
      <c r="L28" s="50">
        <v>46180.0</v>
      </c>
      <c r="M28" s="51"/>
      <c r="N28" s="52"/>
      <c r="P28" s="52"/>
      <c r="S28" s="52"/>
    </row>
    <row r="29" ht="15.75" customHeight="1">
      <c r="A29" s="47">
        <v>45480.0</v>
      </c>
      <c r="B29" s="48">
        <v>54.0</v>
      </c>
      <c r="C29" s="52"/>
      <c r="D29" s="47">
        <v>45822.0</v>
      </c>
      <c r="E29" s="48">
        <v>108.0</v>
      </c>
      <c r="F29" s="47">
        <v>45823.0</v>
      </c>
      <c r="G29" s="48">
        <v>108.0</v>
      </c>
      <c r="H29" s="52"/>
      <c r="J29" s="50">
        <v>46186.0</v>
      </c>
      <c r="K29" s="51"/>
      <c r="L29" s="50">
        <v>46187.0</v>
      </c>
      <c r="M29" s="51"/>
      <c r="N29" s="52"/>
      <c r="P29" s="52"/>
      <c r="S29" s="52"/>
    </row>
    <row r="30" ht="15.75" customHeight="1">
      <c r="A30" s="47">
        <v>45487.0</v>
      </c>
      <c r="B30" s="48">
        <v>54.0</v>
      </c>
      <c r="C30" s="52"/>
      <c r="D30" s="47">
        <v>45829.0</v>
      </c>
      <c r="E30" s="48">
        <v>108.0</v>
      </c>
      <c r="F30" s="47">
        <v>45830.0</v>
      </c>
      <c r="G30" s="48">
        <v>108.0</v>
      </c>
      <c r="H30" s="52"/>
      <c r="J30" s="50">
        <v>46193.0</v>
      </c>
      <c r="K30" s="51"/>
      <c r="L30" s="50">
        <v>46194.0</v>
      </c>
      <c r="M30" s="51"/>
      <c r="N30" s="52"/>
      <c r="P30" s="52"/>
      <c r="S30" s="52"/>
    </row>
    <row r="31" ht="15.75" customHeight="1">
      <c r="A31" s="47">
        <v>45494.0</v>
      </c>
      <c r="B31" s="48">
        <v>54.0</v>
      </c>
      <c r="C31" s="52"/>
      <c r="D31" s="47">
        <v>45836.0</v>
      </c>
      <c r="E31" s="48">
        <v>108.0</v>
      </c>
      <c r="F31" s="47">
        <v>45837.0</v>
      </c>
      <c r="G31" s="48">
        <v>108.0</v>
      </c>
      <c r="H31" s="52"/>
      <c r="J31" s="50">
        <v>46200.0</v>
      </c>
      <c r="K31" s="51"/>
      <c r="L31" s="50">
        <v>46201.0</v>
      </c>
      <c r="M31" s="51"/>
      <c r="N31" s="52"/>
      <c r="P31" s="52"/>
      <c r="S31" s="52"/>
    </row>
    <row r="32" ht="15.75" customHeight="1">
      <c r="A32" s="47">
        <v>45501.0</v>
      </c>
      <c r="B32" s="48">
        <v>0.0</v>
      </c>
      <c r="C32" s="52"/>
      <c r="D32" s="47">
        <v>45843.0</v>
      </c>
      <c r="E32" s="48">
        <v>108.0</v>
      </c>
      <c r="F32" s="47">
        <v>45844.0</v>
      </c>
      <c r="G32" s="48">
        <v>108.0</v>
      </c>
      <c r="H32" s="52"/>
      <c r="J32" s="50">
        <v>46207.0</v>
      </c>
      <c r="K32" s="51"/>
      <c r="L32" s="50">
        <v>46208.0</v>
      </c>
      <c r="M32" s="51"/>
      <c r="N32" s="52"/>
      <c r="P32" s="52"/>
      <c r="S32" s="52"/>
    </row>
    <row r="33" ht="15.75" customHeight="1">
      <c r="A33" s="47">
        <v>45508.0</v>
      </c>
      <c r="B33" s="48">
        <v>54.0</v>
      </c>
      <c r="C33" s="52"/>
      <c r="D33" s="47">
        <v>45850.0</v>
      </c>
      <c r="E33" s="48">
        <v>108.0</v>
      </c>
      <c r="F33" s="47">
        <v>45851.0</v>
      </c>
      <c r="G33" s="48">
        <v>108.0</v>
      </c>
      <c r="H33" s="52"/>
      <c r="J33" s="50">
        <v>46214.0</v>
      </c>
      <c r="K33" s="51"/>
      <c r="L33" s="50">
        <v>46215.0</v>
      </c>
      <c r="M33" s="51"/>
      <c r="N33" s="52"/>
      <c r="P33" s="52"/>
      <c r="S33" s="52"/>
    </row>
    <row r="34" ht="15.75" customHeight="1">
      <c r="A34" s="47">
        <v>45515.0</v>
      </c>
      <c r="B34" s="48">
        <v>63.0</v>
      </c>
      <c r="C34" s="52"/>
      <c r="D34" s="47">
        <v>45857.0</v>
      </c>
      <c r="E34" s="48">
        <v>108.0</v>
      </c>
      <c r="F34" s="47">
        <v>45858.0</v>
      </c>
      <c r="G34" s="48">
        <v>108.0</v>
      </c>
      <c r="H34" s="52"/>
      <c r="J34" s="50">
        <v>46221.0</v>
      </c>
      <c r="K34" s="51"/>
      <c r="L34" s="50">
        <v>46222.0</v>
      </c>
      <c r="M34" s="51"/>
      <c r="N34" s="52"/>
      <c r="P34" s="52"/>
      <c r="S34" s="52"/>
    </row>
    <row r="35" ht="15.75" customHeight="1">
      <c r="A35" s="47">
        <v>45522.0</v>
      </c>
      <c r="B35" s="48">
        <v>63.0</v>
      </c>
      <c r="C35" s="52"/>
      <c r="D35" s="47">
        <v>45864.0</v>
      </c>
      <c r="E35" s="48">
        <v>110.0</v>
      </c>
      <c r="F35" s="47">
        <v>45865.0</v>
      </c>
      <c r="G35" s="48">
        <v>110.0</v>
      </c>
      <c r="H35" s="52"/>
      <c r="J35" s="50">
        <v>46228.0</v>
      </c>
      <c r="K35" s="51"/>
      <c r="L35" s="50">
        <v>46229.0</v>
      </c>
      <c r="M35" s="51"/>
      <c r="N35" s="52"/>
      <c r="P35" s="52"/>
      <c r="S35" s="52"/>
    </row>
    <row r="36" ht="15.75" customHeight="1">
      <c r="A36" s="47">
        <v>45529.0</v>
      </c>
      <c r="B36" s="48">
        <v>54.0</v>
      </c>
      <c r="C36" s="52"/>
      <c r="D36" s="47">
        <v>45871.0</v>
      </c>
      <c r="E36" s="48">
        <v>108.0</v>
      </c>
      <c r="F36" s="47">
        <v>45872.0</v>
      </c>
      <c r="G36" s="48">
        <v>108.0</v>
      </c>
      <c r="H36" s="52"/>
      <c r="J36" s="50">
        <v>46235.0</v>
      </c>
      <c r="K36" s="51"/>
      <c r="L36" s="50">
        <v>46236.0</v>
      </c>
      <c r="M36" s="51"/>
      <c r="N36" s="52"/>
      <c r="P36" s="52"/>
      <c r="S36" s="52"/>
    </row>
    <row r="37" ht="15.75" customHeight="1">
      <c r="A37" s="47">
        <v>45536.0</v>
      </c>
      <c r="B37" s="48">
        <v>54.0</v>
      </c>
      <c r="C37" s="52"/>
      <c r="D37" s="47">
        <v>45878.0</v>
      </c>
      <c r="E37" s="48">
        <v>108.0</v>
      </c>
      <c r="F37" s="47">
        <v>45879.0</v>
      </c>
      <c r="G37" s="48">
        <v>108.0</v>
      </c>
      <c r="H37" s="52"/>
      <c r="J37" s="50">
        <v>46242.0</v>
      </c>
      <c r="K37" s="51"/>
      <c r="L37" s="50">
        <v>46243.0</v>
      </c>
      <c r="M37" s="51"/>
      <c r="N37" s="52"/>
      <c r="P37" s="52"/>
      <c r="S37" s="52"/>
    </row>
    <row r="38" ht="15.75" customHeight="1">
      <c r="A38" s="47">
        <v>45543.0</v>
      </c>
      <c r="B38" s="48">
        <v>54.0</v>
      </c>
      <c r="C38" s="52"/>
      <c r="D38" s="47">
        <v>45885.0</v>
      </c>
      <c r="E38" s="48">
        <v>108.0</v>
      </c>
      <c r="F38" s="47">
        <v>45886.0</v>
      </c>
      <c r="G38" s="48">
        <v>108.0</v>
      </c>
      <c r="H38" s="52"/>
      <c r="J38" s="50">
        <v>46249.0</v>
      </c>
      <c r="K38" s="51"/>
      <c r="L38" s="50">
        <v>46250.0</v>
      </c>
      <c r="M38" s="51"/>
      <c r="N38" s="52"/>
      <c r="P38" s="52"/>
      <c r="S38" s="52"/>
    </row>
    <row r="39" ht="15.75" customHeight="1">
      <c r="A39" s="47">
        <v>45550.0</v>
      </c>
      <c r="B39" s="48">
        <v>72.0</v>
      </c>
      <c r="C39" s="52"/>
      <c r="D39" s="47">
        <v>45892.0</v>
      </c>
      <c r="E39" s="48">
        <v>108.0</v>
      </c>
      <c r="F39" s="47">
        <v>45893.0</v>
      </c>
      <c r="G39" s="48">
        <v>108.0</v>
      </c>
      <c r="H39" s="52"/>
      <c r="J39" s="50">
        <v>46256.0</v>
      </c>
      <c r="K39" s="51"/>
      <c r="L39" s="50">
        <v>46257.0</v>
      </c>
      <c r="M39" s="51"/>
      <c r="N39" s="52"/>
      <c r="P39" s="52"/>
      <c r="S39" s="52"/>
    </row>
    <row r="40" ht="15.75" customHeight="1">
      <c r="A40" s="47">
        <v>45557.0</v>
      </c>
      <c r="B40" s="48">
        <v>72.0</v>
      </c>
      <c r="C40" s="52"/>
      <c r="D40" s="47">
        <v>45899.0</v>
      </c>
      <c r="E40" s="48">
        <v>108.0</v>
      </c>
      <c r="F40" s="47">
        <v>45900.0</v>
      </c>
      <c r="G40" s="48">
        <v>108.0</v>
      </c>
      <c r="H40" s="52"/>
      <c r="J40" s="50">
        <v>46263.0</v>
      </c>
      <c r="K40" s="51"/>
      <c r="L40" s="50">
        <v>46264.0</v>
      </c>
      <c r="M40" s="51"/>
      <c r="N40" s="52"/>
      <c r="P40" s="52"/>
      <c r="S40" s="52"/>
    </row>
    <row r="41" ht="15.75" customHeight="1">
      <c r="A41" s="47">
        <v>45564.0</v>
      </c>
      <c r="B41" s="48">
        <v>108.0</v>
      </c>
      <c r="C41" s="52"/>
      <c r="D41" s="47">
        <v>45906.0</v>
      </c>
      <c r="E41" s="48">
        <v>108.0</v>
      </c>
      <c r="F41" s="47">
        <v>45907.0</v>
      </c>
      <c r="G41" s="48">
        <v>108.0</v>
      </c>
      <c r="H41" s="52"/>
      <c r="J41" s="50">
        <v>46270.0</v>
      </c>
      <c r="K41" s="51"/>
      <c r="L41" s="50">
        <v>46271.0</v>
      </c>
      <c r="M41" s="51"/>
      <c r="N41" s="52"/>
      <c r="P41" s="52"/>
      <c r="S41" s="52"/>
    </row>
    <row r="42" ht="15.75" customHeight="1">
      <c r="A42" s="47">
        <v>45571.0</v>
      </c>
      <c r="B42" s="48">
        <v>108.0</v>
      </c>
      <c r="C42" s="52"/>
      <c r="D42" s="47">
        <v>45913.0</v>
      </c>
      <c r="E42" s="48">
        <v>108.0</v>
      </c>
      <c r="F42" s="47">
        <v>45914.0</v>
      </c>
      <c r="G42" s="48">
        <v>108.0</v>
      </c>
      <c r="H42" s="52"/>
      <c r="J42" s="50">
        <v>46277.0</v>
      </c>
      <c r="K42" s="51"/>
      <c r="L42" s="50">
        <v>46278.0</v>
      </c>
      <c r="M42" s="51"/>
      <c r="N42" s="52"/>
      <c r="P42" s="52"/>
      <c r="S42" s="52"/>
    </row>
    <row r="43" ht="15.75" customHeight="1">
      <c r="A43" s="47">
        <v>45578.0</v>
      </c>
      <c r="B43" s="48">
        <v>108.0</v>
      </c>
      <c r="C43" s="52"/>
      <c r="D43" s="47">
        <v>45920.0</v>
      </c>
      <c r="E43" s="48">
        <v>108.0</v>
      </c>
      <c r="F43" s="47">
        <v>45921.0</v>
      </c>
      <c r="G43" s="48">
        <v>108.0</v>
      </c>
      <c r="H43" s="52"/>
      <c r="J43" s="50">
        <v>46284.0</v>
      </c>
      <c r="K43" s="51"/>
      <c r="L43" s="50">
        <v>46285.0</v>
      </c>
      <c r="M43" s="51"/>
      <c r="N43" s="52"/>
      <c r="P43" s="52"/>
      <c r="S43" s="52"/>
    </row>
    <row r="44" ht="15.75" customHeight="1">
      <c r="A44" s="47">
        <v>45585.0</v>
      </c>
      <c r="B44" s="48">
        <v>108.0</v>
      </c>
      <c r="C44" s="52"/>
      <c r="D44" s="47">
        <v>45927.0</v>
      </c>
      <c r="E44" s="48">
        <v>108.0</v>
      </c>
      <c r="F44" s="47">
        <v>45928.0</v>
      </c>
      <c r="G44" s="48">
        <v>108.0</v>
      </c>
      <c r="H44" s="52"/>
      <c r="J44" s="50">
        <v>46291.0</v>
      </c>
      <c r="K44" s="51"/>
      <c r="L44" s="50">
        <v>46292.0</v>
      </c>
      <c r="M44" s="51"/>
      <c r="N44" s="52"/>
      <c r="P44" s="52"/>
      <c r="S44" s="52"/>
    </row>
    <row r="45" ht="15.75" customHeight="1">
      <c r="A45" s="47">
        <v>45592.0</v>
      </c>
      <c r="B45" s="48">
        <v>108.0</v>
      </c>
      <c r="C45" s="52"/>
      <c r="D45" s="47">
        <v>45934.0</v>
      </c>
      <c r="E45" s="48">
        <v>108.0</v>
      </c>
      <c r="F45" s="47">
        <v>45935.0</v>
      </c>
      <c r="G45" s="48">
        <v>108.0</v>
      </c>
      <c r="H45" s="52"/>
      <c r="J45" s="50">
        <v>46298.0</v>
      </c>
      <c r="K45" s="51"/>
      <c r="L45" s="50">
        <v>46299.0</v>
      </c>
      <c r="M45" s="51"/>
      <c r="N45" s="52"/>
      <c r="P45" s="52"/>
      <c r="S45" s="52"/>
    </row>
    <row r="46" ht="15.75" customHeight="1">
      <c r="A46" s="47">
        <v>45599.0</v>
      </c>
      <c r="B46" s="48">
        <v>108.0</v>
      </c>
      <c r="C46" s="52"/>
      <c r="D46" s="47">
        <v>45941.0</v>
      </c>
      <c r="E46" s="51">
        <v>108.0</v>
      </c>
      <c r="F46" s="47">
        <v>45942.0</v>
      </c>
      <c r="G46" s="51">
        <v>108.0</v>
      </c>
      <c r="H46" s="52"/>
      <c r="J46" s="50">
        <v>46305.0</v>
      </c>
      <c r="K46" s="51"/>
      <c r="L46" s="50">
        <v>46306.0</v>
      </c>
      <c r="M46" s="51"/>
      <c r="N46" s="52"/>
      <c r="P46" s="52"/>
      <c r="S46" s="52"/>
    </row>
    <row r="47" ht="15.75" customHeight="1">
      <c r="A47" s="47">
        <v>45606.0</v>
      </c>
      <c r="B47" s="48">
        <v>108.0</v>
      </c>
      <c r="C47" s="52"/>
      <c r="D47" s="47">
        <v>45948.0</v>
      </c>
      <c r="E47" s="51">
        <v>198.0</v>
      </c>
      <c r="F47" s="47">
        <v>45949.0</v>
      </c>
      <c r="G47" s="51">
        <v>108.0</v>
      </c>
      <c r="H47" s="52"/>
      <c r="J47" s="50">
        <v>46312.0</v>
      </c>
      <c r="K47" s="51"/>
      <c r="L47" s="50">
        <v>46313.0</v>
      </c>
      <c r="M47" s="51"/>
      <c r="N47" s="52"/>
      <c r="P47" s="52"/>
      <c r="S47" s="52"/>
    </row>
    <row r="48" ht="15.75" customHeight="1">
      <c r="A48" s="47">
        <v>45613.0</v>
      </c>
      <c r="B48" s="48">
        <v>108.0</v>
      </c>
      <c r="C48" s="52"/>
      <c r="D48" s="47">
        <v>45955.0</v>
      </c>
      <c r="E48" s="51">
        <v>198.0</v>
      </c>
      <c r="F48" s="47">
        <v>45956.0</v>
      </c>
      <c r="G48" s="51">
        <v>95.0</v>
      </c>
      <c r="H48" s="52"/>
      <c r="J48" s="50">
        <v>46319.0</v>
      </c>
      <c r="K48" s="51"/>
      <c r="L48" s="50">
        <v>46320.0</v>
      </c>
      <c r="M48" s="51"/>
      <c r="N48" s="52"/>
      <c r="P48" s="52"/>
      <c r="S48" s="52"/>
    </row>
    <row r="49" ht="15.75" customHeight="1">
      <c r="A49" s="47">
        <v>45620.0</v>
      </c>
      <c r="B49" s="48">
        <v>108.0</v>
      </c>
      <c r="C49" s="52"/>
      <c r="D49" s="47">
        <v>45962.0</v>
      </c>
      <c r="E49" s="51">
        <v>198.0</v>
      </c>
      <c r="F49" s="47">
        <v>45963.0</v>
      </c>
      <c r="G49" s="51">
        <v>108.0</v>
      </c>
      <c r="H49" s="52"/>
      <c r="J49" s="50">
        <v>46326.0</v>
      </c>
      <c r="K49" s="51"/>
      <c r="L49" s="50">
        <v>46327.0</v>
      </c>
      <c r="M49" s="51"/>
      <c r="N49" s="52"/>
      <c r="P49" s="52"/>
      <c r="S49" s="52"/>
    </row>
    <row r="50" ht="15.75" customHeight="1">
      <c r="A50" s="47">
        <v>45627.0</v>
      </c>
      <c r="B50" s="48">
        <v>108.0</v>
      </c>
      <c r="C50" s="52"/>
      <c r="D50" s="47">
        <v>45969.0</v>
      </c>
      <c r="E50" s="51">
        <v>198.0</v>
      </c>
      <c r="F50" s="47">
        <v>45970.0</v>
      </c>
      <c r="G50" s="51">
        <v>108.0</v>
      </c>
      <c r="H50" s="52"/>
      <c r="J50" s="50">
        <v>46333.0</v>
      </c>
      <c r="K50" s="51"/>
      <c r="L50" s="50">
        <v>46334.0</v>
      </c>
      <c r="M50" s="51"/>
      <c r="N50" s="52"/>
      <c r="P50" s="52"/>
      <c r="S50" s="52"/>
    </row>
    <row r="51" ht="15.75" customHeight="1">
      <c r="A51" s="47">
        <v>45634.0</v>
      </c>
      <c r="B51" s="48">
        <v>108.0</v>
      </c>
      <c r="C51" s="52"/>
      <c r="D51" s="47">
        <v>45976.0</v>
      </c>
      <c r="E51" s="51">
        <v>198.0</v>
      </c>
      <c r="F51" s="47">
        <v>45977.0</v>
      </c>
      <c r="G51" s="51">
        <v>108.0</v>
      </c>
      <c r="H51" s="52"/>
      <c r="J51" s="50">
        <v>46340.0</v>
      </c>
      <c r="K51" s="51"/>
      <c r="L51" s="50">
        <v>46341.0</v>
      </c>
      <c r="M51" s="51"/>
      <c r="N51" s="52"/>
      <c r="P51" s="52"/>
      <c r="S51" s="52"/>
    </row>
    <row r="52" ht="15.75" customHeight="1">
      <c r="A52" s="47">
        <v>45641.0</v>
      </c>
      <c r="B52" s="48">
        <v>108.0</v>
      </c>
      <c r="C52" s="52"/>
      <c r="D52" s="47">
        <v>45983.0</v>
      </c>
      <c r="E52" s="51">
        <v>198.0</v>
      </c>
      <c r="F52" s="47">
        <v>45984.0</v>
      </c>
      <c r="G52" s="51">
        <v>108.0</v>
      </c>
      <c r="H52" s="52"/>
      <c r="J52" s="50">
        <v>46347.0</v>
      </c>
      <c r="K52" s="51"/>
      <c r="L52" s="50">
        <v>46348.0</v>
      </c>
      <c r="M52" s="51"/>
      <c r="N52" s="52"/>
      <c r="P52" s="52"/>
      <c r="S52" s="52"/>
    </row>
    <row r="53" ht="15.75" customHeight="1">
      <c r="A53" s="47">
        <v>45648.0</v>
      </c>
      <c r="B53" s="48">
        <v>108.0</v>
      </c>
      <c r="C53" s="52"/>
      <c r="D53" s="47">
        <v>45990.0</v>
      </c>
      <c r="E53" s="51">
        <v>198.0</v>
      </c>
      <c r="F53" s="47">
        <v>45991.0</v>
      </c>
      <c r="G53" s="51">
        <v>108.0</v>
      </c>
      <c r="H53" s="52"/>
      <c r="J53" s="50">
        <v>46354.0</v>
      </c>
      <c r="K53" s="51"/>
      <c r="L53" s="50">
        <v>46355.0</v>
      </c>
      <c r="M53" s="51"/>
      <c r="N53" s="52"/>
      <c r="P53" s="52"/>
      <c r="S53" s="52"/>
    </row>
    <row r="54" ht="15.75" customHeight="1">
      <c r="A54" s="47">
        <v>45655.0</v>
      </c>
      <c r="B54" s="48">
        <v>108.0</v>
      </c>
      <c r="C54" s="52"/>
      <c r="D54" s="47">
        <v>45997.0</v>
      </c>
      <c r="E54" s="51">
        <v>198.0</v>
      </c>
      <c r="F54" s="47">
        <v>45998.0</v>
      </c>
      <c r="G54" s="51">
        <v>108.0</v>
      </c>
      <c r="H54" s="52"/>
      <c r="J54" s="50">
        <v>46361.0</v>
      </c>
      <c r="K54" s="51"/>
      <c r="L54" s="50">
        <v>46362.0</v>
      </c>
      <c r="M54" s="51"/>
      <c r="N54" s="52"/>
      <c r="P54" s="52"/>
      <c r="S54" s="52"/>
    </row>
    <row r="55" ht="15.75" customHeight="1">
      <c r="A55" s="47"/>
      <c r="C55" s="52"/>
      <c r="D55" s="47">
        <v>46004.0</v>
      </c>
      <c r="E55" s="51">
        <v>198.0</v>
      </c>
      <c r="F55" s="47">
        <v>46005.0</v>
      </c>
      <c r="G55" s="51">
        <v>108.0</v>
      </c>
      <c r="H55" s="52"/>
      <c r="J55" s="50">
        <v>46368.0</v>
      </c>
      <c r="K55" s="51"/>
      <c r="L55" s="50">
        <v>46369.0</v>
      </c>
      <c r="M55" s="51"/>
      <c r="N55" s="52"/>
      <c r="P55" s="52"/>
      <c r="S55" s="52"/>
    </row>
    <row r="56" ht="15.75" customHeight="1">
      <c r="C56" s="52"/>
      <c r="D56" s="47">
        <v>46011.0</v>
      </c>
      <c r="E56" s="51">
        <v>198.0</v>
      </c>
      <c r="F56" s="47">
        <v>46012.0</v>
      </c>
      <c r="G56" s="51">
        <v>108.0</v>
      </c>
      <c r="H56" s="52"/>
      <c r="J56" s="50">
        <v>46375.0</v>
      </c>
      <c r="K56" s="51"/>
      <c r="L56" s="50">
        <v>46376.0</v>
      </c>
      <c r="M56" s="51"/>
      <c r="N56" s="52"/>
      <c r="P56" s="52"/>
      <c r="S56" s="52"/>
    </row>
    <row r="57" ht="15.75" customHeight="1">
      <c r="C57" s="52"/>
      <c r="D57" s="47">
        <v>46018.0</v>
      </c>
      <c r="E57" s="51">
        <v>198.0</v>
      </c>
      <c r="F57" s="47">
        <v>46019.0</v>
      </c>
      <c r="G57" s="51">
        <v>108.0</v>
      </c>
      <c r="H57" s="52"/>
      <c r="J57" s="50">
        <v>46382.0</v>
      </c>
      <c r="K57" s="51"/>
      <c r="L57" s="50">
        <v>46383.0</v>
      </c>
      <c r="M57" s="51"/>
      <c r="N57" s="52"/>
      <c r="P57" s="52"/>
      <c r="S57" s="52"/>
    </row>
    <row r="58" ht="15.75" customHeight="1">
      <c r="C58" s="52"/>
      <c r="H58" s="52"/>
      <c r="N58" s="52"/>
      <c r="P58" s="52"/>
      <c r="S58" s="52"/>
    </row>
    <row r="59" ht="15.75" customHeight="1">
      <c r="C59" s="52"/>
      <c r="H59" s="52"/>
      <c r="N59" s="52"/>
      <c r="P59" s="52"/>
      <c r="S59" s="52"/>
    </row>
    <row r="60" ht="15.75" customHeight="1">
      <c r="C60" s="52"/>
      <c r="H60" s="52"/>
      <c r="N60" s="52"/>
      <c r="P60" s="52"/>
      <c r="S60" s="52"/>
    </row>
    <row r="61" ht="15.75" customHeight="1">
      <c r="C61" s="52"/>
      <c r="H61" s="52"/>
      <c r="N61" s="52"/>
      <c r="P61" s="52"/>
      <c r="S61" s="52"/>
    </row>
    <row r="62" ht="15.75" customHeight="1">
      <c r="C62" s="52"/>
      <c r="H62" s="52"/>
      <c r="N62" s="52"/>
      <c r="P62" s="52"/>
      <c r="S62" s="52"/>
    </row>
    <row r="63" ht="15.75" customHeight="1">
      <c r="C63" s="52"/>
      <c r="H63" s="52"/>
      <c r="N63" s="52"/>
      <c r="P63" s="52"/>
      <c r="S63" s="52"/>
    </row>
    <row r="64" ht="15.75" customHeight="1">
      <c r="C64" s="52"/>
      <c r="H64" s="52"/>
      <c r="N64" s="52"/>
      <c r="P64" s="52"/>
      <c r="S64" s="52"/>
    </row>
    <row r="65" ht="15.75" customHeight="1">
      <c r="C65" s="52"/>
      <c r="H65" s="52"/>
      <c r="N65" s="52"/>
      <c r="P65" s="52"/>
      <c r="S65" s="52"/>
    </row>
    <row r="66" ht="15.75" customHeight="1">
      <c r="C66" s="52"/>
      <c r="H66" s="52"/>
      <c r="N66" s="52"/>
      <c r="P66" s="52"/>
      <c r="S66" s="52"/>
    </row>
    <row r="67" ht="15.75" customHeight="1">
      <c r="C67" s="52"/>
      <c r="H67" s="52"/>
      <c r="N67" s="52"/>
      <c r="P67" s="52"/>
      <c r="S67" s="52"/>
    </row>
    <row r="68" ht="15.75" customHeight="1">
      <c r="C68" s="52"/>
      <c r="H68" s="52"/>
      <c r="N68" s="52"/>
      <c r="P68" s="52"/>
      <c r="S68" s="52"/>
    </row>
    <row r="69" ht="15.75" customHeight="1">
      <c r="C69" s="52"/>
      <c r="H69" s="52"/>
      <c r="N69" s="52"/>
      <c r="P69" s="52"/>
      <c r="S69" s="52"/>
    </row>
    <row r="70" ht="15.75" customHeight="1">
      <c r="C70" s="52"/>
      <c r="H70" s="52"/>
      <c r="N70" s="52"/>
      <c r="P70" s="52"/>
      <c r="S70" s="52"/>
    </row>
    <row r="71" ht="15.75" customHeight="1">
      <c r="C71" s="52"/>
      <c r="H71" s="52"/>
      <c r="N71" s="52"/>
      <c r="P71" s="52"/>
      <c r="S71" s="52"/>
    </row>
    <row r="72" ht="15.75" customHeight="1">
      <c r="C72" s="52"/>
      <c r="H72" s="52"/>
      <c r="N72" s="52"/>
      <c r="P72" s="52"/>
      <c r="S72" s="52"/>
    </row>
    <row r="73" ht="15.75" customHeight="1">
      <c r="C73" s="52"/>
      <c r="H73" s="52"/>
      <c r="N73" s="52"/>
      <c r="P73" s="52"/>
      <c r="S73" s="52"/>
    </row>
    <row r="74" ht="15.75" customHeight="1">
      <c r="C74" s="52"/>
      <c r="H74" s="52"/>
      <c r="N74" s="52"/>
      <c r="P74" s="52"/>
      <c r="S74" s="52"/>
    </row>
    <row r="75" ht="15.75" customHeight="1">
      <c r="C75" s="52"/>
      <c r="H75" s="52"/>
      <c r="N75" s="52"/>
      <c r="P75" s="52"/>
      <c r="S75" s="52"/>
    </row>
    <row r="76" ht="15.75" customHeight="1">
      <c r="C76" s="52"/>
      <c r="H76" s="52"/>
      <c r="N76" s="52"/>
      <c r="P76" s="52"/>
      <c r="S76" s="52"/>
    </row>
    <row r="77" ht="15.75" customHeight="1">
      <c r="C77" s="52"/>
      <c r="H77" s="52"/>
      <c r="N77" s="52"/>
      <c r="P77" s="52"/>
      <c r="S77" s="52"/>
    </row>
    <row r="78" ht="15.75" customHeight="1">
      <c r="C78" s="52"/>
      <c r="H78" s="52"/>
      <c r="N78" s="52"/>
      <c r="P78" s="52"/>
      <c r="S78" s="52"/>
    </row>
    <row r="79" ht="15.75" customHeight="1">
      <c r="C79" s="52"/>
      <c r="H79" s="52"/>
      <c r="N79" s="52"/>
      <c r="P79" s="52"/>
      <c r="S79" s="52"/>
    </row>
    <row r="80" ht="15.75" customHeight="1">
      <c r="C80" s="52"/>
      <c r="H80" s="52"/>
      <c r="N80" s="52"/>
      <c r="P80" s="52"/>
      <c r="S80" s="52"/>
    </row>
    <row r="81" ht="15.75" customHeight="1">
      <c r="C81" s="52"/>
      <c r="H81" s="52"/>
      <c r="N81" s="52"/>
      <c r="P81" s="52"/>
      <c r="S81" s="52"/>
    </row>
    <row r="82" ht="15.75" customHeight="1">
      <c r="C82" s="52"/>
      <c r="H82" s="52"/>
      <c r="N82" s="52"/>
      <c r="P82" s="52"/>
      <c r="S82" s="52"/>
    </row>
    <row r="83" ht="15.75" customHeight="1">
      <c r="C83" s="52"/>
      <c r="H83" s="52"/>
      <c r="N83" s="52"/>
      <c r="P83" s="52"/>
      <c r="S83" s="52"/>
    </row>
    <row r="84" ht="15.75" customHeight="1">
      <c r="C84" s="52"/>
      <c r="H84" s="52"/>
      <c r="N84" s="52"/>
      <c r="P84" s="52"/>
      <c r="S84" s="52"/>
    </row>
    <row r="85" ht="15.75" customHeight="1">
      <c r="C85" s="52"/>
      <c r="H85" s="52"/>
      <c r="N85" s="52"/>
      <c r="P85" s="52"/>
      <c r="S85" s="52"/>
    </row>
    <row r="86" ht="15.75" customHeight="1">
      <c r="C86" s="52"/>
      <c r="H86" s="52"/>
      <c r="N86" s="52"/>
      <c r="P86" s="52"/>
      <c r="S86" s="52"/>
    </row>
    <row r="87" ht="15.75" customHeight="1">
      <c r="C87" s="52"/>
      <c r="H87" s="52"/>
      <c r="N87" s="52"/>
      <c r="P87" s="52"/>
      <c r="S87" s="52"/>
    </row>
    <row r="88" ht="15.75" customHeight="1">
      <c r="C88" s="52"/>
      <c r="H88" s="52"/>
      <c r="N88" s="52"/>
      <c r="P88" s="52"/>
      <c r="S88" s="52"/>
    </row>
    <row r="89" ht="15.75" customHeight="1">
      <c r="C89" s="52"/>
      <c r="H89" s="52"/>
      <c r="N89" s="52"/>
      <c r="P89" s="52"/>
      <c r="S89" s="52"/>
    </row>
    <row r="90" ht="15.75" customHeight="1">
      <c r="C90" s="52"/>
      <c r="H90" s="52"/>
      <c r="N90" s="52"/>
      <c r="P90" s="52"/>
      <c r="S90" s="52"/>
    </row>
    <row r="91" ht="15.75" customHeight="1">
      <c r="C91" s="52"/>
      <c r="H91" s="52"/>
      <c r="N91" s="52"/>
      <c r="P91" s="52"/>
      <c r="S91" s="52"/>
    </row>
    <row r="92" ht="15.75" customHeight="1">
      <c r="C92" s="52"/>
      <c r="H92" s="52"/>
      <c r="N92" s="52"/>
      <c r="P92" s="52"/>
      <c r="S92" s="52"/>
    </row>
    <row r="93" ht="15.75" customHeight="1">
      <c r="C93" s="52"/>
      <c r="H93" s="52"/>
      <c r="N93" s="52"/>
      <c r="P93" s="52"/>
      <c r="S93" s="52"/>
    </row>
    <row r="94" ht="15.75" customHeight="1">
      <c r="C94" s="52"/>
      <c r="H94" s="52"/>
      <c r="N94" s="52"/>
      <c r="P94" s="52"/>
      <c r="S94" s="52"/>
    </row>
    <row r="95" ht="15.75" customHeight="1">
      <c r="C95" s="52"/>
      <c r="H95" s="52"/>
      <c r="N95" s="52"/>
      <c r="P95" s="52"/>
      <c r="S95" s="52"/>
    </row>
    <row r="96" ht="15.75" customHeight="1">
      <c r="C96" s="52"/>
      <c r="H96" s="52"/>
      <c r="N96" s="52"/>
      <c r="P96" s="52"/>
      <c r="S96" s="52"/>
    </row>
    <row r="97" ht="15.75" customHeight="1">
      <c r="C97" s="52"/>
      <c r="H97" s="52"/>
      <c r="N97" s="52"/>
      <c r="P97" s="52"/>
      <c r="S97" s="52"/>
    </row>
    <row r="98" ht="15.75" customHeight="1">
      <c r="C98" s="52"/>
      <c r="H98" s="52"/>
      <c r="N98" s="52"/>
      <c r="P98" s="52"/>
      <c r="S98" s="52"/>
    </row>
    <row r="99" ht="15.75" customHeight="1">
      <c r="C99" s="52"/>
      <c r="H99" s="52"/>
      <c r="N99" s="52"/>
      <c r="P99" s="52"/>
      <c r="S99" s="52"/>
    </row>
    <row r="100" ht="15.75" customHeight="1">
      <c r="C100" s="52"/>
      <c r="H100" s="52"/>
      <c r="N100" s="52"/>
      <c r="P100" s="52"/>
      <c r="S100" s="52"/>
    </row>
    <row r="101" ht="15.75" customHeight="1">
      <c r="C101" s="52"/>
      <c r="H101" s="52"/>
      <c r="N101" s="52"/>
      <c r="P101" s="52"/>
      <c r="S101" s="52"/>
    </row>
    <row r="102" ht="15.75" customHeight="1">
      <c r="C102" s="52"/>
      <c r="H102" s="52"/>
      <c r="N102" s="52"/>
      <c r="P102" s="52"/>
      <c r="S102" s="52"/>
    </row>
    <row r="103" ht="15.75" customHeight="1">
      <c r="C103" s="52"/>
      <c r="H103" s="52"/>
      <c r="N103" s="52"/>
      <c r="P103" s="52"/>
      <c r="S103" s="52"/>
    </row>
    <row r="104" ht="15.75" customHeight="1">
      <c r="C104" s="52"/>
      <c r="H104" s="52"/>
      <c r="N104" s="52"/>
      <c r="P104" s="52"/>
      <c r="S104" s="52"/>
    </row>
    <row r="105" ht="15.75" customHeight="1">
      <c r="C105" s="52"/>
      <c r="H105" s="52"/>
      <c r="N105" s="52"/>
      <c r="P105" s="52"/>
      <c r="S105" s="52"/>
    </row>
    <row r="106" ht="15.75" customHeight="1">
      <c r="C106" s="52"/>
      <c r="H106" s="52"/>
      <c r="N106" s="52"/>
      <c r="P106" s="52"/>
      <c r="S106" s="52"/>
    </row>
    <row r="107" ht="15.75" customHeight="1">
      <c r="C107" s="52"/>
      <c r="H107" s="52"/>
      <c r="N107" s="52"/>
      <c r="P107" s="52"/>
      <c r="S107" s="52"/>
    </row>
    <row r="108" ht="15.75" customHeight="1">
      <c r="C108" s="52"/>
      <c r="H108" s="52"/>
      <c r="N108" s="52"/>
      <c r="P108" s="52"/>
      <c r="S108" s="52"/>
    </row>
    <row r="109" ht="15.75" customHeight="1">
      <c r="C109" s="52"/>
      <c r="H109" s="52"/>
      <c r="N109" s="52"/>
      <c r="P109" s="52"/>
      <c r="S109" s="52"/>
    </row>
    <row r="110" ht="15.75" customHeight="1">
      <c r="C110" s="52"/>
      <c r="H110" s="52"/>
      <c r="N110" s="52"/>
      <c r="P110" s="52"/>
      <c r="S110" s="52"/>
    </row>
    <row r="111" ht="15.75" customHeight="1">
      <c r="C111" s="52"/>
      <c r="H111" s="52"/>
      <c r="N111" s="52"/>
      <c r="P111" s="52"/>
      <c r="S111" s="52"/>
    </row>
    <row r="112" ht="15.75" customHeight="1">
      <c r="C112" s="52"/>
      <c r="H112" s="52"/>
      <c r="N112" s="52"/>
      <c r="P112" s="52"/>
      <c r="S112" s="52"/>
    </row>
    <row r="113" ht="15.75" customHeight="1">
      <c r="C113" s="52"/>
      <c r="H113" s="52"/>
      <c r="N113" s="52"/>
      <c r="P113" s="52"/>
      <c r="S113" s="52"/>
    </row>
    <row r="114" ht="15.75" customHeight="1">
      <c r="C114" s="52"/>
      <c r="H114" s="52"/>
      <c r="N114" s="52"/>
      <c r="P114" s="52"/>
      <c r="S114" s="52"/>
    </row>
    <row r="115" ht="15.75" customHeight="1">
      <c r="C115" s="52"/>
      <c r="H115" s="52"/>
      <c r="N115" s="52"/>
      <c r="P115" s="52"/>
      <c r="S115" s="52"/>
    </row>
    <row r="116" ht="15.75" customHeight="1">
      <c r="C116" s="52"/>
      <c r="H116" s="52"/>
      <c r="N116" s="52"/>
      <c r="P116" s="52"/>
      <c r="S116" s="52"/>
    </row>
    <row r="117" ht="15.75" customHeight="1">
      <c r="C117" s="52"/>
      <c r="H117" s="52"/>
      <c r="N117" s="52"/>
      <c r="P117" s="52"/>
      <c r="S117" s="52"/>
    </row>
    <row r="118" ht="15.75" customHeight="1">
      <c r="C118" s="52"/>
      <c r="H118" s="52"/>
      <c r="N118" s="52"/>
      <c r="P118" s="52"/>
      <c r="S118" s="52"/>
    </row>
    <row r="119" ht="15.75" customHeight="1">
      <c r="C119" s="52"/>
      <c r="H119" s="52"/>
      <c r="N119" s="52"/>
      <c r="P119" s="52"/>
      <c r="S119" s="52"/>
    </row>
    <row r="120" ht="15.75" customHeight="1">
      <c r="C120" s="52"/>
      <c r="H120" s="52"/>
      <c r="N120" s="52"/>
      <c r="P120" s="52"/>
      <c r="S120" s="52"/>
    </row>
    <row r="121" ht="15.75" customHeight="1">
      <c r="C121" s="52"/>
      <c r="H121" s="52"/>
      <c r="N121" s="52"/>
      <c r="P121" s="52"/>
      <c r="S121" s="52"/>
    </row>
    <row r="122" ht="15.75" customHeight="1">
      <c r="C122" s="52"/>
      <c r="H122" s="52"/>
      <c r="N122" s="52"/>
      <c r="P122" s="52"/>
      <c r="S122" s="52"/>
    </row>
    <row r="123" ht="15.75" customHeight="1">
      <c r="C123" s="52"/>
      <c r="H123" s="52"/>
      <c r="N123" s="52"/>
      <c r="P123" s="52"/>
      <c r="S123" s="52"/>
    </row>
    <row r="124" ht="15.75" customHeight="1">
      <c r="C124" s="52"/>
      <c r="H124" s="52"/>
      <c r="N124" s="52"/>
      <c r="P124" s="52"/>
      <c r="S124" s="52"/>
    </row>
    <row r="125" ht="15.75" customHeight="1">
      <c r="C125" s="52"/>
      <c r="H125" s="52"/>
      <c r="N125" s="52"/>
      <c r="P125" s="52"/>
      <c r="S125" s="52"/>
    </row>
    <row r="126" ht="15.75" customHeight="1">
      <c r="C126" s="52"/>
      <c r="H126" s="52"/>
      <c r="N126" s="52"/>
      <c r="P126" s="52"/>
      <c r="S126" s="52"/>
    </row>
    <row r="127" ht="15.75" customHeight="1">
      <c r="C127" s="52"/>
      <c r="H127" s="52"/>
      <c r="N127" s="52"/>
      <c r="P127" s="52"/>
      <c r="S127" s="52"/>
    </row>
    <row r="128" ht="15.75" customHeight="1">
      <c r="C128" s="52"/>
      <c r="H128" s="52"/>
      <c r="N128" s="52"/>
      <c r="P128" s="52"/>
      <c r="S128" s="52"/>
    </row>
    <row r="129" ht="15.75" customHeight="1">
      <c r="C129" s="52"/>
      <c r="H129" s="52"/>
      <c r="N129" s="52"/>
      <c r="P129" s="52"/>
      <c r="S129" s="52"/>
    </row>
    <row r="130" ht="15.75" customHeight="1">
      <c r="C130" s="52"/>
      <c r="H130" s="52"/>
      <c r="N130" s="52"/>
      <c r="P130" s="52"/>
      <c r="S130" s="52"/>
    </row>
    <row r="131" ht="15.75" customHeight="1">
      <c r="C131" s="52"/>
      <c r="H131" s="52"/>
      <c r="N131" s="52"/>
      <c r="P131" s="52"/>
      <c r="S131" s="52"/>
    </row>
    <row r="132" ht="15.75" customHeight="1">
      <c r="C132" s="52"/>
      <c r="H132" s="52"/>
      <c r="N132" s="52"/>
      <c r="P132" s="52"/>
      <c r="S132" s="52"/>
    </row>
    <row r="133" ht="15.75" customHeight="1">
      <c r="C133" s="52"/>
      <c r="H133" s="52"/>
      <c r="N133" s="52"/>
      <c r="P133" s="52"/>
      <c r="S133" s="52"/>
    </row>
    <row r="134" ht="15.75" customHeight="1">
      <c r="C134" s="52"/>
      <c r="H134" s="52"/>
      <c r="N134" s="52"/>
      <c r="P134" s="52"/>
      <c r="S134" s="52"/>
    </row>
    <row r="135" ht="15.75" customHeight="1">
      <c r="C135" s="52"/>
      <c r="H135" s="52"/>
      <c r="N135" s="52"/>
      <c r="P135" s="52"/>
      <c r="S135" s="52"/>
    </row>
    <row r="136" ht="15.75" customHeight="1">
      <c r="C136" s="52"/>
      <c r="H136" s="52"/>
      <c r="N136" s="52"/>
      <c r="P136" s="52"/>
      <c r="S136" s="52"/>
    </row>
    <row r="137" ht="15.75" customHeight="1">
      <c r="C137" s="52"/>
      <c r="H137" s="52"/>
      <c r="N137" s="52"/>
      <c r="P137" s="52"/>
      <c r="S137" s="52"/>
    </row>
    <row r="138" ht="15.75" customHeight="1">
      <c r="C138" s="52"/>
      <c r="H138" s="52"/>
      <c r="N138" s="52"/>
      <c r="P138" s="52"/>
      <c r="S138" s="52"/>
    </row>
    <row r="139" ht="15.75" customHeight="1">
      <c r="C139" s="52"/>
      <c r="H139" s="52"/>
      <c r="N139" s="52"/>
      <c r="P139" s="52"/>
      <c r="S139" s="52"/>
    </row>
    <row r="140" ht="15.75" customHeight="1">
      <c r="C140" s="52"/>
      <c r="H140" s="52"/>
      <c r="N140" s="52"/>
      <c r="P140" s="52"/>
      <c r="S140" s="52"/>
    </row>
    <row r="141" ht="15.75" customHeight="1">
      <c r="C141" s="52"/>
      <c r="H141" s="52"/>
      <c r="N141" s="52"/>
      <c r="P141" s="52"/>
      <c r="S141" s="52"/>
    </row>
    <row r="142" ht="15.75" customHeight="1">
      <c r="C142" s="52"/>
      <c r="H142" s="52"/>
      <c r="N142" s="52"/>
      <c r="P142" s="52"/>
      <c r="S142" s="52"/>
    </row>
    <row r="143" ht="15.75" customHeight="1">
      <c r="C143" s="52"/>
      <c r="H143" s="52"/>
      <c r="N143" s="52"/>
      <c r="P143" s="52"/>
      <c r="S143" s="52"/>
    </row>
    <row r="144" ht="15.75" customHeight="1">
      <c r="C144" s="52"/>
      <c r="H144" s="52"/>
      <c r="N144" s="52"/>
      <c r="P144" s="52"/>
      <c r="S144" s="52"/>
    </row>
    <row r="145" ht="15.75" customHeight="1">
      <c r="C145" s="52"/>
      <c r="H145" s="52"/>
      <c r="N145" s="52"/>
      <c r="P145" s="52"/>
      <c r="S145" s="52"/>
    </row>
    <row r="146" ht="15.75" customHeight="1">
      <c r="C146" s="52"/>
      <c r="H146" s="52"/>
      <c r="N146" s="52"/>
      <c r="P146" s="52"/>
      <c r="S146" s="52"/>
    </row>
    <row r="147" ht="15.75" customHeight="1">
      <c r="C147" s="52"/>
      <c r="H147" s="52"/>
      <c r="N147" s="52"/>
      <c r="P147" s="52"/>
      <c r="S147" s="52"/>
    </row>
    <row r="148" ht="15.75" customHeight="1">
      <c r="C148" s="52"/>
      <c r="H148" s="52"/>
      <c r="N148" s="52"/>
      <c r="P148" s="52"/>
      <c r="S148" s="52"/>
    </row>
    <row r="149" ht="15.75" customHeight="1">
      <c r="C149" s="52"/>
      <c r="H149" s="52"/>
      <c r="N149" s="52"/>
      <c r="P149" s="52"/>
      <c r="S149" s="52"/>
    </row>
    <row r="150" ht="15.75" customHeight="1">
      <c r="C150" s="52"/>
      <c r="H150" s="52"/>
      <c r="N150" s="52"/>
      <c r="P150" s="52"/>
      <c r="S150" s="52"/>
    </row>
    <row r="151" ht="15.75" customHeight="1">
      <c r="C151" s="52"/>
      <c r="H151" s="52"/>
      <c r="N151" s="52"/>
      <c r="P151" s="52"/>
      <c r="S151" s="52"/>
    </row>
    <row r="152" ht="15.75" customHeight="1">
      <c r="C152" s="52"/>
      <c r="H152" s="52"/>
      <c r="N152" s="52"/>
      <c r="P152" s="52"/>
      <c r="S152" s="52"/>
    </row>
    <row r="153" ht="15.75" customHeight="1">
      <c r="C153" s="52"/>
      <c r="H153" s="52"/>
      <c r="N153" s="52"/>
      <c r="P153" s="52"/>
      <c r="S153" s="52"/>
    </row>
    <row r="154" ht="15.75" customHeight="1">
      <c r="C154" s="52"/>
      <c r="H154" s="52"/>
      <c r="N154" s="52"/>
      <c r="P154" s="52"/>
      <c r="S154" s="52"/>
    </row>
    <row r="155" ht="15.75" customHeight="1">
      <c r="C155" s="52"/>
      <c r="H155" s="52"/>
      <c r="N155" s="52"/>
      <c r="P155" s="52"/>
      <c r="S155" s="52"/>
    </row>
    <row r="156" ht="15.75" customHeight="1">
      <c r="C156" s="52"/>
      <c r="H156" s="52"/>
      <c r="N156" s="52"/>
      <c r="P156" s="52"/>
      <c r="S156" s="52"/>
    </row>
    <row r="157" ht="15.75" customHeight="1">
      <c r="C157" s="52"/>
      <c r="H157" s="52"/>
      <c r="N157" s="52"/>
      <c r="P157" s="52"/>
      <c r="S157" s="52"/>
    </row>
    <row r="158" ht="15.75" customHeight="1">
      <c r="C158" s="52"/>
      <c r="H158" s="52"/>
      <c r="N158" s="52"/>
      <c r="P158" s="52"/>
      <c r="S158" s="52"/>
    </row>
    <row r="159" ht="15.75" customHeight="1">
      <c r="C159" s="52"/>
      <c r="H159" s="52"/>
      <c r="N159" s="52"/>
      <c r="P159" s="52"/>
      <c r="S159" s="52"/>
    </row>
    <row r="160" ht="15.75" customHeight="1">
      <c r="C160" s="52"/>
      <c r="H160" s="52"/>
      <c r="N160" s="52"/>
      <c r="P160" s="52"/>
      <c r="S160" s="52"/>
    </row>
    <row r="161" ht="15.75" customHeight="1">
      <c r="C161" s="52"/>
      <c r="H161" s="52"/>
      <c r="N161" s="52"/>
      <c r="P161" s="52"/>
      <c r="S161" s="52"/>
    </row>
    <row r="162" ht="15.75" customHeight="1">
      <c r="C162" s="52"/>
      <c r="H162" s="52"/>
      <c r="N162" s="52"/>
      <c r="P162" s="52"/>
      <c r="S162" s="52"/>
    </row>
    <row r="163" ht="15.75" customHeight="1">
      <c r="C163" s="52"/>
      <c r="H163" s="52"/>
      <c r="N163" s="52"/>
      <c r="P163" s="52"/>
      <c r="S163" s="52"/>
    </row>
    <row r="164" ht="15.75" customHeight="1">
      <c r="C164" s="52"/>
      <c r="H164" s="52"/>
      <c r="N164" s="52"/>
      <c r="P164" s="52"/>
      <c r="S164" s="52"/>
    </row>
    <row r="165" ht="15.75" customHeight="1">
      <c r="C165" s="52"/>
      <c r="H165" s="52"/>
      <c r="N165" s="52"/>
      <c r="P165" s="52"/>
      <c r="S165" s="52"/>
    </row>
    <row r="166" ht="15.75" customHeight="1">
      <c r="C166" s="52"/>
      <c r="H166" s="52"/>
      <c r="N166" s="52"/>
      <c r="P166" s="52"/>
      <c r="S166" s="52"/>
    </row>
    <row r="167" ht="15.75" customHeight="1">
      <c r="C167" s="52"/>
      <c r="H167" s="52"/>
      <c r="N167" s="52"/>
      <c r="P167" s="52"/>
      <c r="S167" s="52"/>
    </row>
    <row r="168" ht="15.75" customHeight="1">
      <c r="C168" s="52"/>
      <c r="H168" s="52"/>
      <c r="N168" s="52"/>
      <c r="P168" s="52"/>
      <c r="S168" s="52"/>
    </row>
    <row r="169" ht="15.75" customHeight="1">
      <c r="C169" s="52"/>
      <c r="H169" s="52"/>
      <c r="N169" s="52"/>
      <c r="P169" s="52"/>
      <c r="S169" s="52"/>
    </row>
    <row r="170" ht="15.75" customHeight="1">
      <c r="C170" s="52"/>
      <c r="H170" s="52"/>
      <c r="N170" s="52"/>
      <c r="P170" s="52"/>
      <c r="S170" s="52"/>
    </row>
    <row r="171" ht="15.75" customHeight="1">
      <c r="C171" s="52"/>
      <c r="H171" s="52"/>
      <c r="N171" s="52"/>
      <c r="P171" s="52"/>
      <c r="S171" s="52"/>
    </row>
    <row r="172" ht="15.75" customHeight="1">
      <c r="C172" s="52"/>
      <c r="H172" s="52"/>
      <c r="N172" s="52"/>
      <c r="P172" s="52"/>
      <c r="S172" s="52"/>
    </row>
    <row r="173" ht="15.75" customHeight="1">
      <c r="C173" s="52"/>
      <c r="H173" s="52"/>
      <c r="N173" s="52"/>
      <c r="P173" s="52"/>
      <c r="S173" s="52"/>
    </row>
    <row r="174" ht="15.75" customHeight="1">
      <c r="C174" s="52"/>
      <c r="H174" s="52"/>
      <c r="N174" s="52"/>
      <c r="P174" s="52"/>
      <c r="S174" s="52"/>
    </row>
    <row r="175" ht="15.75" customHeight="1">
      <c r="C175" s="52"/>
      <c r="H175" s="52"/>
      <c r="N175" s="52"/>
      <c r="P175" s="52"/>
      <c r="S175" s="52"/>
    </row>
    <row r="176" ht="15.75" customHeight="1">
      <c r="C176" s="52"/>
      <c r="H176" s="52"/>
      <c r="N176" s="52"/>
      <c r="P176" s="52"/>
      <c r="S176" s="52"/>
    </row>
    <row r="177" ht="15.75" customHeight="1">
      <c r="C177" s="52"/>
      <c r="H177" s="52"/>
      <c r="N177" s="52"/>
      <c r="P177" s="52"/>
      <c r="S177" s="52"/>
    </row>
    <row r="178" ht="15.75" customHeight="1">
      <c r="C178" s="52"/>
      <c r="H178" s="52"/>
      <c r="N178" s="52"/>
      <c r="P178" s="52"/>
      <c r="S178" s="52"/>
    </row>
    <row r="179" ht="15.75" customHeight="1">
      <c r="C179" s="52"/>
      <c r="H179" s="52"/>
      <c r="N179" s="52"/>
      <c r="P179" s="52"/>
      <c r="S179" s="52"/>
    </row>
    <row r="180" ht="15.75" customHeight="1">
      <c r="C180" s="52"/>
      <c r="H180" s="52"/>
      <c r="N180" s="52"/>
      <c r="P180" s="52"/>
      <c r="S180" s="52"/>
    </row>
    <row r="181" ht="15.75" customHeight="1">
      <c r="C181" s="52"/>
      <c r="H181" s="52"/>
      <c r="N181" s="52"/>
      <c r="P181" s="52"/>
      <c r="S181" s="52"/>
    </row>
    <row r="182" ht="15.75" customHeight="1">
      <c r="C182" s="52"/>
      <c r="H182" s="52"/>
      <c r="N182" s="52"/>
      <c r="P182" s="52"/>
      <c r="S182" s="52"/>
    </row>
    <row r="183" ht="15.75" customHeight="1">
      <c r="C183" s="52"/>
      <c r="H183" s="52"/>
      <c r="N183" s="52"/>
      <c r="P183" s="52"/>
      <c r="S183" s="52"/>
    </row>
    <row r="184" ht="15.75" customHeight="1">
      <c r="C184" s="52"/>
      <c r="H184" s="52"/>
      <c r="N184" s="52"/>
      <c r="P184" s="52"/>
      <c r="S184" s="52"/>
    </row>
    <row r="185" ht="15.75" customHeight="1">
      <c r="C185" s="52"/>
      <c r="H185" s="52"/>
      <c r="N185" s="52"/>
      <c r="P185" s="52"/>
      <c r="S185" s="52"/>
    </row>
    <row r="186" ht="15.75" customHeight="1">
      <c r="C186" s="52"/>
      <c r="H186" s="52"/>
      <c r="N186" s="52"/>
      <c r="P186" s="52"/>
      <c r="S186" s="52"/>
    </row>
    <row r="187" ht="15.75" customHeight="1">
      <c r="C187" s="52"/>
      <c r="H187" s="52"/>
      <c r="N187" s="52"/>
      <c r="P187" s="52"/>
      <c r="S187" s="52"/>
    </row>
    <row r="188" ht="15.75" customHeight="1">
      <c r="C188" s="52"/>
      <c r="H188" s="52"/>
      <c r="N188" s="52"/>
      <c r="P188" s="52"/>
      <c r="S188" s="52"/>
    </row>
    <row r="189" ht="15.75" customHeight="1">
      <c r="C189" s="52"/>
      <c r="H189" s="52"/>
      <c r="N189" s="52"/>
      <c r="P189" s="52"/>
      <c r="S189" s="52"/>
    </row>
    <row r="190" ht="15.75" customHeight="1">
      <c r="C190" s="52"/>
      <c r="H190" s="52"/>
      <c r="N190" s="52"/>
      <c r="P190" s="52"/>
      <c r="S190" s="52"/>
    </row>
    <row r="191" ht="15.75" customHeight="1">
      <c r="C191" s="52"/>
      <c r="H191" s="52"/>
      <c r="N191" s="52"/>
      <c r="P191" s="52"/>
      <c r="S191" s="52"/>
    </row>
    <row r="192" ht="15.75" customHeight="1">
      <c r="C192" s="52"/>
      <c r="H192" s="52"/>
      <c r="N192" s="52"/>
      <c r="P192" s="52"/>
      <c r="S192" s="52"/>
    </row>
    <row r="193" ht="15.75" customHeight="1">
      <c r="C193" s="52"/>
      <c r="H193" s="52"/>
      <c r="N193" s="52"/>
      <c r="P193" s="52"/>
      <c r="S193" s="52"/>
    </row>
    <row r="194" ht="15.75" customHeight="1">
      <c r="C194" s="52"/>
      <c r="H194" s="52"/>
      <c r="N194" s="52"/>
      <c r="P194" s="52"/>
      <c r="S194" s="52"/>
    </row>
    <row r="195" ht="15.75" customHeight="1">
      <c r="C195" s="52"/>
      <c r="H195" s="52"/>
      <c r="N195" s="52"/>
      <c r="P195" s="52"/>
      <c r="S195" s="52"/>
    </row>
    <row r="196" ht="15.75" customHeight="1">
      <c r="C196" s="52"/>
      <c r="H196" s="52"/>
      <c r="N196" s="52"/>
      <c r="P196" s="52"/>
      <c r="S196" s="52"/>
    </row>
    <row r="197" ht="15.75" customHeight="1">
      <c r="C197" s="52"/>
      <c r="H197" s="52"/>
      <c r="N197" s="52"/>
      <c r="P197" s="52"/>
      <c r="S197" s="52"/>
    </row>
    <row r="198" ht="15.75" customHeight="1">
      <c r="C198" s="52"/>
      <c r="H198" s="52"/>
      <c r="N198" s="52"/>
      <c r="P198" s="52"/>
      <c r="S198" s="52"/>
    </row>
    <row r="199" ht="15.75" customHeight="1">
      <c r="C199" s="52"/>
      <c r="H199" s="52"/>
      <c r="N199" s="52"/>
      <c r="P199" s="52"/>
      <c r="S199" s="52"/>
    </row>
    <row r="200" ht="15.75" customHeight="1">
      <c r="C200" s="52"/>
      <c r="H200" s="52"/>
      <c r="N200" s="52"/>
      <c r="P200" s="52"/>
      <c r="S200" s="52"/>
    </row>
    <row r="201" ht="15.75" customHeight="1">
      <c r="C201" s="52"/>
      <c r="H201" s="52"/>
      <c r="N201" s="52"/>
      <c r="P201" s="52"/>
      <c r="S201" s="52"/>
    </row>
    <row r="202" ht="15.75" customHeight="1">
      <c r="C202" s="52"/>
      <c r="H202" s="52"/>
      <c r="N202" s="52"/>
      <c r="P202" s="52"/>
      <c r="S202" s="52"/>
    </row>
    <row r="203" ht="15.75" customHeight="1">
      <c r="C203" s="52"/>
      <c r="H203" s="52"/>
      <c r="N203" s="52"/>
      <c r="P203" s="52"/>
      <c r="S203" s="52"/>
    </row>
    <row r="204" ht="15.75" customHeight="1">
      <c r="C204" s="52"/>
      <c r="H204" s="52"/>
      <c r="N204" s="52"/>
      <c r="P204" s="52"/>
      <c r="S204" s="52"/>
    </row>
    <row r="205" ht="15.75" customHeight="1">
      <c r="C205" s="52"/>
      <c r="H205" s="52"/>
      <c r="N205" s="52"/>
      <c r="P205" s="52"/>
      <c r="S205" s="52"/>
    </row>
    <row r="206" ht="15.75" customHeight="1">
      <c r="C206" s="52"/>
      <c r="H206" s="52"/>
      <c r="N206" s="52"/>
      <c r="P206" s="52"/>
      <c r="S206" s="52"/>
    </row>
    <row r="207" ht="15.75" customHeight="1">
      <c r="C207" s="52"/>
      <c r="H207" s="52"/>
      <c r="N207" s="52"/>
      <c r="P207" s="52"/>
      <c r="S207" s="52"/>
    </row>
    <row r="208" ht="15.75" customHeight="1">
      <c r="C208" s="52"/>
      <c r="H208" s="52"/>
      <c r="N208" s="52"/>
      <c r="P208" s="52"/>
      <c r="S208" s="52"/>
    </row>
    <row r="209" ht="15.75" customHeight="1">
      <c r="C209" s="52"/>
      <c r="H209" s="52"/>
      <c r="N209" s="52"/>
      <c r="P209" s="52"/>
      <c r="S209" s="52"/>
    </row>
    <row r="210" ht="15.75" customHeight="1">
      <c r="C210" s="52"/>
      <c r="H210" s="52"/>
      <c r="N210" s="52"/>
      <c r="P210" s="52"/>
      <c r="S210" s="52"/>
    </row>
    <row r="211" ht="15.75" customHeight="1">
      <c r="C211" s="52"/>
      <c r="H211" s="52"/>
      <c r="N211" s="52"/>
      <c r="P211" s="52"/>
      <c r="S211" s="52"/>
    </row>
    <row r="212" ht="15.75" customHeight="1">
      <c r="C212" s="52"/>
      <c r="H212" s="52"/>
      <c r="N212" s="52"/>
      <c r="P212" s="52"/>
      <c r="S212" s="52"/>
    </row>
    <row r="213" ht="15.75" customHeight="1">
      <c r="C213" s="52"/>
      <c r="H213" s="52"/>
      <c r="N213" s="52"/>
      <c r="P213" s="52"/>
      <c r="S213" s="52"/>
    </row>
    <row r="214" ht="15.75" customHeight="1">
      <c r="C214" s="52"/>
      <c r="H214" s="52"/>
      <c r="N214" s="52"/>
      <c r="P214" s="52"/>
      <c r="S214" s="52"/>
    </row>
    <row r="215" ht="15.75" customHeight="1">
      <c r="C215" s="52"/>
      <c r="H215" s="52"/>
      <c r="N215" s="52"/>
      <c r="P215" s="52"/>
      <c r="S215" s="52"/>
    </row>
    <row r="216" ht="15.75" customHeight="1">
      <c r="C216" s="52"/>
      <c r="H216" s="52"/>
      <c r="N216" s="52"/>
      <c r="P216" s="52"/>
      <c r="S216" s="52"/>
    </row>
    <row r="217" ht="15.75" customHeight="1">
      <c r="C217" s="52"/>
      <c r="H217" s="52"/>
      <c r="N217" s="52"/>
      <c r="P217" s="52"/>
      <c r="S217" s="52"/>
    </row>
    <row r="218" ht="15.75" customHeight="1">
      <c r="C218" s="52"/>
      <c r="H218" s="52"/>
      <c r="N218" s="52"/>
      <c r="P218" s="52"/>
      <c r="S218" s="52"/>
    </row>
    <row r="219" ht="15.75" customHeight="1">
      <c r="C219" s="52"/>
      <c r="H219" s="52"/>
      <c r="N219" s="52"/>
      <c r="P219" s="52"/>
      <c r="S219" s="52"/>
    </row>
    <row r="220" ht="15.75" customHeight="1">
      <c r="C220" s="52"/>
      <c r="H220" s="52"/>
      <c r="N220" s="52"/>
      <c r="P220" s="52"/>
      <c r="S220" s="52"/>
    </row>
    <row r="221" ht="15.75" customHeight="1">
      <c r="C221" s="52"/>
      <c r="H221" s="52"/>
      <c r="N221" s="52"/>
      <c r="P221" s="52"/>
      <c r="S221" s="52"/>
    </row>
    <row r="222" ht="15.75" customHeight="1">
      <c r="C222" s="52"/>
      <c r="H222" s="52"/>
      <c r="N222" s="52"/>
      <c r="P222" s="52"/>
      <c r="S222" s="52"/>
    </row>
    <row r="223" ht="15.75" customHeight="1">
      <c r="C223" s="52"/>
      <c r="H223" s="52"/>
      <c r="N223" s="52"/>
      <c r="P223" s="52"/>
      <c r="S223" s="52"/>
    </row>
    <row r="224" ht="15.75" customHeight="1">
      <c r="C224" s="52"/>
      <c r="H224" s="52"/>
      <c r="N224" s="52"/>
      <c r="P224" s="52"/>
      <c r="S224" s="52"/>
    </row>
    <row r="225" ht="15.75" customHeight="1">
      <c r="C225" s="52"/>
      <c r="H225" s="52"/>
      <c r="N225" s="52"/>
      <c r="P225" s="52"/>
      <c r="S225" s="52"/>
    </row>
    <row r="226" ht="15.75" customHeight="1">
      <c r="C226" s="52"/>
      <c r="H226" s="52"/>
      <c r="N226" s="52"/>
      <c r="P226" s="52"/>
      <c r="S226" s="52"/>
    </row>
    <row r="227" ht="15.75" customHeight="1">
      <c r="C227" s="52"/>
      <c r="H227" s="52"/>
      <c r="N227" s="52"/>
      <c r="P227" s="52"/>
      <c r="S227" s="52"/>
    </row>
    <row r="228" ht="15.75" customHeight="1">
      <c r="C228" s="52"/>
      <c r="H228" s="52"/>
      <c r="N228" s="52"/>
      <c r="P228" s="52"/>
      <c r="S228" s="52"/>
    </row>
    <row r="229" ht="15.75" customHeight="1">
      <c r="C229" s="52"/>
      <c r="H229" s="52"/>
      <c r="N229" s="52"/>
      <c r="P229" s="52"/>
      <c r="S229" s="52"/>
    </row>
    <row r="230" ht="15.75" customHeight="1">
      <c r="C230" s="52"/>
      <c r="H230" s="52"/>
      <c r="N230" s="52"/>
      <c r="P230" s="52"/>
      <c r="S230" s="52"/>
    </row>
    <row r="231" ht="15.75" customHeight="1">
      <c r="C231" s="52"/>
      <c r="H231" s="52"/>
      <c r="N231" s="52"/>
      <c r="P231" s="52"/>
      <c r="S231" s="52"/>
    </row>
    <row r="232" ht="15.75" customHeight="1">
      <c r="C232" s="52"/>
      <c r="H232" s="52"/>
      <c r="N232" s="52"/>
      <c r="P232" s="52"/>
      <c r="S232" s="52"/>
    </row>
    <row r="233" ht="15.75" customHeight="1">
      <c r="C233" s="52"/>
      <c r="H233" s="52"/>
      <c r="N233" s="52"/>
      <c r="P233" s="52"/>
      <c r="S233" s="52"/>
    </row>
    <row r="234" ht="15.75" customHeight="1">
      <c r="C234" s="52"/>
      <c r="H234" s="52"/>
      <c r="N234" s="52"/>
      <c r="P234" s="52"/>
      <c r="S234" s="52"/>
    </row>
    <row r="235" ht="15.75" customHeight="1">
      <c r="C235" s="52"/>
      <c r="H235" s="52"/>
      <c r="N235" s="52"/>
      <c r="P235" s="52"/>
      <c r="S235" s="52"/>
    </row>
    <row r="236" ht="15.75" customHeight="1">
      <c r="C236" s="52"/>
      <c r="H236" s="52"/>
      <c r="N236" s="52"/>
      <c r="P236" s="52"/>
      <c r="S236" s="52"/>
    </row>
    <row r="237" ht="15.75" customHeight="1">
      <c r="C237" s="52"/>
      <c r="H237" s="52"/>
      <c r="N237" s="52"/>
      <c r="P237" s="52"/>
      <c r="S237" s="52"/>
    </row>
    <row r="238" ht="15.75" customHeight="1">
      <c r="C238" s="52"/>
      <c r="H238" s="52"/>
      <c r="N238" s="52"/>
      <c r="P238" s="52"/>
      <c r="S238" s="52"/>
    </row>
    <row r="239" ht="15.75" customHeight="1">
      <c r="C239" s="52"/>
      <c r="H239" s="52"/>
      <c r="N239" s="52"/>
      <c r="P239" s="52"/>
      <c r="S239" s="52"/>
    </row>
    <row r="240" ht="15.75" customHeight="1">
      <c r="C240" s="52"/>
      <c r="H240" s="52"/>
      <c r="N240" s="52"/>
      <c r="P240" s="52"/>
      <c r="S240" s="52"/>
    </row>
    <row r="241" ht="15.75" customHeight="1">
      <c r="C241" s="52"/>
      <c r="H241" s="52"/>
      <c r="N241" s="52"/>
      <c r="P241" s="52"/>
      <c r="S241" s="52"/>
    </row>
    <row r="242" ht="15.75" customHeight="1">
      <c r="C242" s="52"/>
      <c r="H242" s="52"/>
      <c r="N242" s="52"/>
      <c r="P242" s="52"/>
      <c r="S242" s="52"/>
    </row>
    <row r="243" ht="15.75" customHeight="1">
      <c r="C243" s="52"/>
      <c r="H243" s="52"/>
      <c r="N243" s="52"/>
      <c r="P243" s="52"/>
      <c r="S243" s="52"/>
    </row>
    <row r="244" ht="15.75" customHeight="1">
      <c r="C244" s="52"/>
      <c r="H244" s="52"/>
      <c r="N244" s="52"/>
      <c r="P244" s="52"/>
      <c r="S244" s="52"/>
    </row>
    <row r="245" ht="15.75" customHeight="1">
      <c r="C245" s="52"/>
      <c r="H245" s="52"/>
      <c r="N245" s="52"/>
      <c r="P245" s="52"/>
      <c r="S245" s="52"/>
    </row>
    <row r="246" ht="15.75" customHeight="1">
      <c r="C246" s="52"/>
      <c r="H246" s="52"/>
      <c r="N246" s="52"/>
      <c r="P246" s="52"/>
      <c r="S246" s="52"/>
    </row>
    <row r="247" ht="15.75" customHeight="1">
      <c r="C247" s="52"/>
      <c r="H247" s="52"/>
      <c r="N247" s="52"/>
      <c r="P247" s="52"/>
      <c r="S247" s="52"/>
    </row>
    <row r="248" ht="15.75" customHeight="1">
      <c r="C248" s="52"/>
      <c r="H248" s="52"/>
      <c r="N248" s="52"/>
      <c r="P248" s="52"/>
      <c r="S248" s="52"/>
    </row>
    <row r="249" ht="15.75" customHeight="1">
      <c r="C249" s="52"/>
      <c r="H249" s="52"/>
      <c r="N249" s="52"/>
      <c r="P249" s="52"/>
      <c r="S249" s="52"/>
    </row>
    <row r="250" ht="15.75" customHeight="1">
      <c r="C250" s="52"/>
      <c r="H250" s="52"/>
      <c r="N250" s="52"/>
      <c r="P250" s="52"/>
      <c r="S250" s="52"/>
    </row>
    <row r="251" ht="15.75" customHeight="1">
      <c r="C251" s="52"/>
      <c r="H251" s="52"/>
      <c r="N251" s="52"/>
      <c r="P251" s="52"/>
      <c r="S251" s="52"/>
    </row>
    <row r="252" ht="15.75" customHeight="1">
      <c r="C252" s="52"/>
      <c r="H252" s="52"/>
      <c r="N252" s="52"/>
      <c r="P252" s="52"/>
      <c r="S252" s="52"/>
    </row>
    <row r="253" ht="15.75" customHeight="1">
      <c r="C253" s="52"/>
      <c r="H253" s="52"/>
      <c r="N253" s="52"/>
      <c r="P253" s="52"/>
      <c r="S253" s="52"/>
    </row>
    <row r="254" ht="15.75" customHeight="1">
      <c r="C254" s="52"/>
      <c r="H254" s="52"/>
      <c r="N254" s="52"/>
      <c r="P254" s="52"/>
      <c r="S254" s="52"/>
    </row>
    <row r="255" ht="15.75" customHeight="1">
      <c r="C255" s="52"/>
      <c r="H255" s="52"/>
      <c r="N255" s="52"/>
      <c r="P255" s="52"/>
      <c r="S255" s="52"/>
    </row>
    <row r="256" ht="15.75" customHeight="1">
      <c r="C256" s="52"/>
      <c r="H256" s="52"/>
      <c r="N256" s="52"/>
      <c r="P256" s="52"/>
      <c r="S256" s="52"/>
    </row>
    <row r="257" ht="15.75" customHeight="1">
      <c r="C257" s="52"/>
      <c r="H257" s="52"/>
      <c r="N257" s="52"/>
      <c r="P257" s="52"/>
      <c r="S257" s="52"/>
    </row>
    <row r="258" ht="15.75" customHeight="1">
      <c r="C258" s="52"/>
      <c r="H258" s="52"/>
      <c r="N258" s="52"/>
      <c r="P258" s="52"/>
      <c r="S258" s="52"/>
    </row>
    <row r="259" ht="15.75" customHeight="1">
      <c r="C259" s="52"/>
      <c r="H259" s="52"/>
      <c r="N259" s="52"/>
      <c r="P259" s="52"/>
      <c r="S259" s="52"/>
    </row>
    <row r="260" ht="15.75" customHeight="1">
      <c r="C260" s="52"/>
      <c r="H260" s="52"/>
      <c r="N260" s="52"/>
      <c r="P260" s="52"/>
      <c r="S260" s="52"/>
    </row>
    <row r="261" ht="15.75" customHeight="1">
      <c r="C261" s="52"/>
      <c r="H261" s="52"/>
      <c r="N261" s="52"/>
      <c r="P261" s="52"/>
      <c r="S261" s="52"/>
    </row>
    <row r="262" ht="15.75" customHeight="1">
      <c r="C262" s="52"/>
      <c r="H262" s="52"/>
      <c r="N262" s="52"/>
      <c r="P262" s="52"/>
      <c r="S262" s="52"/>
    </row>
    <row r="263" ht="15.75" customHeight="1">
      <c r="C263" s="52"/>
      <c r="H263" s="52"/>
      <c r="N263" s="52"/>
      <c r="P263" s="52"/>
      <c r="S263" s="52"/>
    </row>
    <row r="264" ht="15.75" customHeight="1">
      <c r="C264" s="52"/>
      <c r="H264" s="52"/>
      <c r="N264" s="52"/>
      <c r="P264" s="52"/>
      <c r="S264" s="52"/>
    </row>
    <row r="265" ht="15.75" customHeight="1">
      <c r="C265" s="52"/>
      <c r="H265" s="52"/>
      <c r="N265" s="52"/>
      <c r="P265" s="52"/>
      <c r="S265" s="52"/>
    </row>
    <row r="266" ht="15.75" customHeight="1">
      <c r="C266" s="52"/>
      <c r="H266" s="52"/>
      <c r="N266" s="52"/>
      <c r="P266" s="52"/>
      <c r="S266" s="52"/>
    </row>
    <row r="267" ht="15.75" customHeight="1">
      <c r="C267" s="52"/>
      <c r="H267" s="52"/>
      <c r="N267" s="52"/>
      <c r="P267" s="52"/>
      <c r="S267" s="52"/>
    </row>
    <row r="268" ht="15.75" customHeight="1">
      <c r="C268" s="52"/>
      <c r="H268" s="52"/>
      <c r="N268" s="52"/>
      <c r="P268" s="52"/>
      <c r="S268" s="52"/>
    </row>
    <row r="269" ht="15.75" customHeight="1">
      <c r="C269" s="52"/>
      <c r="H269" s="52"/>
      <c r="N269" s="52"/>
      <c r="P269" s="52"/>
      <c r="S269" s="52"/>
    </row>
    <row r="270" ht="15.75" customHeight="1">
      <c r="C270" s="52"/>
      <c r="H270" s="52"/>
      <c r="N270" s="52"/>
      <c r="P270" s="52"/>
      <c r="S270" s="52"/>
    </row>
    <row r="271" ht="15.75" customHeight="1">
      <c r="C271" s="52"/>
      <c r="H271" s="52"/>
      <c r="N271" s="52"/>
      <c r="P271" s="52"/>
      <c r="S271" s="52"/>
    </row>
    <row r="272" ht="15.75" customHeight="1">
      <c r="C272" s="52"/>
      <c r="H272" s="52"/>
      <c r="N272" s="52"/>
      <c r="P272" s="52"/>
      <c r="S272" s="52"/>
    </row>
    <row r="273" ht="15.75" customHeight="1">
      <c r="C273" s="52"/>
      <c r="H273" s="52"/>
      <c r="N273" s="52"/>
      <c r="P273" s="52"/>
      <c r="S273" s="52"/>
    </row>
    <row r="274" ht="15.75" customHeight="1">
      <c r="C274" s="52"/>
      <c r="H274" s="52"/>
      <c r="N274" s="52"/>
      <c r="P274" s="52"/>
      <c r="S274" s="52"/>
    </row>
    <row r="275" ht="15.75" customHeight="1">
      <c r="C275" s="52"/>
      <c r="H275" s="52"/>
      <c r="N275" s="52"/>
      <c r="P275" s="52"/>
      <c r="S275" s="52"/>
    </row>
    <row r="276" ht="15.75" customHeight="1">
      <c r="C276" s="52"/>
      <c r="H276" s="52"/>
      <c r="N276" s="52"/>
      <c r="P276" s="52"/>
      <c r="S276" s="52"/>
    </row>
    <row r="277" ht="15.75" customHeight="1">
      <c r="C277" s="52"/>
      <c r="H277" s="52"/>
      <c r="N277" s="52"/>
      <c r="P277" s="52"/>
      <c r="S277" s="52"/>
    </row>
    <row r="278" ht="15.75" customHeight="1">
      <c r="C278" s="52"/>
      <c r="H278" s="52"/>
      <c r="N278" s="52"/>
      <c r="P278" s="52"/>
      <c r="S278" s="52"/>
    </row>
    <row r="279" ht="15.75" customHeight="1">
      <c r="C279" s="52"/>
      <c r="H279" s="52"/>
      <c r="N279" s="52"/>
      <c r="P279" s="52"/>
      <c r="S279" s="52"/>
    </row>
    <row r="280" ht="15.75" customHeight="1">
      <c r="C280" s="52"/>
      <c r="H280" s="52"/>
      <c r="N280" s="52"/>
      <c r="P280" s="52"/>
      <c r="S280" s="52"/>
    </row>
    <row r="281" ht="15.75" customHeight="1">
      <c r="C281" s="52"/>
      <c r="H281" s="52"/>
      <c r="N281" s="52"/>
      <c r="P281" s="52"/>
      <c r="S281" s="52"/>
    </row>
    <row r="282" ht="15.75" customHeight="1">
      <c r="C282" s="52"/>
      <c r="H282" s="52"/>
      <c r="N282" s="52"/>
      <c r="P282" s="52"/>
      <c r="S282" s="52"/>
    </row>
    <row r="283" ht="15.75" customHeight="1">
      <c r="C283" s="52"/>
      <c r="H283" s="52"/>
      <c r="N283" s="52"/>
      <c r="P283" s="52"/>
      <c r="S283" s="52"/>
    </row>
    <row r="284" ht="15.75" customHeight="1">
      <c r="C284" s="52"/>
      <c r="H284" s="52"/>
      <c r="N284" s="52"/>
      <c r="P284" s="52"/>
      <c r="S284" s="52"/>
    </row>
    <row r="285" ht="15.75" customHeight="1">
      <c r="C285" s="52"/>
      <c r="H285" s="52"/>
      <c r="N285" s="52"/>
      <c r="P285" s="52"/>
      <c r="S285" s="52"/>
    </row>
    <row r="286" ht="15.75" customHeight="1">
      <c r="C286" s="52"/>
      <c r="H286" s="52"/>
      <c r="N286" s="52"/>
      <c r="P286" s="52"/>
      <c r="S286" s="52"/>
    </row>
    <row r="287" ht="15.75" customHeight="1">
      <c r="C287" s="52"/>
      <c r="H287" s="52"/>
      <c r="N287" s="52"/>
      <c r="P287" s="52"/>
      <c r="S287" s="52"/>
    </row>
    <row r="288" ht="15.75" customHeight="1">
      <c r="C288" s="52"/>
      <c r="H288" s="52"/>
      <c r="N288" s="52"/>
      <c r="P288" s="52"/>
      <c r="S288" s="52"/>
    </row>
    <row r="289" ht="15.75" customHeight="1">
      <c r="C289" s="52"/>
      <c r="H289" s="52"/>
      <c r="N289" s="52"/>
      <c r="P289" s="52"/>
      <c r="S289" s="52"/>
    </row>
    <row r="290" ht="15.75" customHeight="1">
      <c r="C290" s="52"/>
      <c r="H290" s="52"/>
      <c r="N290" s="52"/>
      <c r="P290" s="52"/>
      <c r="S290" s="52"/>
    </row>
    <row r="291" ht="15.75" customHeight="1">
      <c r="C291" s="52"/>
      <c r="H291" s="52"/>
      <c r="N291" s="52"/>
      <c r="P291" s="52"/>
      <c r="S291" s="52"/>
    </row>
    <row r="292" ht="15.75" customHeight="1">
      <c r="C292" s="52"/>
      <c r="H292" s="52"/>
      <c r="N292" s="52"/>
      <c r="P292" s="52"/>
      <c r="S292" s="52"/>
    </row>
    <row r="293" ht="15.75" customHeight="1">
      <c r="C293" s="52"/>
      <c r="H293" s="52"/>
      <c r="N293" s="52"/>
      <c r="P293" s="52"/>
      <c r="S293" s="52"/>
    </row>
    <row r="294" ht="15.75" customHeight="1">
      <c r="C294" s="52"/>
      <c r="H294" s="52"/>
      <c r="N294" s="52"/>
      <c r="P294" s="52"/>
      <c r="S294" s="52"/>
    </row>
    <row r="295" ht="15.75" customHeight="1">
      <c r="C295" s="52"/>
      <c r="H295" s="52"/>
      <c r="N295" s="52"/>
      <c r="P295" s="52"/>
      <c r="S295" s="52"/>
    </row>
    <row r="296" ht="15.75" customHeight="1">
      <c r="C296" s="52"/>
      <c r="H296" s="52"/>
      <c r="N296" s="52"/>
      <c r="P296" s="52"/>
      <c r="S296" s="52"/>
    </row>
    <row r="297" ht="15.75" customHeight="1">
      <c r="C297" s="52"/>
      <c r="H297" s="52"/>
      <c r="N297" s="52"/>
      <c r="P297" s="52"/>
      <c r="S297" s="52"/>
    </row>
    <row r="298" ht="15.75" customHeight="1">
      <c r="C298" s="52"/>
      <c r="H298" s="52"/>
      <c r="N298" s="52"/>
      <c r="P298" s="52"/>
      <c r="S298" s="52"/>
    </row>
    <row r="299" ht="15.75" customHeight="1">
      <c r="C299" s="52"/>
      <c r="H299" s="52"/>
      <c r="N299" s="52"/>
      <c r="P299" s="52"/>
      <c r="S299" s="52"/>
    </row>
    <row r="300" ht="15.75" customHeight="1">
      <c r="C300" s="52"/>
      <c r="H300" s="52"/>
      <c r="N300" s="52"/>
      <c r="P300" s="52"/>
      <c r="S300" s="52"/>
    </row>
    <row r="301" ht="15.75" customHeight="1">
      <c r="C301" s="52"/>
      <c r="H301" s="52"/>
      <c r="N301" s="52"/>
      <c r="P301" s="52"/>
      <c r="S301" s="52"/>
    </row>
    <row r="302" ht="15.75" customHeight="1">
      <c r="C302" s="52"/>
      <c r="H302" s="52"/>
      <c r="N302" s="52"/>
      <c r="P302" s="52"/>
      <c r="S302" s="52"/>
    </row>
    <row r="303" ht="15.75" customHeight="1">
      <c r="C303" s="52"/>
      <c r="H303" s="52"/>
      <c r="N303" s="52"/>
      <c r="P303" s="52"/>
      <c r="S303" s="52"/>
    </row>
    <row r="304" ht="15.75" customHeight="1">
      <c r="C304" s="52"/>
      <c r="H304" s="52"/>
      <c r="N304" s="52"/>
      <c r="P304" s="52"/>
      <c r="S304" s="52"/>
    </row>
    <row r="305" ht="15.75" customHeight="1">
      <c r="C305" s="52"/>
      <c r="H305" s="52"/>
      <c r="N305" s="52"/>
      <c r="P305" s="52"/>
      <c r="S305" s="52"/>
    </row>
    <row r="306" ht="15.75" customHeight="1">
      <c r="C306" s="52"/>
      <c r="H306" s="52"/>
      <c r="N306" s="52"/>
      <c r="P306" s="52"/>
      <c r="S306" s="52"/>
    </row>
    <row r="307" ht="15.75" customHeight="1">
      <c r="C307" s="52"/>
      <c r="H307" s="52"/>
      <c r="N307" s="52"/>
      <c r="P307" s="52"/>
      <c r="S307" s="52"/>
    </row>
    <row r="308" ht="15.75" customHeight="1">
      <c r="C308" s="52"/>
      <c r="H308" s="52"/>
      <c r="N308" s="52"/>
      <c r="P308" s="52"/>
      <c r="S308" s="52"/>
    </row>
    <row r="309" ht="15.75" customHeight="1">
      <c r="C309" s="52"/>
      <c r="H309" s="52"/>
      <c r="N309" s="52"/>
      <c r="P309" s="52"/>
      <c r="S309" s="52"/>
    </row>
    <row r="310" ht="15.75" customHeight="1">
      <c r="C310" s="52"/>
      <c r="H310" s="52"/>
      <c r="N310" s="52"/>
      <c r="P310" s="52"/>
      <c r="S310" s="52"/>
    </row>
    <row r="311" ht="15.75" customHeight="1">
      <c r="C311" s="52"/>
      <c r="H311" s="52"/>
      <c r="N311" s="52"/>
      <c r="P311" s="52"/>
      <c r="S311" s="52"/>
    </row>
    <row r="312" ht="15.75" customHeight="1">
      <c r="C312" s="52"/>
      <c r="H312" s="52"/>
      <c r="N312" s="52"/>
      <c r="P312" s="52"/>
      <c r="S312" s="52"/>
    </row>
    <row r="313" ht="15.75" customHeight="1">
      <c r="C313" s="52"/>
      <c r="H313" s="52"/>
      <c r="N313" s="52"/>
      <c r="P313" s="52"/>
      <c r="S313" s="52"/>
    </row>
    <row r="314" ht="15.75" customHeight="1">
      <c r="C314" s="52"/>
      <c r="H314" s="52"/>
      <c r="N314" s="52"/>
      <c r="P314" s="52"/>
      <c r="S314" s="52"/>
    </row>
    <row r="315" ht="15.75" customHeight="1">
      <c r="C315" s="52"/>
      <c r="H315" s="52"/>
      <c r="N315" s="52"/>
      <c r="P315" s="52"/>
      <c r="S315" s="52"/>
    </row>
    <row r="316" ht="15.75" customHeight="1">
      <c r="C316" s="52"/>
      <c r="H316" s="52"/>
      <c r="N316" s="52"/>
      <c r="P316" s="52"/>
      <c r="S316" s="52"/>
    </row>
    <row r="317" ht="15.75" customHeight="1">
      <c r="C317" s="52"/>
      <c r="H317" s="52"/>
      <c r="N317" s="52"/>
      <c r="P317" s="52"/>
      <c r="S317" s="52"/>
    </row>
    <row r="318" ht="15.75" customHeight="1">
      <c r="C318" s="52"/>
      <c r="H318" s="52"/>
      <c r="N318" s="52"/>
      <c r="P318" s="52"/>
      <c r="S318" s="52"/>
    </row>
    <row r="319" ht="15.75" customHeight="1">
      <c r="C319" s="52"/>
      <c r="H319" s="52"/>
      <c r="N319" s="52"/>
      <c r="P319" s="52"/>
      <c r="S319" s="52"/>
    </row>
    <row r="320" ht="15.75" customHeight="1">
      <c r="C320" s="52"/>
      <c r="H320" s="52"/>
      <c r="N320" s="52"/>
      <c r="P320" s="52"/>
      <c r="S320" s="52"/>
    </row>
    <row r="321" ht="15.75" customHeight="1">
      <c r="C321" s="52"/>
      <c r="H321" s="52"/>
      <c r="N321" s="52"/>
      <c r="P321" s="52"/>
      <c r="S321" s="52"/>
    </row>
    <row r="322" ht="15.75" customHeight="1">
      <c r="C322" s="52"/>
      <c r="H322" s="52"/>
      <c r="N322" s="52"/>
      <c r="P322" s="52"/>
      <c r="S322" s="52"/>
    </row>
    <row r="323" ht="15.75" customHeight="1">
      <c r="C323" s="52"/>
      <c r="H323" s="52"/>
      <c r="N323" s="52"/>
      <c r="P323" s="52"/>
      <c r="S323" s="52"/>
    </row>
    <row r="324" ht="15.75" customHeight="1">
      <c r="C324" s="52"/>
      <c r="H324" s="52"/>
      <c r="N324" s="52"/>
      <c r="P324" s="52"/>
      <c r="S324" s="52"/>
    </row>
    <row r="325" ht="15.75" customHeight="1">
      <c r="C325" s="52"/>
      <c r="H325" s="52"/>
      <c r="N325" s="52"/>
      <c r="P325" s="52"/>
      <c r="S325" s="52"/>
    </row>
    <row r="326" ht="15.75" customHeight="1">
      <c r="C326" s="52"/>
      <c r="H326" s="52"/>
      <c r="N326" s="52"/>
      <c r="P326" s="52"/>
      <c r="S326" s="52"/>
    </row>
    <row r="327" ht="15.75" customHeight="1">
      <c r="C327" s="52"/>
      <c r="H327" s="52"/>
      <c r="N327" s="52"/>
      <c r="P327" s="52"/>
      <c r="S327" s="52"/>
    </row>
    <row r="328" ht="15.75" customHeight="1">
      <c r="C328" s="52"/>
      <c r="H328" s="52"/>
      <c r="N328" s="52"/>
      <c r="P328" s="52"/>
      <c r="S328" s="52"/>
    </row>
    <row r="329" ht="15.75" customHeight="1">
      <c r="C329" s="52"/>
      <c r="H329" s="52"/>
      <c r="N329" s="52"/>
      <c r="P329" s="52"/>
      <c r="S329" s="52"/>
    </row>
    <row r="330" ht="15.75" customHeight="1">
      <c r="C330" s="52"/>
      <c r="H330" s="52"/>
      <c r="N330" s="52"/>
      <c r="P330" s="52"/>
      <c r="S330" s="52"/>
    </row>
    <row r="331" ht="15.75" customHeight="1">
      <c r="C331" s="52"/>
      <c r="H331" s="52"/>
      <c r="N331" s="52"/>
      <c r="P331" s="52"/>
      <c r="S331" s="52"/>
    </row>
    <row r="332" ht="15.75" customHeight="1">
      <c r="C332" s="52"/>
      <c r="H332" s="52"/>
      <c r="N332" s="52"/>
      <c r="P332" s="52"/>
      <c r="S332" s="52"/>
    </row>
    <row r="333" ht="15.75" customHeight="1">
      <c r="C333" s="52"/>
      <c r="H333" s="52"/>
      <c r="N333" s="52"/>
      <c r="P333" s="52"/>
      <c r="S333" s="52"/>
    </row>
    <row r="334" ht="15.75" customHeight="1">
      <c r="C334" s="52"/>
      <c r="H334" s="52"/>
      <c r="N334" s="52"/>
      <c r="P334" s="52"/>
      <c r="S334" s="52"/>
    </row>
    <row r="335" ht="15.75" customHeight="1">
      <c r="C335" s="52"/>
      <c r="H335" s="52"/>
      <c r="N335" s="52"/>
      <c r="P335" s="52"/>
      <c r="S335" s="52"/>
    </row>
    <row r="336" ht="15.75" customHeight="1">
      <c r="C336" s="52"/>
      <c r="H336" s="52"/>
      <c r="N336" s="52"/>
      <c r="P336" s="52"/>
      <c r="S336" s="52"/>
    </row>
    <row r="337" ht="15.75" customHeight="1">
      <c r="C337" s="52"/>
      <c r="H337" s="52"/>
      <c r="N337" s="52"/>
      <c r="P337" s="52"/>
      <c r="S337" s="52"/>
    </row>
    <row r="338" ht="15.75" customHeight="1">
      <c r="C338" s="52"/>
      <c r="H338" s="52"/>
      <c r="N338" s="52"/>
      <c r="P338" s="52"/>
      <c r="S338" s="52"/>
    </row>
    <row r="339" ht="15.75" customHeight="1">
      <c r="C339" s="52"/>
      <c r="H339" s="52"/>
      <c r="N339" s="52"/>
      <c r="P339" s="52"/>
      <c r="S339" s="52"/>
    </row>
    <row r="340" ht="15.75" customHeight="1">
      <c r="C340" s="52"/>
      <c r="H340" s="52"/>
      <c r="N340" s="52"/>
      <c r="P340" s="52"/>
      <c r="S340" s="52"/>
    </row>
    <row r="341" ht="15.75" customHeight="1">
      <c r="C341" s="52"/>
      <c r="H341" s="52"/>
      <c r="N341" s="52"/>
      <c r="P341" s="52"/>
      <c r="S341" s="52"/>
    </row>
    <row r="342" ht="15.75" customHeight="1">
      <c r="C342" s="52"/>
      <c r="H342" s="52"/>
      <c r="N342" s="52"/>
      <c r="P342" s="52"/>
      <c r="S342" s="52"/>
    </row>
    <row r="343" ht="15.75" customHeight="1">
      <c r="C343" s="52"/>
      <c r="H343" s="52"/>
      <c r="N343" s="52"/>
      <c r="P343" s="52"/>
      <c r="S343" s="52"/>
    </row>
    <row r="344" ht="15.75" customHeight="1">
      <c r="C344" s="52"/>
      <c r="H344" s="52"/>
      <c r="N344" s="52"/>
      <c r="P344" s="52"/>
      <c r="S344" s="52"/>
    </row>
    <row r="345" ht="15.75" customHeight="1">
      <c r="C345" s="52"/>
      <c r="H345" s="52"/>
      <c r="N345" s="52"/>
      <c r="P345" s="52"/>
      <c r="S345" s="52"/>
    </row>
    <row r="346" ht="15.75" customHeight="1">
      <c r="C346" s="52"/>
      <c r="H346" s="52"/>
      <c r="N346" s="52"/>
      <c r="P346" s="52"/>
      <c r="S346" s="52"/>
    </row>
    <row r="347" ht="15.75" customHeight="1">
      <c r="C347" s="52"/>
      <c r="H347" s="52"/>
      <c r="N347" s="52"/>
      <c r="P347" s="52"/>
      <c r="S347" s="52"/>
    </row>
    <row r="348" ht="15.75" customHeight="1">
      <c r="C348" s="52"/>
      <c r="H348" s="52"/>
      <c r="N348" s="52"/>
      <c r="P348" s="52"/>
      <c r="S348" s="52"/>
    </row>
    <row r="349" ht="15.75" customHeight="1">
      <c r="C349" s="52"/>
      <c r="H349" s="52"/>
      <c r="N349" s="52"/>
      <c r="P349" s="52"/>
      <c r="S349" s="52"/>
    </row>
    <row r="350" ht="15.75" customHeight="1">
      <c r="C350" s="52"/>
      <c r="H350" s="52"/>
      <c r="N350" s="52"/>
      <c r="P350" s="52"/>
      <c r="S350" s="52"/>
    </row>
    <row r="351" ht="15.75" customHeight="1">
      <c r="C351" s="52"/>
      <c r="H351" s="52"/>
      <c r="N351" s="52"/>
      <c r="P351" s="52"/>
      <c r="S351" s="52"/>
    </row>
    <row r="352" ht="15.75" customHeight="1">
      <c r="C352" s="52"/>
      <c r="H352" s="52"/>
      <c r="N352" s="52"/>
      <c r="P352" s="52"/>
      <c r="S352" s="52"/>
    </row>
    <row r="353" ht="15.75" customHeight="1">
      <c r="C353" s="52"/>
      <c r="H353" s="52"/>
      <c r="N353" s="52"/>
      <c r="P353" s="52"/>
      <c r="S353" s="52"/>
    </row>
    <row r="354" ht="15.75" customHeight="1">
      <c r="C354" s="52"/>
      <c r="H354" s="52"/>
      <c r="N354" s="52"/>
      <c r="P354" s="52"/>
      <c r="S354" s="52"/>
    </row>
    <row r="355" ht="15.75" customHeight="1">
      <c r="C355" s="52"/>
      <c r="H355" s="52"/>
      <c r="N355" s="52"/>
      <c r="P355" s="52"/>
      <c r="S355" s="52"/>
    </row>
    <row r="356" ht="15.75" customHeight="1">
      <c r="C356" s="52"/>
      <c r="H356" s="52"/>
      <c r="N356" s="52"/>
      <c r="P356" s="52"/>
      <c r="S356" s="52"/>
    </row>
    <row r="357" ht="15.75" customHeight="1">
      <c r="C357" s="52"/>
      <c r="H357" s="52"/>
      <c r="N357" s="52"/>
      <c r="P357" s="52"/>
      <c r="S357" s="52"/>
    </row>
    <row r="358" ht="15.75" customHeight="1">
      <c r="C358" s="52"/>
      <c r="H358" s="52"/>
      <c r="N358" s="52"/>
      <c r="P358" s="52"/>
      <c r="S358" s="52"/>
    </row>
    <row r="359" ht="15.75" customHeight="1">
      <c r="C359" s="52"/>
      <c r="H359" s="52"/>
      <c r="N359" s="52"/>
      <c r="P359" s="52"/>
      <c r="S359" s="52"/>
    </row>
    <row r="360" ht="15.75" customHeight="1">
      <c r="C360" s="52"/>
      <c r="H360" s="52"/>
      <c r="N360" s="52"/>
      <c r="P360" s="52"/>
      <c r="S360" s="52"/>
    </row>
    <row r="361" ht="15.75" customHeight="1">
      <c r="C361" s="52"/>
      <c r="H361" s="52"/>
      <c r="N361" s="52"/>
      <c r="P361" s="52"/>
      <c r="S361" s="52"/>
    </row>
    <row r="362" ht="15.75" customHeight="1">
      <c r="C362" s="52"/>
      <c r="H362" s="52"/>
      <c r="N362" s="52"/>
      <c r="P362" s="52"/>
      <c r="S362" s="52"/>
    </row>
    <row r="363" ht="15.75" customHeight="1">
      <c r="C363" s="52"/>
      <c r="H363" s="52"/>
      <c r="N363" s="52"/>
      <c r="P363" s="52"/>
      <c r="S363" s="52"/>
    </row>
    <row r="364" ht="15.75" customHeight="1">
      <c r="C364" s="52"/>
      <c r="H364" s="52"/>
      <c r="N364" s="52"/>
      <c r="P364" s="52"/>
      <c r="S364" s="52"/>
    </row>
    <row r="365" ht="15.75" customHeight="1">
      <c r="C365" s="52"/>
      <c r="H365" s="52"/>
      <c r="N365" s="52"/>
      <c r="P365" s="52"/>
      <c r="S365" s="52"/>
    </row>
    <row r="366" ht="15.75" customHeight="1">
      <c r="C366" s="52"/>
      <c r="H366" s="52"/>
      <c r="N366" s="52"/>
      <c r="P366" s="52"/>
      <c r="S366" s="52"/>
    </row>
    <row r="367" ht="15.75" customHeight="1">
      <c r="C367" s="52"/>
      <c r="H367" s="52"/>
      <c r="N367" s="52"/>
      <c r="P367" s="52"/>
      <c r="S367" s="52"/>
    </row>
    <row r="368" ht="15.75" customHeight="1">
      <c r="C368" s="52"/>
      <c r="H368" s="52"/>
      <c r="N368" s="52"/>
      <c r="P368" s="52"/>
      <c r="S368" s="52"/>
    </row>
    <row r="369" ht="15.75" customHeight="1">
      <c r="C369" s="52"/>
      <c r="H369" s="52"/>
      <c r="N369" s="52"/>
      <c r="P369" s="52"/>
      <c r="S369" s="52"/>
    </row>
    <row r="370" ht="15.75" customHeight="1">
      <c r="C370" s="52"/>
      <c r="H370" s="52"/>
      <c r="N370" s="52"/>
      <c r="P370" s="52"/>
      <c r="S370" s="52"/>
    </row>
    <row r="371" ht="15.75" customHeight="1">
      <c r="C371" s="52"/>
      <c r="H371" s="52"/>
      <c r="N371" s="52"/>
      <c r="P371" s="52"/>
      <c r="S371" s="52"/>
    </row>
    <row r="372" ht="15.75" customHeight="1">
      <c r="C372" s="52"/>
      <c r="H372" s="52"/>
      <c r="N372" s="52"/>
      <c r="P372" s="52"/>
      <c r="S372" s="52"/>
    </row>
    <row r="373" ht="15.75" customHeight="1">
      <c r="C373" s="52"/>
      <c r="H373" s="52"/>
      <c r="N373" s="52"/>
      <c r="P373" s="52"/>
      <c r="S373" s="52"/>
    </row>
    <row r="374" ht="15.75" customHeight="1">
      <c r="C374" s="52"/>
      <c r="H374" s="52"/>
      <c r="N374" s="52"/>
      <c r="P374" s="52"/>
      <c r="S374" s="52"/>
    </row>
    <row r="375" ht="15.75" customHeight="1">
      <c r="C375" s="52"/>
      <c r="H375" s="52"/>
      <c r="N375" s="52"/>
      <c r="P375" s="52"/>
      <c r="S375" s="52"/>
    </row>
    <row r="376" ht="15.75" customHeight="1">
      <c r="C376" s="52"/>
      <c r="H376" s="52"/>
      <c r="N376" s="52"/>
      <c r="P376" s="52"/>
      <c r="S376" s="52"/>
    </row>
    <row r="377" ht="15.75" customHeight="1">
      <c r="C377" s="52"/>
      <c r="H377" s="52"/>
      <c r="N377" s="52"/>
      <c r="P377" s="52"/>
      <c r="S377" s="52"/>
    </row>
    <row r="378" ht="15.75" customHeight="1">
      <c r="C378" s="52"/>
      <c r="H378" s="52"/>
      <c r="N378" s="52"/>
      <c r="P378" s="52"/>
      <c r="S378" s="52"/>
    </row>
    <row r="379" ht="15.75" customHeight="1">
      <c r="C379" s="52"/>
      <c r="H379" s="52"/>
      <c r="N379" s="52"/>
      <c r="P379" s="52"/>
      <c r="S379" s="52"/>
    </row>
    <row r="380" ht="15.75" customHeight="1">
      <c r="C380" s="52"/>
      <c r="H380" s="52"/>
      <c r="N380" s="52"/>
      <c r="P380" s="52"/>
      <c r="S380" s="52"/>
    </row>
    <row r="381" ht="15.75" customHeight="1">
      <c r="C381" s="52"/>
      <c r="H381" s="52"/>
      <c r="N381" s="52"/>
      <c r="P381" s="52"/>
      <c r="S381" s="52"/>
    </row>
    <row r="382" ht="15.75" customHeight="1">
      <c r="C382" s="52"/>
      <c r="H382" s="52"/>
      <c r="N382" s="52"/>
      <c r="P382" s="52"/>
      <c r="S382" s="52"/>
    </row>
    <row r="383" ht="15.75" customHeight="1">
      <c r="C383" s="52"/>
      <c r="H383" s="52"/>
      <c r="N383" s="52"/>
      <c r="P383" s="52"/>
      <c r="S383" s="52"/>
    </row>
    <row r="384" ht="15.75" customHeight="1">
      <c r="C384" s="52"/>
      <c r="H384" s="52"/>
      <c r="N384" s="52"/>
      <c r="P384" s="52"/>
      <c r="S384" s="52"/>
    </row>
    <row r="385" ht="15.75" customHeight="1">
      <c r="C385" s="52"/>
      <c r="H385" s="52"/>
      <c r="N385" s="52"/>
      <c r="P385" s="52"/>
      <c r="S385" s="52"/>
    </row>
    <row r="386" ht="15.75" customHeight="1">
      <c r="C386" s="52"/>
      <c r="H386" s="52"/>
      <c r="N386" s="52"/>
      <c r="P386" s="52"/>
      <c r="S386" s="52"/>
    </row>
    <row r="387" ht="15.75" customHeight="1">
      <c r="C387" s="52"/>
      <c r="H387" s="52"/>
      <c r="N387" s="52"/>
      <c r="P387" s="52"/>
      <c r="S387" s="52"/>
    </row>
    <row r="388" ht="15.75" customHeight="1">
      <c r="C388" s="52"/>
      <c r="H388" s="52"/>
      <c r="N388" s="52"/>
      <c r="P388" s="52"/>
      <c r="S388" s="52"/>
    </row>
    <row r="389" ht="15.75" customHeight="1">
      <c r="C389" s="52"/>
      <c r="H389" s="52"/>
      <c r="N389" s="52"/>
      <c r="P389" s="52"/>
      <c r="S389" s="52"/>
    </row>
    <row r="390" ht="15.75" customHeight="1">
      <c r="C390" s="52"/>
      <c r="H390" s="52"/>
      <c r="N390" s="52"/>
      <c r="P390" s="52"/>
      <c r="S390" s="52"/>
    </row>
    <row r="391" ht="15.75" customHeight="1">
      <c r="C391" s="52"/>
      <c r="H391" s="52"/>
      <c r="N391" s="52"/>
      <c r="P391" s="52"/>
      <c r="S391" s="52"/>
    </row>
    <row r="392" ht="15.75" customHeight="1">
      <c r="C392" s="52"/>
      <c r="H392" s="52"/>
      <c r="N392" s="52"/>
      <c r="P392" s="52"/>
      <c r="S392" s="52"/>
    </row>
    <row r="393" ht="15.75" customHeight="1">
      <c r="C393" s="52"/>
      <c r="H393" s="52"/>
      <c r="N393" s="52"/>
      <c r="P393" s="52"/>
      <c r="S393" s="52"/>
    </row>
    <row r="394" ht="15.75" customHeight="1">
      <c r="C394" s="52"/>
      <c r="H394" s="52"/>
      <c r="N394" s="52"/>
      <c r="P394" s="52"/>
      <c r="S394" s="52"/>
    </row>
    <row r="395" ht="15.75" customHeight="1">
      <c r="C395" s="52"/>
      <c r="H395" s="52"/>
      <c r="N395" s="52"/>
      <c r="P395" s="52"/>
      <c r="S395" s="52"/>
    </row>
    <row r="396" ht="15.75" customHeight="1">
      <c r="C396" s="52"/>
      <c r="H396" s="52"/>
      <c r="N396" s="52"/>
      <c r="P396" s="52"/>
      <c r="S396" s="52"/>
    </row>
    <row r="397" ht="15.75" customHeight="1">
      <c r="C397" s="52"/>
      <c r="H397" s="52"/>
      <c r="N397" s="52"/>
      <c r="P397" s="52"/>
      <c r="S397" s="52"/>
    </row>
    <row r="398" ht="15.75" customHeight="1">
      <c r="C398" s="52"/>
      <c r="H398" s="52"/>
      <c r="N398" s="52"/>
      <c r="P398" s="52"/>
      <c r="S398" s="52"/>
    </row>
    <row r="399" ht="15.75" customHeight="1">
      <c r="C399" s="52"/>
      <c r="H399" s="52"/>
      <c r="N399" s="52"/>
      <c r="P399" s="52"/>
      <c r="S399" s="52"/>
    </row>
    <row r="400" ht="15.75" customHeight="1">
      <c r="C400" s="52"/>
      <c r="H400" s="52"/>
      <c r="N400" s="52"/>
      <c r="P400" s="52"/>
      <c r="S400" s="52"/>
    </row>
    <row r="401" ht="15.75" customHeight="1">
      <c r="C401" s="52"/>
      <c r="H401" s="52"/>
      <c r="N401" s="52"/>
      <c r="P401" s="52"/>
      <c r="S401" s="52"/>
    </row>
    <row r="402" ht="15.75" customHeight="1">
      <c r="C402" s="52"/>
      <c r="H402" s="52"/>
      <c r="N402" s="52"/>
      <c r="P402" s="52"/>
      <c r="S402" s="52"/>
    </row>
    <row r="403" ht="15.75" customHeight="1">
      <c r="C403" s="52"/>
      <c r="H403" s="52"/>
      <c r="N403" s="52"/>
      <c r="P403" s="52"/>
      <c r="S403" s="52"/>
    </row>
    <row r="404" ht="15.75" customHeight="1">
      <c r="C404" s="52"/>
      <c r="H404" s="52"/>
      <c r="N404" s="52"/>
      <c r="P404" s="52"/>
      <c r="S404" s="52"/>
    </row>
    <row r="405" ht="15.75" customHeight="1">
      <c r="C405" s="52"/>
      <c r="H405" s="52"/>
      <c r="N405" s="52"/>
      <c r="P405" s="52"/>
      <c r="S405" s="52"/>
    </row>
    <row r="406" ht="15.75" customHeight="1">
      <c r="C406" s="52"/>
      <c r="H406" s="52"/>
      <c r="N406" s="52"/>
      <c r="P406" s="52"/>
      <c r="S406" s="52"/>
    </row>
    <row r="407" ht="15.75" customHeight="1">
      <c r="C407" s="52"/>
      <c r="H407" s="52"/>
      <c r="N407" s="52"/>
      <c r="P407" s="52"/>
      <c r="S407" s="52"/>
    </row>
    <row r="408" ht="15.75" customHeight="1">
      <c r="C408" s="52"/>
      <c r="H408" s="52"/>
      <c r="N408" s="52"/>
      <c r="P408" s="52"/>
      <c r="S408" s="52"/>
    </row>
    <row r="409" ht="15.75" customHeight="1">
      <c r="C409" s="52"/>
      <c r="H409" s="52"/>
      <c r="N409" s="52"/>
      <c r="P409" s="52"/>
      <c r="S409" s="52"/>
    </row>
    <row r="410" ht="15.75" customHeight="1">
      <c r="C410" s="52"/>
      <c r="H410" s="52"/>
      <c r="N410" s="52"/>
      <c r="P410" s="52"/>
      <c r="S410" s="52"/>
    </row>
    <row r="411" ht="15.75" customHeight="1">
      <c r="C411" s="52"/>
      <c r="H411" s="52"/>
      <c r="N411" s="52"/>
      <c r="P411" s="52"/>
      <c r="S411" s="52"/>
    </row>
    <row r="412" ht="15.75" customHeight="1">
      <c r="C412" s="52"/>
      <c r="H412" s="52"/>
      <c r="N412" s="52"/>
      <c r="P412" s="52"/>
      <c r="S412" s="52"/>
    </row>
    <row r="413" ht="15.75" customHeight="1">
      <c r="C413" s="52"/>
      <c r="H413" s="52"/>
      <c r="N413" s="52"/>
      <c r="P413" s="52"/>
      <c r="S413" s="52"/>
    </row>
    <row r="414" ht="15.75" customHeight="1">
      <c r="C414" s="52"/>
      <c r="H414" s="52"/>
      <c r="N414" s="52"/>
      <c r="P414" s="52"/>
      <c r="S414" s="52"/>
    </row>
    <row r="415" ht="15.75" customHeight="1">
      <c r="C415" s="52"/>
      <c r="H415" s="52"/>
      <c r="N415" s="52"/>
      <c r="P415" s="52"/>
      <c r="S415" s="52"/>
    </row>
    <row r="416" ht="15.75" customHeight="1">
      <c r="C416" s="52"/>
      <c r="H416" s="52"/>
      <c r="N416" s="52"/>
      <c r="P416" s="52"/>
      <c r="S416" s="52"/>
    </row>
    <row r="417" ht="15.75" customHeight="1">
      <c r="C417" s="52"/>
      <c r="H417" s="52"/>
      <c r="N417" s="52"/>
      <c r="P417" s="52"/>
      <c r="S417" s="52"/>
    </row>
    <row r="418" ht="15.75" customHeight="1">
      <c r="C418" s="52"/>
      <c r="H418" s="52"/>
      <c r="N418" s="52"/>
      <c r="P418" s="52"/>
      <c r="S418" s="52"/>
    </row>
    <row r="419" ht="15.75" customHeight="1">
      <c r="C419" s="52"/>
      <c r="H419" s="52"/>
      <c r="N419" s="52"/>
      <c r="P419" s="52"/>
      <c r="S419" s="52"/>
    </row>
    <row r="420" ht="15.75" customHeight="1">
      <c r="C420" s="52"/>
      <c r="H420" s="52"/>
      <c r="N420" s="52"/>
      <c r="P420" s="52"/>
      <c r="S420" s="52"/>
    </row>
    <row r="421" ht="15.75" customHeight="1">
      <c r="C421" s="52"/>
      <c r="H421" s="52"/>
      <c r="N421" s="52"/>
      <c r="P421" s="52"/>
      <c r="S421" s="52"/>
    </row>
    <row r="422" ht="15.75" customHeight="1">
      <c r="C422" s="52"/>
      <c r="H422" s="52"/>
      <c r="N422" s="52"/>
      <c r="P422" s="52"/>
      <c r="S422" s="52"/>
    </row>
    <row r="423" ht="15.75" customHeight="1">
      <c r="C423" s="52"/>
      <c r="H423" s="52"/>
      <c r="N423" s="52"/>
      <c r="P423" s="52"/>
      <c r="S423" s="52"/>
    </row>
    <row r="424" ht="15.75" customHeight="1">
      <c r="C424" s="52"/>
      <c r="H424" s="52"/>
      <c r="N424" s="52"/>
      <c r="P424" s="52"/>
      <c r="S424" s="52"/>
    </row>
    <row r="425" ht="15.75" customHeight="1">
      <c r="C425" s="52"/>
      <c r="H425" s="52"/>
      <c r="N425" s="52"/>
      <c r="P425" s="52"/>
      <c r="S425" s="52"/>
    </row>
    <row r="426" ht="15.75" customHeight="1">
      <c r="C426" s="52"/>
      <c r="H426" s="52"/>
      <c r="N426" s="52"/>
      <c r="P426" s="52"/>
      <c r="S426" s="52"/>
    </row>
    <row r="427" ht="15.75" customHeight="1">
      <c r="C427" s="52"/>
      <c r="H427" s="52"/>
      <c r="N427" s="52"/>
      <c r="P427" s="52"/>
      <c r="S427" s="52"/>
    </row>
    <row r="428" ht="15.75" customHeight="1">
      <c r="C428" s="52"/>
      <c r="H428" s="52"/>
      <c r="N428" s="52"/>
      <c r="P428" s="52"/>
      <c r="S428" s="52"/>
    </row>
    <row r="429" ht="15.75" customHeight="1">
      <c r="C429" s="52"/>
      <c r="H429" s="52"/>
      <c r="N429" s="52"/>
      <c r="P429" s="52"/>
      <c r="S429" s="52"/>
    </row>
    <row r="430" ht="15.75" customHeight="1">
      <c r="C430" s="52"/>
      <c r="H430" s="52"/>
      <c r="N430" s="52"/>
      <c r="P430" s="52"/>
      <c r="S430" s="52"/>
    </row>
    <row r="431" ht="15.75" customHeight="1">
      <c r="C431" s="52"/>
      <c r="H431" s="52"/>
      <c r="N431" s="52"/>
      <c r="P431" s="52"/>
      <c r="S431" s="52"/>
    </row>
    <row r="432" ht="15.75" customHeight="1">
      <c r="C432" s="52"/>
      <c r="H432" s="52"/>
      <c r="N432" s="52"/>
      <c r="P432" s="52"/>
      <c r="S432" s="52"/>
    </row>
    <row r="433" ht="15.75" customHeight="1">
      <c r="C433" s="52"/>
      <c r="H433" s="52"/>
      <c r="N433" s="52"/>
      <c r="P433" s="52"/>
      <c r="S433" s="52"/>
    </row>
    <row r="434" ht="15.75" customHeight="1">
      <c r="C434" s="52"/>
      <c r="H434" s="52"/>
      <c r="N434" s="52"/>
      <c r="P434" s="52"/>
      <c r="S434" s="52"/>
    </row>
    <row r="435" ht="15.75" customHeight="1">
      <c r="C435" s="52"/>
      <c r="H435" s="52"/>
      <c r="N435" s="52"/>
      <c r="P435" s="52"/>
      <c r="S435" s="52"/>
    </row>
    <row r="436" ht="15.75" customHeight="1">
      <c r="C436" s="52"/>
      <c r="H436" s="52"/>
      <c r="N436" s="52"/>
      <c r="P436" s="52"/>
      <c r="S436" s="52"/>
    </row>
    <row r="437" ht="15.75" customHeight="1">
      <c r="C437" s="52"/>
      <c r="H437" s="52"/>
      <c r="N437" s="52"/>
      <c r="P437" s="52"/>
      <c r="S437" s="52"/>
    </row>
    <row r="438" ht="15.75" customHeight="1">
      <c r="C438" s="52"/>
      <c r="H438" s="52"/>
      <c r="N438" s="52"/>
      <c r="P438" s="52"/>
      <c r="S438" s="52"/>
    </row>
    <row r="439" ht="15.75" customHeight="1">
      <c r="C439" s="52"/>
      <c r="H439" s="52"/>
      <c r="N439" s="52"/>
      <c r="P439" s="52"/>
      <c r="S439" s="52"/>
    </row>
    <row r="440" ht="15.75" customHeight="1">
      <c r="C440" s="52"/>
      <c r="H440" s="52"/>
      <c r="N440" s="52"/>
      <c r="P440" s="52"/>
      <c r="S440" s="52"/>
    </row>
    <row r="441" ht="15.75" customHeight="1">
      <c r="C441" s="52"/>
      <c r="H441" s="52"/>
      <c r="N441" s="52"/>
      <c r="P441" s="52"/>
      <c r="S441" s="52"/>
    </row>
    <row r="442" ht="15.75" customHeight="1">
      <c r="C442" s="52"/>
      <c r="H442" s="52"/>
      <c r="N442" s="52"/>
      <c r="P442" s="52"/>
      <c r="S442" s="52"/>
    </row>
    <row r="443" ht="15.75" customHeight="1">
      <c r="C443" s="52"/>
      <c r="H443" s="52"/>
      <c r="N443" s="52"/>
      <c r="P443" s="52"/>
      <c r="S443" s="52"/>
    </row>
    <row r="444" ht="15.75" customHeight="1">
      <c r="C444" s="52"/>
      <c r="H444" s="52"/>
      <c r="N444" s="52"/>
      <c r="P444" s="52"/>
      <c r="S444" s="52"/>
    </row>
    <row r="445" ht="15.75" customHeight="1">
      <c r="C445" s="52"/>
      <c r="H445" s="52"/>
      <c r="N445" s="52"/>
      <c r="P445" s="52"/>
      <c r="S445" s="52"/>
    </row>
    <row r="446" ht="15.75" customHeight="1">
      <c r="C446" s="52"/>
      <c r="H446" s="52"/>
      <c r="N446" s="52"/>
      <c r="P446" s="52"/>
      <c r="S446" s="52"/>
    </row>
    <row r="447" ht="15.75" customHeight="1">
      <c r="C447" s="52"/>
      <c r="H447" s="52"/>
      <c r="N447" s="52"/>
      <c r="P447" s="52"/>
      <c r="S447" s="52"/>
    </row>
    <row r="448" ht="15.75" customHeight="1">
      <c r="C448" s="52"/>
      <c r="H448" s="52"/>
      <c r="N448" s="52"/>
      <c r="P448" s="52"/>
      <c r="S448" s="52"/>
    </row>
    <row r="449" ht="15.75" customHeight="1">
      <c r="C449" s="52"/>
      <c r="H449" s="52"/>
      <c r="N449" s="52"/>
      <c r="P449" s="52"/>
      <c r="S449" s="52"/>
    </row>
    <row r="450" ht="15.75" customHeight="1">
      <c r="C450" s="52"/>
      <c r="H450" s="52"/>
      <c r="N450" s="52"/>
      <c r="P450" s="52"/>
      <c r="S450" s="52"/>
    </row>
    <row r="451" ht="15.75" customHeight="1">
      <c r="C451" s="52"/>
      <c r="H451" s="52"/>
      <c r="N451" s="52"/>
      <c r="P451" s="52"/>
      <c r="S451" s="52"/>
    </row>
    <row r="452" ht="15.75" customHeight="1">
      <c r="C452" s="52"/>
      <c r="H452" s="52"/>
      <c r="N452" s="52"/>
      <c r="P452" s="52"/>
      <c r="S452" s="52"/>
    </row>
    <row r="453" ht="15.75" customHeight="1">
      <c r="C453" s="52"/>
      <c r="H453" s="52"/>
      <c r="N453" s="52"/>
      <c r="P453" s="52"/>
      <c r="S453" s="52"/>
    </row>
    <row r="454" ht="15.75" customHeight="1">
      <c r="C454" s="52"/>
      <c r="H454" s="52"/>
      <c r="N454" s="52"/>
      <c r="P454" s="52"/>
      <c r="S454" s="52"/>
    </row>
    <row r="455" ht="15.75" customHeight="1">
      <c r="C455" s="52"/>
      <c r="H455" s="52"/>
      <c r="N455" s="52"/>
      <c r="P455" s="52"/>
      <c r="S455" s="52"/>
    </row>
    <row r="456" ht="15.75" customHeight="1">
      <c r="C456" s="52"/>
      <c r="H456" s="52"/>
      <c r="N456" s="52"/>
      <c r="P456" s="52"/>
      <c r="S456" s="52"/>
    </row>
    <row r="457" ht="15.75" customHeight="1">
      <c r="C457" s="52"/>
      <c r="H457" s="52"/>
      <c r="N457" s="52"/>
      <c r="P457" s="52"/>
      <c r="S457" s="52"/>
    </row>
    <row r="458" ht="15.75" customHeight="1">
      <c r="C458" s="52"/>
      <c r="H458" s="52"/>
      <c r="N458" s="52"/>
      <c r="P458" s="52"/>
      <c r="S458" s="52"/>
    </row>
    <row r="459" ht="15.75" customHeight="1">
      <c r="C459" s="52"/>
      <c r="H459" s="52"/>
      <c r="N459" s="52"/>
      <c r="P459" s="52"/>
      <c r="S459" s="52"/>
    </row>
    <row r="460" ht="15.75" customHeight="1">
      <c r="C460" s="52"/>
      <c r="H460" s="52"/>
      <c r="N460" s="52"/>
      <c r="P460" s="52"/>
      <c r="S460" s="52"/>
    </row>
    <row r="461" ht="15.75" customHeight="1">
      <c r="C461" s="52"/>
      <c r="H461" s="52"/>
      <c r="N461" s="52"/>
      <c r="P461" s="52"/>
      <c r="S461" s="52"/>
    </row>
    <row r="462" ht="15.75" customHeight="1">
      <c r="C462" s="52"/>
      <c r="H462" s="52"/>
      <c r="N462" s="52"/>
      <c r="P462" s="52"/>
      <c r="S462" s="52"/>
    </row>
    <row r="463" ht="15.75" customHeight="1">
      <c r="C463" s="52"/>
      <c r="H463" s="52"/>
      <c r="N463" s="52"/>
      <c r="P463" s="52"/>
      <c r="S463" s="52"/>
    </row>
    <row r="464" ht="15.75" customHeight="1">
      <c r="C464" s="52"/>
      <c r="H464" s="52"/>
      <c r="N464" s="52"/>
      <c r="P464" s="52"/>
      <c r="S464" s="52"/>
    </row>
    <row r="465" ht="15.75" customHeight="1">
      <c r="C465" s="52"/>
      <c r="H465" s="52"/>
      <c r="N465" s="52"/>
      <c r="P465" s="52"/>
      <c r="S465" s="52"/>
    </row>
    <row r="466" ht="15.75" customHeight="1">
      <c r="C466" s="52"/>
      <c r="H466" s="52"/>
      <c r="N466" s="52"/>
      <c r="P466" s="52"/>
      <c r="S466" s="52"/>
    </row>
    <row r="467" ht="15.75" customHeight="1">
      <c r="C467" s="52"/>
      <c r="H467" s="52"/>
      <c r="N467" s="52"/>
      <c r="P467" s="52"/>
      <c r="S467" s="52"/>
    </row>
    <row r="468" ht="15.75" customHeight="1">
      <c r="C468" s="52"/>
      <c r="H468" s="52"/>
      <c r="N468" s="52"/>
      <c r="P468" s="52"/>
      <c r="S468" s="52"/>
    </row>
    <row r="469" ht="15.75" customHeight="1">
      <c r="C469" s="52"/>
      <c r="H469" s="52"/>
      <c r="N469" s="52"/>
      <c r="P469" s="52"/>
      <c r="S469" s="52"/>
    </row>
    <row r="470" ht="15.75" customHeight="1">
      <c r="C470" s="52"/>
      <c r="H470" s="52"/>
      <c r="N470" s="52"/>
      <c r="P470" s="52"/>
      <c r="S470" s="52"/>
    </row>
    <row r="471" ht="15.75" customHeight="1">
      <c r="C471" s="52"/>
      <c r="H471" s="52"/>
      <c r="N471" s="52"/>
      <c r="P471" s="52"/>
      <c r="S471" s="52"/>
    </row>
    <row r="472" ht="15.75" customHeight="1">
      <c r="C472" s="52"/>
      <c r="H472" s="52"/>
      <c r="N472" s="52"/>
      <c r="P472" s="52"/>
      <c r="S472" s="52"/>
    </row>
    <row r="473" ht="15.75" customHeight="1">
      <c r="C473" s="52"/>
      <c r="H473" s="52"/>
      <c r="N473" s="52"/>
      <c r="P473" s="52"/>
      <c r="S473" s="52"/>
    </row>
    <row r="474" ht="15.75" customHeight="1">
      <c r="C474" s="52"/>
      <c r="H474" s="52"/>
      <c r="N474" s="52"/>
      <c r="P474" s="52"/>
      <c r="S474" s="52"/>
    </row>
    <row r="475" ht="15.75" customHeight="1">
      <c r="C475" s="52"/>
      <c r="H475" s="52"/>
      <c r="N475" s="52"/>
      <c r="P475" s="52"/>
      <c r="S475" s="52"/>
    </row>
    <row r="476" ht="15.75" customHeight="1">
      <c r="C476" s="52"/>
      <c r="H476" s="52"/>
      <c r="N476" s="52"/>
      <c r="P476" s="52"/>
      <c r="S476" s="52"/>
    </row>
    <row r="477" ht="15.75" customHeight="1">
      <c r="C477" s="52"/>
      <c r="H477" s="52"/>
      <c r="N477" s="52"/>
      <c r="P477" s="52"/>
      <c r="S477" s="52"/>
    </row>
    <row r="478" ht="15.75" customHeight="1">
      <c r="C478" s="52"/>
      <c r="H478" s="52"/>
      <c r="N478" s="52"/>
      <c r="P478" s="52"/>
      <c r="S478" s="52"/>
    </row>
    <row r="479" ht="15.75" customHeight="1">
      <c r="C479" s="52"/>
      <c r="H479" s="52"/>
      <c r="N479" s="52"/>
      <c r="P479" s="52"/>
      <c r="S479" s="52"/>
    </row>
    <row r="480" ht="15.75" customHeight="1">
      <c r="C480" s="52"/>
      <c r="H480" s="52"/>
      <c r="N480" s="52"/>
      <c r="P480" s="52"/>
      <c r="S480" s="52"/>
    </row>
    <row r="481" ht="15.75" customHeight="1">
      <c r="C481" s="52"/>
      <c r="H481" s="52"/>
      <c r="N481" s="52"/>
      <c r="P481" s="52"/>
      <c r="S481" s="52"/>
    </row>
    <row r="482" ht="15.75" customHeight="1">
      <c r="C482" s="52"/>
      <c r="H482" s="52"/>
      <c r="N482" s="52"/>
      <c r="P482" s="52"/>
      <c r="S482" s="52"/>
    </row>
    <row r="483" ht="15.75" customHeight="1">
      <c r="C483" s="52"/>
      <c r="H483" s="52"/>
      <c r="N483" s="52"/>
      <c r="P483" s="52"/>
      <c r="S483" s="52"/>
    </row>
    <row r="484" ht="15.75" customHeight="1">
      <c r="C484" s="52"/>
      <c r="H484" s="52"/>
      <c r="N484" s="52"/>
      <c r="P484" s="52"/>
      <c r="S484" s="52"/>
    </row>
    <row r="485" ht="15.75" customHeight="1">
      <c r="C485" s="52"/>
      <c r="H485" s="52"/>
      <c r="N485" s="52"/>
      <c r="P485" s="52"/>
      <c r="S485" s="52"/>
    </row>
    <row r="486" ht="15.75" customHeight="1">
      <c r="C486" s="52"/>
      <c r="H486" s="52"/>
      <c r="N486" s="52"/>
      <c r="P486" s="52"/>
      <c r="S486" s="52"/>
    </row>
    <row r="487" ht="15.75" customHeight="1">
      <c r="C487" s="52"/>
      <c r="H487" s="52"/>
      <c r="N487" s="52"/>
      <c r="P487" s="52"/>
      <c r="S487" s="52"/>
    </row>
    <row r="488" ht="15.75" customHeight="1">
      <c r="C488" s="52"/>
      <c r="H488" s="52"/>
      <c r="N488" s="52"/>
      <c r="P488" s="52"/>
      <c r="S488" s="52"/>
    </row>
    <row r="489" ht="15.75" customHeight="1">
      <c r="C489" s="52"/>
      <c r="H489" s="52"/>
      <c r="N489" s="52"/>
      <c r="P489" s="52"/>
      <c r="S489" s="52"/>
    </row>
    <row r="490" ht="15.75" customHeight="1">
      <c r="C490" s="52"/>
      <c r="H490" s="52"/>
      <c r="N490" s="52"/>
      <c r="P490" s="52"/>
      <c r="S490" s="52"/>
    </row>
    <row r="491" ht="15.75" customHeight="1">
      <c r="C491" s="52"/>
      <c r="H491" s="52"/>
      <c r="N491" s="52"/>
      <c r="P491" s="52"/>
      <c r="S491" s="52"/>
    </row>
    <row r="492" ht="15.75" customHeight="1">
      <c r="C492" s="52"/>
      <c r="H492" s="52"/>
      <c r="N492" s="52"/>
      <c r="P492" s="52"/>
      <c r="S492" s="52"/>
    </row>
    <row r="493" ht="15.75" customHeight="1">
      <c r="C493" s="52"/>
      <c r="H493" s="52"/>
      <c r="N493" s="52"/>
      <c r="P493" s="52"/>
      <c r="S493" s="52"/>
    </row>
    <row r="494" ht="15.75" customHeight="1">
      <c r="C494" s="52"/>
      <c r="H494" s="52"/>
      <c r="N494" s="52"/>
      <c r="P494" s="52"/>
      <c r="S494" s="52"/>
    </row>
    <row r="495" ht="15.75" customHeight="1">
      <c r="C495" s="52"/>
      <c r="H495" s="52"/>
      <c r="N495" s="52"/>
      <c r="P495" s="52"/>
      <c r="S495" s="52"/>
    </row>
    <row r="496" ht="15.75" customHeight="1">
      <c r="C496" s="52"/>
      <c r="H496" s="52"/>
      <c r="N496" s="52"/>
      <c r="P496" s="52"/>
      <c r="S496" s="52"/>
    </row>
    <row r="497" ht="15.75" customHeight="1">
      <c r="C497" s="52"/>
      <c r="H497" s="52"/>
      <c r="N497" s="52"/>
      <c r="P497" s="52"/>
      <c r="S497" s="52"/>
    </row>
    <row r="498" ht="15.75" customHeight="1">
      <c r="C498" s="52"/>
      <c r="H498" s="52"/>
      <c r="N498" s="52"/>
      <c r="P498" s="52"/>
      <c r="S498" s="52"/>
    </row>
    <row r="499" ht="15.75" customHeight="1">
      <c r="C499" s="52"/>
      <c r="H499" s="52"/>
      <c r="N499" s="52"/>
      <c r="P499" s="52"/>
      <c r="S499" s="52"/>
    </row>
    <row r="500" ht="15.75" customHeight="1">
      <c r="C500" s="52"/>
      <c r="H500" s="52"/>
      <c r="N500" s="52"/>
      <c r="P500" s="52"/>
      <c r="S500" s="52"/>
    </row>
    <row r="501" ht="15.75" customHeight="1">
      <c r="C501" s="52"/>
      <c r="H501" s="52"/>
      <c r="N501" s="52"/>
      <c r="P501" s="52"/>
      <c r="S501" s="52"/>
    </row>
    <row r="502" ht="15.75" customHeight="1">
      <c r="C502" s="52"/>
      <c r="H502" s="52"/>
      <c r="N502" s="52"/>
      <c r="P502" s="52"/>
      <c r="S502" s="52"/>
    </row>
    <row r="503" ht="15.75" customHeight="1">
      <c r="C503" s="52"/>
      <c r="H503" s="52"/>
      <c r="N503" s="52"/>
      <c r="P503" s="52"/>
      <c r="S503" s="52"/>
    </row>
    <row r="504" ht="15.75" customHeight="1">
      <c r="C504" s="52"/>
      <c r="H504" s="52"/>
      <c r="N504" s="52"/>
      <c r="P504" s="52"/>
      <c r="S504" s="52"/>
    </row>
    <row r="505" ht="15.75" customHeight="1">
      <c r="C505" s="52"/>
      <c r="H505" s="52"/>
      <c r="N505" s="52"/>
      <c r="P505" s="52"/>
      <c r="S505" s="52"/>
    </row>
    <row r="506" ht="15.75" customHeight="1">
      <c r="C506" s="52"/>
      <c r="H506" s="52"/>
      <c r="N506" s="52"/>
      <c r="P506" s="52"/>
      <c r="S506" s="52"/>
    </row>
    <row r="507" ht="15.75" customHeight="1">
      <c r="C507" s="52"/>
      <c r="H507" s="52"/>
      <c r="N507" s="52"/>
      <c r="P507" s="52"/>
      <c r="S507" s="52"/>
    </row>
    <row r="508" ht="15.75" customHeight="1">
      <c r="C508" s="52"/>
      <c r="H508" s="52"/>
      <c r="N508" s="52"/>
      <c r="P508" s="52"/>
      <c r="S508" s="52"/>
    </row>
    <row r="509" ht="15.75" customHeight="1">
      <c r="C509" s="52"/>
      <c r="H509" s="52"/>
      <c r="N509" s="52"/>
      <c r="P509" s="52"/>
      <c r="S509" s="52"/>
    </row>
    <row r="510" ht="15.75" customHeight="1">
      <c r="C510" s="52"/>
      <c r="H510" s="52"/>
      <c r="N510" s="52"/>
      <c r="P510" s="52"/>
      <c r="S510" s="52"/>
    </row>
    <row r="511" ht="15.75" customHeight="1">
      <c r="C511" s="52"/>
      <c r="H511" s="52"/>
      <c r="N511" s="52"/>
      <c r="P511" s="52"/>
      <c r="S511" s="52"/>
    </row>
    <row r="512" ht="15.75" customHeight="1">
      <c r="C512" s="52"/>
      <c r="H512" s="52"/>
      <c r="N512" s="52"/>
      <c r="P512" s="52"/>
      <c r="S512" s="52"/>
    </row>
    <row r="513" ht="15.75" customHeight="1">
      <c r="C513" s="52"/>
      <c r="H513" s="52"/>
      <c r="N513" s="52"/>
      <c r="P513" s="52"/>
      <c r="S513" s="52"/>
    </row>
    <row r="514" ht="15.75" customHeight="1">
      <c r="C514" s="52"/>
      <c r="H514" s="52"/>
      <c r="N514" s="52"/>
      <c r="P514" s="52"/>
      <c r="S514" s="52"/>
    </row>
    <row r="515" ht="15.75" customHeight="1">
      <c r="C515" s="52"/>
      <c r="H515" s="52"/>
      <c r="N515" s="52"/>
      <c r="P515" s="52"/>
      <c r="S515" s="52"/>
    </row>
    <row r="516" ht="15.75" customHeight="1">
      <c r="C516" s="52"/>
      <c r="H516" s="52"/>
      <c r="N516" s="52"/>
      <c r="P516" s="52"/>
      <c r="S516" s="52"/>
    </row>
    <row r="517" ht="15.75" customHeight="1">
      <c r="C517" s="52"/>
      <c r="H517" s="52"/>
      <c r="N517" s="52"/>
      <c r="P517" s="52"/>
      <c r="S517" s="52"/>
    </row>
    <row r="518" ht="15.75" customHeight="1">
      <c r="C518" s="52"/>
      <c r="H518" s="52"/>
      <c r="N518" s="52"/>
      <c r="P518" s="52"/>
      <c r="S518" s="52"/>
    </row>
    <row r="519" ht="15.75" customHeight="1">
      <c r="C519" s="52"/>
      <c r="H519" s="52"/>
      <c r="N519" s="52"/>
      <c r="P519" s="52"/>
      <c r="S519" s="52"/>
    </row>
    <row r="520" ht="15.75" customHeight="1">
      <c r="C520" s="52"/>
      <c r="H520" s="52"/>
      <c r="N520" s="52"/>
      <c r="P520" s="52"/>
      <c r="S520" s="52"/>
    </row>
    <row r="521" ht="15.75" customHeight="1">
      <c r="C521" s="52"/>
      <c r="H521" s="52"/>
      <c r="N521" s="52"/>
      <c r="P521" s="52"/>
      <c r="S521" s="52"/>
    </row>
    <row r="522" ht="15.75" customHeight="1">
      <c r="C522" s="52"/>
      <c r="H522" s="52"/>
      <c r="N522" s="52"/>
      <c r="P522" s="52"/>
      <c r="S522" s="52"/>
    </row>
    <row r="523" ht="15.75" customHeight="1">
      <c r="C523" s="52"/>
      <c r="H523" s="52"/>
      <c r="N523" s="52"/>
      <c r="P523" s="52"/>
      <c r="S523" s="52"/>
    </row>
    <row r="524" ht="15.75" customHeight="1">
      <c r="C524" s="52"/>
      <c r="H524" s="52"/>
      <c r="N524" s="52"/>
      <c r="P524" s="52"/>
      <c r="S524" s="52"/>
    </row>
    <row r="525" ht="15.75" customHeight="1">
      <c r="C525" s="52"/>
      <c r="H525" s="52"/>
      <c r="N525" s="52"/>
      <c r="P525" s="52"/>
      <c r="S525" s="52"/>
    </row>
    <row r="526" ht="15.75" customHeight="1">
      <c r="C526" s="52"/>
      <c r="H526" s="52"/>
      <c r="N526" s="52"/>
      <c r="P526" s="52"/>
      <c r="S526" s="52"/>
    </row>
    <row r="527" ht="15.75" customHeight="1">
      <c r="C527" s="52"/>
      <c r="H527" s="52"/>
      <c r="N527" s="52"/>
      <c r="P527" s="52"/>
      <c r="S527" s="52"/>
    </row>
    <row r="528" ht="15.75" customHeight="1">
      <c r="C528" s="52"/>
      <c r="H528" s="52"/>
      <c r="N528" s="52"/>
      <c r="P528" s="52"/>
      <c r="S528" s="52"/>
    </row>
    <row r="529" ht="15.75" customHeight="1">
      <c r="C529" s="52"/>
      <c r="H529" s="52"/>
      <c r="N529" s="52"/>
      <c r="P529" s="52"/>
      <c r="S529" s="52"/>
    </row>
    <row r="530" ht="15.75" customHeight="1">
      <c r="C530" s="52"/>
      <c r="H530" s="52"/>
      <c r="N530" s="52"/>
      <c r="P530" s="52"/>
      <c r="S530" s="52"/>
    </row>
    <row r="531" ht="15.75" customHeight="1">
      <c r="C531" s="52"/>
      <c r="H531" s="52"/>
      <c r="N531" s="52"/>
      <c r="P531" s="52"/>
      <c r="S531" s="52"/>
    </row>
    <row r="532" ht="15.75" customHeight="1">
      <c r="C532" s="52"/>
      <c r="H532" s="52"/>
      <c r="N532" s="52"/>
      <c r="P532" s="52"/>
      <c r="S532" s="52"/>
    </row>
    <row r="533" ht="15.75" customHeight="1">
      <c r="C533" s="52"/>
      <c r="H533" s="52"/>
      <c r="N533" s="52"/>
      <c r="P533" s="52"/>
      <c r="S533" s="52"/>
    </row>
    <row r="534" ht="15.75" customHeight="1">
      <c r="C534" s="52"/>
      <c r="H534" s="52"/>
      <c r="N534" s="52"/>
      <c r="P534" s="52"/>
      <c r="S534" s="52"/>
    </row>
    <row r="535" ht="15.75" customHeight="1">
      <c r="C535" s="52"/>
      <c r="H535" s="52"/>
      <c r="N535" s="52"/>
      <c r="P535" s="52"/>
      <c r="S535" s="52"/>
    </row>
    <row r="536" ht="15.75" customHeight="1">
      <c r="C536" s="52"/>
      <c r="H536" s="52"/>
      <c r="N536" s="52"/>
      <c r="P536" s="52"/>
      <c r="S536" s="52"/>
    </row>
    <row r="537" ht="15.75" customHeight="1">
      <c r="C537" s="52"/>
      <c r="H537" s="52"/>
      <c r="N537" s="52"/>
      <c r="P537" s="52"/>
      <c r="S537" s="52"/>
    </row>
    <row r="538" ht="15.75" customHeight="1">
      <c r="C538" s="52"/>
      <c r="H538" s="52"/>
      <c r="N538" s="52"/>
      <c r="P538" s="52"/>
      <c r="S538" s="52"/>
    </row>
    <row r="539" ht="15.75" customHeight="1">
      <c r="C539" s="52"/>
      <c r="H539" s="52"/>
      <c r="N539" s="52"/>
      <c r="P539" s="52"/>
      <c r="S539" s="52"/>
    </row>
    <row r="540" ht="15.75" customHeight="1">
      <c r="C540" s="52"/>
      <c r="H540" s="52"/>
      <c r="N540" s="52"/>
      <c r="P540" s="52"/>
      <c r="S540" s="52"/>
    </row>
    <row r="541" ht="15.75" customHeight="1">
      <c r="C541" s="52"/>
      <c r="H541" s="52"/>
      <c r="N541" s="52"/>
      <c r="P541" s="52"/>
      <c r="S541" s="52"/>
    </row>
    <row r="542" ht="15.75" customHeight="1">
      <c r="C542" s="52"/>
      <c r="H542" s="52"/>
      <c r="N542" s="52"/>
      <c r="P542" s="52"/>
      <c r="S542" s="52"/>
    </row>
    <row r="543" ht="15.75" customHeight="1">
      <c r="C543" s="52"/>
      <c r="H543" s="52"/>
      <c r="N543" s="52"/>
      <c r="P543" s="52"/>
      <c r="S543" s="52"/>
    </row>
    <row r="544" ht="15.75" customHeight="1">
      <c r="C544" s="52"/>
      <c r="H544" s="52"/>
      <c r="N544" s="52"/>
      <c r="P544" s="52"/>
      <c r="S544" s="52"/>
    </row>
    <row r="545" ht="15.75" customHeight="1">
      <c r="C545" s="52"/>
      <c r="H545" s="52"/>
      <c r="N545" s="52"/>
      <c r="P545" s="52"/>
      <c r="S545" s="52"/>
    </row>
    <row r="546" ht="15.75" customHeight="1">
      <c r="C546" s="52"/>
      <c r="H546" s="52"/>
      <c r="N546" s="52"/>
      <c r="P546" s="52"/>
      <c r="S546" s="52"/>
    </row>
    <row r="547" ht="15.75" customHeight="1">
      <c r="C547" s="52"/>
      <c r="H547" s="52"/>
      <c r="N547" s="52"/>
      <c r="P547" s="52"/>
      <c r="S547" s="52"/>
    </row>
    <row r="548" ht="15.75" customHeight="1">
      <c r="C548" s="52"/>
      <c r="H548" s="52"/>
      <c r="N548" s="52"/>
      <c r="P548" s="52"/>
      <c r="S548" s="52"/>
    </row>
    <row r="549" ht="15.75" customHeight="1">
      <c r="C549" s="52"/>
      <c r="H549" s="52"/>
      <c r="N549" s="52"/>
      <c r="P549" s="52"/>
      <c r="S549" s="52"/>
    </row>
    <row r="550" ht="15.75" customHeight="1">
      <c r="C550" s="52"/>
      <c r="H550" s="52"/>
      <c r="N550" s="52"/>
      <c r="P550" s="52"/>
      <c r="S550" s="52"/>
    </row>
    <row r="551" ht="15.75" customHeight="1">
      <c r="C551" s="52"/>
      <c r="H551" s="52"/>
      <c r="N551" s="52"/>
      <c r="P551" s="52"/>
      <c r="S551" s="52"/>
    </row>
    <row r="552" ht="15.75" customHeight="1">
      <c r="C552" s="52"/>
      <c r="H552" s="52"/>
      <c r="N552" s="52"/>
      <c r="P552" s="52"/>
      <c r="S552" s="52"/>
    </row>
    <row r="553" ht="15.75" customHeight="1">
      <c r="C553" s="52"/>
      <c r="H553" s="52"/>
      <c r="N553" s="52"/>
      <c r="P553" s="52"/>
      <c r="S553" s="52"/>
    </row>
    <row r="554" ht="15.75" customHeight="1">
      <c r="C554" s="52"/>
      <c r="H554" s="52"/>
      <c r="N554" s="52"/>
      <c r="P554" s="52"/>
      <c r="S554" s="52"/>
    </row>
    <row r="555" ht="15.75" customHeight="1">
      <c r="C555" s="52"/>
      <c r="H555" s="52"/>
      <c r="N555" s="52"/>
      <c r="P555" s="52"/>
      <c r="S555" s="52"/>
    </row>
    <row r="556" ht="15.75" customHeight="1">
      <c r="C556" s="52"/>
      <c r="H556" s="52"/>
      <c r="N556" s="52"/>
      <c r="P556" s="52"/>
      <c r="S556" s="52"/>
    </row>
    <row r="557" ht="15.75" customHeight="1">
      <c r="C557" s="52"/>
      <c r="H557" s="52"/>
      <c r="N557" s="52"/>
      <c r="P557" s="52"/>
      <c r="S557" s="52"/>
    </row>
    <row r="558" ht="15.75" customHeight="1">
      <c r="C558" s="52"/>
      <c r="H558" s="52"/>
      <c r="N558" s="52"/>
      <c r="P558" s="52"/>
      <c r="S558" s="52"/>
    </row>
    <row r="559" ht="15.75" customHeight="1">
      <c r="C559" s="52"/>
      <c r="H559" s="52"/>
      <c r="N559" s="52"/>
      <c r="P559" s="52"/>
      <c r="S559" s="52"/>
    </row>
    <row r="560" ht="15.75" customHeight="1">
      <c r="C560" s="52"/>
      <c r="H560" s="52"/>
      <c r="N560" s="52"/>
      <c r="P560" s="52"/>
      <c r="S560" s="52"/>
    </row>
    <row r="561" ht="15.75" customHeight="1">
      <c r="C561" s="52"/>
      <c r="H561" s="52"/>
      <c r="N561" s="52"/>
      <c r="P561" s="52"/>
      <c r="S561" s="52"/>
    </row>
    <row r="562" ht="15.75" customHeight="1">
      <c r="C562" s="52"/>
      <c r="H562" s="52"/>
      <c r="N562" s="52"/>
      <c r="P562" s="52"/>
      <c r="S562" s="52"/>
    </row>
    <row r="563" ht="15.75" customHeight="1">
      <c r="C563" s="52"/>
      <c r="H563" s="52"/>
      <c r="N563" s="52"/>
      <c r="P563" s="52"/>
      <c r="S563" s="52"/>
    </row>
    <row r="564" ht="15.75" customHeight="1">
      <c r="C564" s="52"/>
      <c r="H564" s="52"/>
      <c r="N564" s="52"/>
      <c r="P564" s="52"/>
      <c r="S564" s="52"/>
    </row>
    <row r="565" ht="15.75" customHeight="1">
      <c r="C565" s="52"/>
      <c r="H565" s="52"/>
      <c r="N565" s="52"/>
      <c r="P565" s="52"/>
      <c r="S565" s="52"/>
    </row>
    <row r="566" ht="15.75" customHeight="1">
      <c r="C566" s="52"/>
      <c r="H566" s="52"/>
      <c r="N566" s="52"/>
      <c r="P566" s="52"/>
      <c r="S566" s="52"/>
    </row>
    <row r="567" ht="15.75" customHeight="1">
      <c r="C567" s="52"/>
      <c r="H567" s="52"/>
      <c r="N567" s="52"/>
      <c r="P567" s="52"/>
      <c r="S567" s="52"/>
    </row>
    <row r="568" ht="15.75" customHeight="1">
      <c r="C568" s="52"/>
      <c r="H568" s="52"/>
      <c r="N568" s="52"/>
      <c r="P568" s="52"/>
      <c r="S568" s="52"/>
    </row>
    <row r="569" ht="15.75" customHeight="1">
      <c r="C569" s="52"/>
      <c r="H569" s="52"/>
      <c r="N569" s="52"/>
      <c r="P569" s="52"/>
      <c r="S569" s="52"/>
    </row>
    <row r="570" ht="15.75" customHeight="1">
      <c r="C570" s="52"/>
      <c r="H570" s="52"/>
      <c r="N570" s="52"/>
      <c r="P570" s="52"/>
      <c r="S570" s="52"/>
    </row>
    <row r="571" ht="15.75" customHeight="1">
      <c r="C571" s="52"/>
      <c r="H571" s="52"/>
      <c r="N571" s="52"/>
      <c r="P571" s="52"/>
      <c r="S571" s="52"/>
    </row>
    <row r="572" ht="15.75" customHeight="1">
      <c r="C572" s="52"/>
      <c r="H572" s="52"/>
      <c r="N572" s="52"/>
      <c r="P572" s="52"/>
      <c r="S572" s="52"/>
    </row>
    <row r="573" ht="15.75" customHeight="1">
      <c r="C573" s="52"/>
      <c r="H573" s="52"/>
      <c r="N573" s="52"/>
      <c r="P573" s="52"/>
      <c r="S573" s="52"/>
    </row>
    <row r="574" ht="15.75" customHeight="1">
      <c r="C574" s="52"/>
      <c r="H574" s="52"/>
      <c r="N574" s="52"/>
      <c r="P574" s="52"/>
      <c r="S574" s="52"/>
    </row>
    <row r="575" ht="15.75" customHeight="1">
      <c r="C575" s="52"/>
      <c r="H575" s="52"/>
      <c r="N575" s="52"/>
      <c r="P575" s="52"/>
      <c r="S575" s="52"/>
    </row>
    <row r="576" ht="15.75" customHeight="1">
      <c r="C576" s="52"/>
      <c r="H576" s="52"/>
      <c r="N576" s="52"/>
      <c r="P576" s="52"/>
      <c r="S576" s="52"/>
    </row>
    <row r="577" ht="15.75" customHeight="1">
      <c r="C577" s="52"/>
      <c r="H577" s="52"/>
      <c r="N577" s="52"/>
      <c r="P577" s="52"/>
      <c r="S577" s="52"/>
    </row>
    <row r="578" ht="15.75" customHeight="1">
      <c r="C578" s="52"/>
      <c r="H578" s="52"/>
      <c r="N578" s="52"/>
      <c r="P578" s="52"/>
      <c r="S578" s="52"/>
    </row>
    <row r="579" ht="15.75" customHeight="1">
      <c r="C579" s="52"/>
      <c r="H579" s="52"/>
      <c r="N579" s="52"/>
      <c r="P579" s="52"/>
      <c r="S579" s="52"/>
    </row>
    <row r="580" ht="15.75" customHeight="1">
      <c r="C580" s="52"/>
      <c r="H580" s="52"/>
      <c r="N580" s="52"/>
      <c r="P580" s="52"/>
      <c r="S580" s="52"/>
    </row>
    <row r="581" ht="15.75" customHeight="1">
      <c r="C581" s="52"/>
      <c r="H581" s="52"/>
      <c r="N581" s="52"/>
      <c r="P581" s="52"/>
      <c r="S581" s="52"/>
    </row>
    <row r="582" ht="15.75" customHeight="1">
      <c r="C582" s="52"/>
      <c r="H582" s="52"/>
      <c r="N582" s="52"/>
      <c r="P582" s="52"/>
      <c r="S582" s="52"/>
    </row>
    <row r="583" ht="15.75" customHeight="1">
      <c r="C583" s="52"/>
      <c r="H583" s="52"/>
      <c r="N583" s="52"/>
      <c r="P583" s="52"/>
      <c r="S583" s="52"/>
    </row>
    <row r="584" ht="15.75" customHeight="1">
      <c r="C584" s="52"/>
      <c r="H584" s="52"/>
      <c r="N584" s="52"/>
      <c r="P584" s="52"/>
      <c r="S584" s="52"/>
    </row>
    <row r="585" ht="15.75" customHeight="1">
      <c r="C585" s="52"/>
      <c r="H585" s="52"/>
      <c r="N585" s="52"/>
      <c r="P585" s="52"/>
      <c r="S585" s="52"/>
    </row>
    <row r="586" ht="15.75" customHeight="1">
      <c r="C586" s="52"/>
      <c r="H586" s="52"/>
      <c r="N586" s="52"/>
      <c r="P586" s="52"/>
      <c r="S586" s="52"/>
    </row>
    <row r="587" ht="15.75" customHeight="1">
      <c r="C587" s="52"/>
      <c r="H587" s="52"/>
      <c r="N587" s="52"/>
      <c r="P587" s="52"/>
      <c r="S587" s="52"/>
    </row>
    <row r="588" ht="15.75" customHeight="1">
      <c r="C588" s="52"/>
      <c r="H588" s="52"/>
      <c r="N588" s="52"/>
      <c r="P588" s="52"/>
      <c r="S588" s="52"/>
    </row>
    <row r="589" ht="15.75" customHeight="1">
      <c r="C589" s="52"/>
      <c r="H589" s="52"/>
      <c r="N589" s="52"/>
      <c r="P589" s="52"/>
      <c r="S589" s="52"/>
    </row>
    <row r="590" ht="15.75" customHeight="1">
      <c r="C590" s="52"/>
      <c r="H590" s="52"/>
      <c r="N590" s="52"/>
      <c r="P590" s="52"/>
      <c r="S590" s="52"/>
    </row>
    <row r="591" ht="15.75" customHeight="1">
      <c r="C591" s="52"/>
      <c r="H591" s="52"/>
      <c r="N591" s="52"/>
      <c r="P591" s="52"/>
      <c r="S591" s="52"/>
    </row>
    <row r="592" ht="15.75" customHeight="1">
      <c r="C592" s="52"/>
      <c r="H592" s="52"/>
      <c r="N592" s="52"/>
      <c r="P592" s="52"/>
      <c r="S592" s="52"/>
    </row>
    <row r="593" ht="15.75" customHeight="1">
      <c r="C593" s="52"/>
      <c r="H593" s="52"/>
      <c r="N593" s="52"/>
      <c r="P593" s="52"/>
      <c r="S593" s="52"/>
    </row>
    <row r="594" ht="15.75" customHeight="1">
      <c r="C594" s="52"/>
      <c r="H594" s="52"/>
      <c r="N594" s="52"/>
      <c r="P594" s="52"/>
      <c r="S594" s="52"/>
    </row>
    <row r="595" ht="15.75" customHeight="1">
      <c r="C595" s="52"/>
      <c r="H595" s="52"/>
      <c r="N595" s="52"/>
      <c r="P595" s="52"/>
      <c r="S595" s="52"/>
    </row>
    <row r="596" ht="15.75" customHeight="1">
      <c r="C596" s="52"/>
      <c r="H596" s="52"/>
      <c r="N596" s="52"/>
      <c r="P596" s="52"/>
      <c r="S596" s="52"/>
    </row>
    <row r="597" ht="15.75" customHeight="1">
      <c r="C597" s="52"/>
      <c r="H597" s="52"/>
      <c r="N597" s="52"/>
      <c r="P597" s="52"/>
      <c r="S597" s="52"/>
    </row>
    <row r="598" ht="15.75" customHeight="1">
      <c r="C598" s="52"/>
      <c r="H598" s="52"/>
      <c r="N598" s="52"/>
      <c r="P598" s="52"/>
      <c r="S598" s="52"/>
    </row>
    <row r="599" ht="15.75" customHeight="1">
      <c r="C599" s="52"/>
      <c r="H599" s="52"/>
      <c r="N599" s="52"/>
      <c r="P599" s="52"/>
      <c r="S599" s="52"/>
    </row>
    <row r="600" ht="15.75" customHeight="1">
      <c r="C600" s="52"/>
      <c r="H600" s="52"/>
      <c r="N600" s="52"/>
      <c r="P600" s="52"/>
      <c r="S600" s="52"/>
    </row>
    <row r="601" ht="15.75" customHeight="1">
      <c r="C601" s="52"/>
      <c r="H601" s="52"/>
      <c r="N601" s="52"/>
      <c r="P601" s="52"/>
      <c r="S601" s="52"/>
    </row>
    <row r="602" ht="15.75" customHeight="1">
      <c r="C602" s="52"/>
      <c r="H602" s="52"/>
      <c r="N602" s="52"/>
      <c r="P602" s="52"/>
      <c r="S602" s="52"/>
    </row>
    <row r="603" ht="15.75" customHeight="1">
      <c r="C603" s="52"/>
      <c r="H603" s="52"/>
      <c r="N603" s="52"/>
      <c r="P603" s="52"/>
      <c r="S603" s="52"/>
    </row>
    <row r="604" ht="15.75" customHeight="1">
      <c r="C604" s="52"/>
      <c r="H604" s="52"/>
      <c r="N604" s="52"/>
      <c r="P604" s="52"/>
      <c r="S604" s="52"/>
    </row>
    <row r="605" ht="15.75" customHeight="1">
      <c r="C605" s="52"/>
      <c r="H605" s="52"/>
      <c r="N605" s="52"/>
      <c r="P605" s="52"/>
      <c r="S605" s="52"/>
    </row>
    <row r="606" ht="15.75" customHeight="1">
      <c r="C606" s="52"/>
      <c r="H606" s="52"/>
      <c r="N606" s="52"/>
      <c r="P606" s="52"/>
      <c r="S606" s="52"/>
    </row>
    <row r="607" ht="15.75" customHeight="1">
      <c r="C607" s="52"/>
      <c r="H607" s="52"/>
      <c r="N607" s="52"/>
      <c r="P607" s="52"/>
      <c r="S607" s="52"/>
    </row>
    <row r="608" ht="15.75" customHeight="1">
      <c r="C608" s="52"/>
      <c r="H608" s="52"/>
      <c r="N608" s="52"/>
      <c r="P608" s="52"/>
      <c r="S608" s="52"/>
    </row>
    <row r="609" ht="15.75" customHeight="1">
      <c r="C609" s="52"/>
      <c r="H609" s="52"/>
      <c r="N609" s="52"/>
      <c r="P609" s="52"/>
      <c r="S609" s="52"/>
    </row>
    <row r="610" ht="15.75" customHeight="1">
      <c r="C610" s="52"/>
      <c r="H610" s="52"/>
      <c r="N610" s="52"/>
      <c r="P610" s="52"/>
      <c r="S610" s="52"/>
    </row>
    <row r="611" ht="15.75" customHeight="1">
      <c r="C611" s="52"/>
      <c r="H611" s="52"/>
      <c r="N611" s="52"/>
      <c r="P611" s="52"/>
      <c r="S611" s="52"/>
    </row>
    <row r="612" ht="15.75" customHeight="1">
      <c r="C612" s="52"/>
      <c r="H612" s="52"/>
      <c r="N612" s="52"/>
      <c r="P612" s="52"/>
      <c r="S612" s="52"/>
    </row>
    <row r="613" ht="15.75" customHeight="1">
      <c r="C613" s="52"/>
      <c r="H613" s="52"/>
      <c r="N613" s="52"/>
      <c r="P613" s="52"/>
      <c r="S613" s="52"/>
    </row>
    <row r="614" ht="15.75" customHeight="1">
      <c r="C614" s="52"/>
      <c r="H614" s="52"/>
      <c r="N614" s="52"/>
      <c r="P614" s="52"/>
      <c r="S614" s="52"/>
    </row>
    <row r="615" ht="15.75" customHeight="1">
      <c r="C615" s="52"/>
      <c r="H615" s="52"/>
      <c r="N615" s="52"/>
      <c r="P615" s="52"/>
      <c r="S615" s="52"/>
    </row>
    <row r="616" ht="15.75" customHeight="1">
      <c r="C616" s="52"/>
      <c r="H616" s="52"/>
      <c r="N616" s="52"/>
      <c r="P616" s="52"/>
      <c r="S616" s="52"/>
    </row>
    <row r="617" ht="15.75" customHeight="1">
      <c r="C617" s="52"/>
      <c r="H617" s="52"/>
      <c r="N617" s="52"/>
      <c r="P617" s="52"/>
      <c r="S617" s="52"/>
    </row>
    <row r="618" ht="15.75" customHeight="1">
      <c r="C618" s="52"/>
      <c r="H618" s="52"/>
      <c r="N618" s="52"/>
      <c r="P618" s="52"/>
      <c r="S618" s="52"/>
    </row>
    <row r="619" ht="15.75" customHeight="1">
      <c r="C619" s="52"/>
      <c r="H619" s="52"/>
      <c r="N619" s="52"/>
      <c r="P619" s="52"/>
      <c r="S619" s="52"/>
    </row>
    <row r="620" ht="15.75" customHeight="1">
      <c r="C620" s="52"/>
      <c r="H620" s="52"/>
      <c r="N620" s="52"/>
      <c r="P620" s="52"/>
      <c r="S620" s="52"/>
    </row>
    <row r="621" ht="15.75" customHeight="1">
      <c r="C621" s="52"/>
      <c r="H621" s="52"/>
      <c r="N621" s="52"/>
      <c r="P621" s="52"/>
      <c r="S621" s="52"/>
    </row>
    <row r="622" ht="15.75" customHeight="1">
      <c r="C622" s="52"/>
      <c r="H622" s="52"/>
      <c r="N622" s="52"/>
      <c r="P622" s="52"/>
      <c r="S622" s="52"/>
    </row>
    <row r="623" ht="15.75" customHeight="1">
      <c r="C623" s="52"/>
      <c r="H623" s="52"/>
      <c r="N623" s="52"/>
      <c r="P623" s="52"/>
      <c r="S623" s="52"/>
    </row>
    <row r="624" ht="15.75" customHeight="1">
      <c r="C624" s="52"/>
      <c r="H624" s="52"/>
      <c r="N624" s="52"/>
      <c r="P624" s="52"/>
      <c r="S624" s="52"/>
    </row>
    <row r="625" ht="15.75" customHeight="1">
      <c r="C625" s="52"/>
      <c r="H625" s="52"/>
      <c r="N625" s="52"/>
      <c r="P625" s="52"/>
      <c r="S625" s="52"/>
    </row>
    <row r="626" ht="15.75" customHeight="1">
      <c r="C626" s="52"/>
      <c r="H626" s="52"/>
      <c r="N626" s="52"/>
      <c r="P626" s="52"/>
      <c r="S626" s="52"/>
    </row>
    <row r="627" ht="15.75" customHeight="1">
      <c r="C627" s="52"/>
      <c r="H627" s="52"/>
      <c r="N627" s="52"/>
      <c r="P627" s="52"/>
      <c r="S627" s="52"/>
    </row>
    <row r="628" ht="15.75" customHeight="1">
      <c r="C628" s="52"/>
      <c r="H628" s="52"/>
      <c r="N628" s="52"/>
      <c r="P628" s="52"/>
      <c r="S628" s="52"/>
    </row>
    <row r="629" ht="15.75" customHeight="1">
      <c r="C629" s="52"/>
      <c r="H629" s="52"/>
      <c r="N629" s="52"/>
      <c r="P629" s="52"/>
      <c r="S629" s="52"/>
    </row>
    <row r="630" ht="15.75" customHeight="1">
      <c r="C630" s="52"/>
      <c r="H630" s="52"/>
      <c r="N630" s="52"/>
      <c r="P630" s="52"/>
      <c r="S630" s="52"/>
    </row>
    <row r="631" ht="15.75" customHeight="1">
      <c r="C631" s="52"/>
      <c r="H631" s="52"/>
      <c r="N631" s="52"/>
      <c r="P631" s="52"/>
      <c r="S631" s="52"/>
    </row>
    <row r="632" ht="15.75" customHeight="1">
      <c r="C632" s="52"/>
      <c r="H632" s="52"/>
      <c r="N632" s="52"/>
      <c r="P632" s="52"/>
      <c r="S632" s="52"/>
    </row>
    <row r="633" ht="15.75" customHeight="1">
      <c r="C633" s="52"/>
      <c r="H633" s="52"/>
      <c r="N633" s="52"/>
      <c r="P633" s="52"/>
      <c r="S633" s="52"/>
    </row>
    <row r="634" ht="15.75" customHeight="1">
      <c r="C634" s="52"/>
      <c r="H634" s="52"/>
      <c r="N634" s="52"/>
      <c r="P634" s="52"/>
      <c r="S634" s="52"/>
    </row>
    <row r="635" ht="15.75" customHeight="1">
      <c r="C635" s="52"/>
      <c r="H635" s="52"/>
      <c r="N635" s="52"/>
      <c r="P635" s="52"/>
      <c r="S635" s="52"/>
    </row>
    <row r="636" ht="15.75" customHeight="1">
      <c r="C636" s="52"/>
      <c r="H636" s="52"/>
      <c r="N636" s="52"/>
      <c r="P636" s="52"/>
      <c r="S636" s="52"/>
    </row>
    <row r="637" ht="15.75" customHeight="1">
      <c r="C637" s="52"/>
      <c r="H637" s="52"/>
      <c r="N637" s="52"/>
      <c r="P637" s="52"/>
      <c r="S637" s="52"/>
    </row>
    <row r="638" ht="15.75" customHeight="1">
      <c r="C638" s="52"/>
      <c r="H638" s="52"/>
      <c r="N638" s="52"/>
      <c r="P638" s="52"/>
      <c r="S638" s="52"/>
    </row>
    <row r="639" ht="15.75" customHeight="1">
      <c r="C639" s="52"/>
      <c r="H639" s="52"/>
      <c r="N639" s="52"/>
      <c r="P639" s="52"/>
      <c r="S639" s="52"/>
    </row>
    <row r="640" ht="15.75" customHeight="1">
      <c r="C640" s="52"/>
      <c r="H640" s="52"/>
      <c r="N640" s="52"/>
      <c r="P640" s="52"/>
      <c r="S640" s="52"/>
    </row>
    <row r="641" ht="15.75" customHeight="1">
      <c r="C641" s="52"/>
      <c r="H641" s="52"/>
      <c r="N641" s="52"/>
      <c r="P641" s="52"/>
      <c r="S641" s="52"/>
    </row>
    <row r="642" ht="15.75" customHeight="1">
      <c r="C642" s="52"/>
      <c r="H642" s="52"/>
      <c r="N642" s="52"/>
      <c r="P642" s="52"/>
      <c r="S642" s="52"/>
    </row>
    <row r="643" ht="15.75" customHeight="1">
      <c r="C643" s="52"/>
      <c r="H643" s="52"/>
      <c r="N643" s="52"/>
      <c r="P643" s="52"/>
      <c r="S643" s="52"/>
    </row>
    <row r="644" ht="15.75" customHeight="1">
      <c r="C644" s="52"/>
      <c r="H644" s="52"/>
      <c r="N644" s="52"/>
      <c r="P644" s="52"/>
      <c r="S644" s="52"/>
    </row>
    <row r="645" ht="15.75" customHeight="1">
      <c r="C645" s="52"/>
      <c r="H645" s="52"/>
      <c r="N645" s="52"/>
      <c r="P645" s="52"/>
      <c r="S645" s="52"/>
    </row>
    <row r="646" ht="15.75" customHeight="1">
      <c r="C646" s="52"/>
      <c r="H646" s="52"/>
      <c r="N646" s="52"/>
      <c r="P646" s="52"/>
      <c r="S646" s="52"/>
    </row>
    <row r="647" ht="15.75" customHeight="1">
      <c r="C647" s="52"/>
      <c r="H647" s="52"/>
      <c r="N647" s="52"/>
      <c r="P647" s="52"/>
      <c r="S647" s="52"/>
    </row>
    <row r="648" ht="15.75" customHeight="1">
      <c r="C648" s="52"/>
      <c r="H648" s="52"/>
      <c r="N648" s="52"/>
      <c r="P648" s="52"/>
      <c r="S648" s="52"/>
    </row>
    <row r="649" ht="15.75" customHeight="1">
      <c r="C649" s="52"/>
      <c r="H649" s="52"/>
      <c r="N649" s="52"/>
      <c r="P649" s="52"/>
      <c r="S649" s="52"/>
    </row>
    <row r="650" ht="15.75" customHeight="1">
      <c r="C650" s="52"/>
      <c r="H650" s="52"/>
      <c r="N650" s="52"/>
      <c r="P650" s="52"/>
      <c r="S650" s="52"/>
    </row>
    <row r="651" ht="15.75" customHeight="1">
      <c r="C651" s="52"/>
      <c r="H651" s="52"/>
      <c r="N651" s="52"/>
      <c r="P651" s="52"/>
      <c r="S651" s="52"/>
    </row>
    <row r="652" ht="15.75" customHeight="1">
      <c r="C652" s="52"/>
      <c r="H652" s="52"/>
      <c r="N652" s="52"/>
      <c r="P652" s="52"/>
      <c r="S652" s="52"/>
    </row>
    <row r="653" ht="15.75" customHeight="1">
      <c r="C653" s="52"/>
      <c r="H653" s="52"/>
      <c r="N653" s="52"/>
      <c r="P653" s="52"/>
      <c r="S653" s="52"/>
    </row>
    <row r="654" ht="15.75" customHeight="1">
      <c r="C654" s="52"/>
      <c r="H654" s="52"/>
      <c r="N654" s="52"/>
      <c r="P654" s="52"/>
      <c r="S654" s="52"/>
    </row>
    <row r="655" ht="15.75" customHeight="1">
      <c r="C655" s="52"/>
      <c r="H655" s="52"/>
      <c r="N655" s="52"/>
      <c r="P655" s="52"/>
      <c r="S655" s="52"/>
    </row>
    <row r="656" ht="15.75" customHeight="1">
      <c r="C656" s="52"/>
      <c r="H656" s="52"/>
      <c r="N656" s="52"/>
      <c r="P656" s="52"/>
      <c r="S656" s="52"/>
    </row>
    <row r="657" ht="15.75" customHeight="1">
      <c r="C657" s="52"/>
      <c r="H657" s="52"/>
      <c r="N657" s="52"/>
      <c r="P657" s="52"/>
      <c r="S657" s="52"/>
    </row>
    <row r="658" ht="15.75" customHeight="1">
      <c r="C658" s="52"/>
      <c r="H658" s="52"/>
      <c r="N658" s="52"/>
      <c r="P658" s="52"/>
      <c r="S658" s="52"/>
    </row>
    <row r="659" ht="15.75" customHeight="1">
      <c r="C659" s="52"/>
      <c r="H659" s="52"/>
      <c r="N659" s="52"/>
      <c r="P659" s="52"/>
      <c r="S659" s="52"/>
    </row>
    <row r="660" ht="15.75" customHeight="1">
      <c r="C660" s="52"/>
      <c r="H660" s="52"/>
      <c r="N660" s="52"/>
      <c r="P660" s="52"/>
      <c r="S660" s="52"/>
    </row>
    <row r="661" ht="15.75" customHeight="1">
      <c r="C661" s="52"/>
      <c r="H661" s="52"/>
      <c r="N661" s="52"/>
      <c r="P661" s="52"/>
      <c r="S661" s="52"/>
    </row>
    <row r="662" ht="15.75" customHeight="1">
      <c r="C662" s="52"/>
      <c r="H662" s="52"/>
      <c r="N662" s="52"/>
      <c r="P662" s="52"/>
      <c r="S662" s="52"/>
    </row>
    <row r="663" ht="15.75" customHeight="1">
      <c r="C663" s="52"/>
      <c r="H663" s="52"/>
      <c r="N663" s="52"/>
      <c r="P663" s="52"/>
      <c r="S663" s="52"/>
    </row>
    <row r="664" ht="15.75" customHeight="1">
      <c r="C664" s="52"/>
      <c r="H664" s="52"/>
      <c r="N664" s="52"/>
      <c r="P664" s="52"/>
      <c r="S664" s="52"/>
    </row>
    <row r="665" ht="15.75" customHeight="1">
      <c r="C665" s="52"/>
      <c r="H665" s="52"/>
      <c r="N665" s="52"/>
      <c r="P665" s="52"/>
      <c r="S665" s="52"/>
    </row>
    <row r="666" ht="15.75" customHeight="1">
      <c r="C666" s="52"/>
      <c r="H666" s="52"/>
      <c r="N666" s="52"/>
      <c r="P666" s="52"/>
      <c r="S666" s="52"/>
    </row>
    <row r="667" ht="15.75" customHeight="1">
      <c r="C667" s="52"/>
      <c r="H667" s="52"/>
      <c r="N667" s="52"/>
      <c r="P667" s="52"/>
      <c r="S667" s="52"/>
    </row>
    <row r="668" ht="15.75" customHeight="1">
      <c r="C668" s="52"/>
      <c r="H668" s="52"/>
      <c r="N668" s="52"/>
      <c r="P668" s="52"/>
      <c r="S668" s="52"/>
    </row>
    <row r="669" ht="15.75" customHeight="1">
      <c r="C669" s="52"/>
      <c r="H669" s="52"/>
      <c r="N669" s="52"/>
      <c r="P669" s="52"/>
      <c r="S669" s="52"/>
    </row>
    <row r="670" ht="15.75" customHeight="1">
      <c r="C670" s="52"/>
      <c r="H670" s="52"/>
      <c r="N670" s="52"/>
      <c r="P670" s="52"/>
      <c r="S670" s="52"/>
    </row>
    <row r="671" ht="15.75" customHeight="1">
      <c r="C671" s="52"/>
      <c r="H671" s="52"/>
      <c r="N671" s="52"/>
      <c r="P671" s="52"/>
      <c r="S671" s="52"/>
    </row>
    <row r="672" ht="15.75" customHeight="1">
      <c r="C672" s="52"/>
      <c r="H672" s="52"/>
      <c r="N672" s="52"/>
      <c r="P672" s="52"/>
      <c r="S672" s="52"/>
    </row>
    <row r="673" ht="15.75" customHeight="1">
      <c r="C673" s="52"/>
      <c r="H673" s="52"/>
      <c r="N673" s="52"/>
      <c r="P673" s="52"/>
      <c r="S673" s="52"/>
    </row>
    <row r="674" ht="15.75" customHeight="1">
      <c r="C674" s="52"/>
      <c r="H674" s="52"/>
      <c r="N674" s="52"/>
      <c r="P674" s="52"/>
      <c r="S674" s="52"/>
    </row>
    <row r="675" ht="15.75" customHeight="1">
      <c r="C675" s="52"/>
      <c r="H675" s="52"/>
      <c r="N675" s="52"/>
      <c r="P675" s="52"/>
      <c r="S675" s="52"/>
    </row>
    <row r="676" ht="15.75" customHeight="1">
      <c r="C676" s="52"/>
      <c r="H676" s="52"/>
      <c r="N676" s="52"/>
      <c r="P676" s="52"/>
      <c r="S676" s="52"/>
    </row>
    <row r="677" ht="15.75" customHeight="1">
      <c r="C677" s="52"/>
      <c r="H677" s="52"/>
      <c r="N677" s="52"/>
      <c r="P677" s="52"/>
      <c r="S677" s="52"/>
    </row>
    <row r="678" ht="15.75" customHeight="1">
      <c r="C678" s="52"/>
      <c r="H678" s="52"/>
      <c r="N678" s="52"/>
      <c r="P678" s="52"/>
      <c r="S678" s="52"/>
    </row>
    <row r="679" ht="15.75" customHeight="1">
      <c r="C679" s="52"/>
      <c r="H679" s="52"/>
      <c r="N679" s="52"/>
      <c r="P679" s="52"/>
      <c r="S679" s="52"/>
    </row>
    <row r="680" ht="15.75" customHeight="1">
      <c r="C680" s="52"/>
      <c r="H680" s="52"/>
      <c r="N680" s="52"/>
      <c r="P680" s="52"/>
      <c r="S680" s="52"/>
    </row>
    <row r="681" ht="15.75" customHeight="1">
      <c r="C681" s="52"/>
      <c r="H681" s="52"/>
      <c r="N681" s="52"/>
      <c r="P681" s="52"/>
      <c r="S681" s="52"/>
    </row>
    <row r="682" ht="15.75" customHeight="1">
      <c r="C682" s="52"/>
      <c r="H682" s="52"/>
      <c r="N682" s="52"/>
      <c r="P682" s="52"/>
      <c r="S682" s="52"/>
    </row>
    <row r="683" ht="15.75" customHeight="1">
      <c r="C683" s="52"/>
      <c r="H683" s="52"/>
      <c r="N683" s="52"/>
      <c r="P683" s="52"/>
      <c r="S683" s="52"/>
    </row>
    <row r="684" ht="15.75" customHeight="1">
      <c r="C684" s="52"/>
      <c r="H684" s="52"/>
      <c r="N684" s="52"/>
      <c r="P684" s="52"/>
      <c r="S684" s="52"/>
    </row>
    <row r="685" ht="15.75" customHeight="1">
      <c r="C685" s="52"/>
      <c r="H685" s="52"/>
      <c r="N685" s="52"/>
      <c r="P685" s="52"/>
      <c r="S685" s="52"/>
    </row>
    <row r="686" ht="15.75" customHeight="1">
      <c r="C686" s="52"/>
      <c r="H686" s="52"/>
      <c r="N686" s="52"/>
      <c r="P686" s="52"/>
      <c r="S686" s="52"/>
    </row>
    <row r="687" ht="15.75" customHeight="1">
      <c r="C687" s="52"/>
      <c r="H687" s="52"/>
      <c r="N687" s="52"/>
      <c r="P687" s="52"/>
      <c r="S687" s="52"/>
    </row>
    <row r="688" ht="15.75" customHeight="1">
      <c r="C688" s="52"/>
      <c r="H688" s="52"/>
      <c r="N688" s="52"/>
      <c r="P688" s="52"/>
      <c r="S688" s="52"/>
    </row>
    <row r="689" ht="15.75" customHeight="1">
      <c r="C689" s="52"/>
      <c r="H689" s="52"/>
      <c r="N689" s="52"/>
      <c r="P689" s="52"/>
      <c r="S689" s="52"/>
    </row>
    <row r="690" ht="15.75" customHeight="1">
      <c r="C690" s="52"/>
      <c r="H690" s="52"/>
      <c r="N690" s="52"/>
      <c r="P690" s="52"/>
      <c r="S690" s="52"/>
    </row>
    <row r="691" ht="15.75" customHeight="1">
      <c r="C691" s="52"/>
      <c r="H691" s="52"/>
      <c r="N691" s="52"/>
      <c r="P691" s="52"/>
      <c r="S691" s="52"/>
    </row>
    <row r="692" ht="15.75" customHeight="1">
      <c r="C692" s="52"/>
      <c r="H692" s="52"/>
      <c r="N692" s="52"/>
      <c r="P692" s="52"/>
      <c r="S692" s="52"/>
    </row>
    <row r="693" ht="15.75" customHeight="1">
      <c r="C693" s="52"/>
      <c r="H693" s="52"/>
      <c r="N693" s="52"/>
      <c r="P693" s="52"/>
      <c r="S693" s="52"/>
    </row>
    <row r="694" ht="15.75" customHeight="1">
      <c r="C694" s="52"/>
      <c r="H694" s="52"/>
      <c r="N694" s="52"/>
      <c r="P694" s="52"/>
      <c r="S694" s="52"/>
    </row>
    <row r="695" ht="15.75" customHeight="1">
      <c r="C695" s="52"/>
      <c r="H695" s="52"/>
      <c r="N695" s="52"/>
      <c r="P695" s="52"/>
      <c r="S695" s="52"/>
    </row>
    <row r="696" ht="15.75" customHeight="1">
      <c r="C696" s="52"/>
      <c r="H696" s="52"/>
      <c r="N696" s="52"/>
      <c r="P696" s="52"/>
      <c r="S696" s="52"/>
    </row>
    <row r="697" ht="15.75" customHeight="1">
      <c r="C697" s="52"/>
      <c r="H697" s="52"/>
      <c r="N697" s="52"/>
      <c r="P697" s="52"/>
      <c r="S697" s="52"/>
    </row>
    <row r="698" ht="15.75" customHeight="1">
      <c r="C698" s="52"/>
      <c r="H698" s="52"/>
      <c r="N698" s="52"/>
      <c r="P698" s="52"/>
      <c r="S698" s="52"/>
    </row>
    <row r="699" ht="15.75" customHeight="1">
      <c r="C699" s="52"/>
      <c r="H699" s="52"/>
      <c r="N699" s="52"/>
      <c r="P699" s="52"/>
      <c r="S699" s="52"/>
    </row>
    <row r="700" ht="15.75" customHeight="1">
      <c r="C700" s="52"/>
      <c r="H700" s="52"/>
      <c r="N700" s="52"/>
      <c r="P700" s="52"/>
      <c r="S700" s="52"/>
    </row>
    <row r="701" ht="15.75" customHeight="1">
      <c r="C701" s="52"/>
      <c r="H701" s="52"/>
      <c r="N701" s="52"/>
      <c r="P701" s="52"/>
      <c r="S701" s="52"/>
    </row>
    <row r="702" ht="15.75" customHeight="1">
      <c r="C702" s="52"/>
      <c r="H702" s="52"/>
      <c r="N702" s="52"/>
      <c r="P702" s="52"/>
      <c r="S702" s="52"/>
    </row>
    <row r="703" ht="15.75" customHeight="1">
      <c r="C703" s="52"/>
      <c r="H703" s="52"/>
      <c r="N703" s="52"/>
      <c r="P703" s="52"/>
      <c r="S703" s="52"/>
    </row>
    <row r="704" ht="15.75" customHeight="1">
      <c r="C704" s="52"/>
      <c r="H704" s="52"/>
      <c r="N704" s="52"/>
      <c r="P704" s="52"/>
      <c r="S704" s="52"/>
    </row>
    <row r="705" ht="15.75" customHeight="1">
      <c r="C705" s="52"/>
      <c r="H705" s="52"/>
      <c r="N705" s="52"/>
      <c r="P705" s="52"/>
      <c r="S705" s="52"/>
    </row>
    <row r="706" ht="15.75" customHeight="1">
      <c r="C706" s="52"/>
      <c r="H706" s="52"/>
      <c r="N706" s="52"/>
      <c r="P706" s="52"/>
      <c r="S706" s="52"/>
    </row>
    <row r="707" ht="15.75" customHeight="1">
      <c r="C707" s="52"/>
      <c r="H707" s="52"/>
      <c r="N707" s="52"/>
      <c r="P707" s="52"/>
      <c r="S707" s="52"/>
    </row>
    <row r="708" ht="15.75" customHeight="1">
      <c r="C708" s="52"/>
      <c r="H708" s="52"/>
      <c r="N708" s="52"/>
      <c r="P708" s="52"/>
      <c r="S708" s="52"/>
    </row>
    <row r="709" ht="15.75" customHeight="1">
      <c r="C709" s="52"/>
      <c r="H709" s="52"/>
      <c r="N709" s="52"/>
      <c r="P709" s="52"/>
      <c r="S709" s="52"/>
    </row>
    <row r="710" ht="15.75" customHeight="1">
      <c r="C710" s="52"/>
      <c r="H710" s="52"/>
      <c r="N710" s="52"/>
      <c r="P710" s="52"/>
      <c r="S710" s="52"/>
    </row>
    <row r="711" ht="15.75" customHeight="1">
      <c r="C711" s="52"/>
      <c r="H711" s="52"/>
      <c r="N711" s="52"/>
      <c r="P711" s="52"/>
      <c r="S711" s="52"/>
    </row>
    <row r="712" ht="15.75" customHeight="1">
      <c r="C712" s="52"/>
      <c r="H712" s="52"/>
      <c r="N712" s="52"/>
      <c r="P712" s="52"/>
      <c r="S712" s="52"/>
    </row>
    <row r="713" ht="15.75" customHeight="1">
      <c r="C713" s="52"/>
      <c r="H713" s="52"/>
      <c r="N713" s="52"/>
      <c r="P713" s="52"/>
      <c r="S713" s="52"/>
    </row>
    <row r="714" ht="15.75" customHeight="1">
      <c r="C714" s="52"/>
      <c r="H714" s="52"/>
      <c r="N714" s="52"/>
      <c r="P714" s="52"/>
      <c r="S714" s="52"/>
    </row>
    <row r="715" ht="15.75" customHeight="1">
      <c r="C715" s="52"/>
      <c r="H715" s="52"/>
      <c r="N715" s="52"/>
      <c r="P715" s="52"/>
      <c r="S715" s="52"/>
    </row>
    <row r="716" ht="15.75" customHeight="1">
      <c r="C716" s="52"/>
      <c r="H716" s="52"/>
      <c r="N716" s="52"/>
      <c r="P716" s="52"/>
      <c r="S716" s="52"/>
    </row>
    <row r="717" ht="15.75" customHeight="1">
      <c r="C717" s="52"/>
      <c r="H717" s="52"/>
      <c r="N717" s="52"/>
      <c r="P717" s="52"/>
      <c r="S717" s="52"/>
    </row>
    <row r="718" ht="15.75" customHeight="1">
      <c r="C718" s="52"/>
      <c r="H718" s="52"/>
      <c r="N718" s="52"/>
      <c r="P718" s="52"/>
      <c r="S718" s="52"/>
    </row>
    <row r="719" ht="15.75" customHeight="1">
      <c r="C719" s="52"/>
      <c r="H719" s="52"/>
      <c r="N719" s="52"/>
      <c r="P719" s="52"/>
      <c r="S719" s="52"/>
    </row>
    <row r="720" ht="15.75" customHeight="1">
      <c r="C720" s="52"/>
      <c r="H720" s="52"/>
      <c r="N720" s="52"/>
      <c r="P720" s="52"/>
      <c r="S720" s="52"/>
    </row>
    <row r="721" ht="15.75" customHeight="1">
      <c r="C721" s="52"/>
      <c r="H721" s="52"/>
      <c r="N721" s="52"/>
      <c r="P721" s="52"/>
      <c r="S721" s="52"/>
    </row>
    <row r="722" ht="15.75" customHeight="1">
      <c r="C722" s="52"/>
      <c r="H722" s="52"/>
      <c r="N722" s="52"/>
      <c r="P722" s="52"/>
      <c r="S722" s="52"/>
    </row>
    <row r="723" ht="15.75" customHeight="1">
      <c r="C723" s="52"/>
      <c r="H723" s="52"/>
      <c r="N723" s="52"/>
      <c r="P723" s="52"/>
      <c r="S723" s="52"/>
    </row>
    <row r="724" ht="15.75" customHeight="1">
      <c r="C724" s="52"/>
      <c r="H724" s="52"/>
      <c r="N724" s="52"/>
      <c r="P724" s="52"/>
      <c r="S724" s="52"/>
    </row>
    <row r="725" ht="15.75" customHeight="1">
      <c r="C725" s="52"/>
      <c r="H725" s="52"/>
      <c r="N725" s="52"/>
      <c r="P725" s="52"/>
      <c r="S725" s="52"/>
    </row>
    <row r="726" ht="15.75" customHeight="1">
      <c r="C726" s="52"/>
      <c r="H726" s="52"/>
      <c r="N726" s="52"/>
      <c r="P726" s="52"/>
      <c r="S726" s="52"/>
    </row>
    <row r="727" ht="15.75" customHeight="1">
      <c r="C727" s="52"/>
      <c r="H727" s="52"/>
      <c r="N727" s="52"/>
      <c r="P727" s="52"/>
      <c r="S727" s="52"/>
    </row>
    <row r="728" ht="15.75" customHeight="1">
      <c r="C728" s="52"/>
      <c r="H728" s="52"/>
      <c r="N728" s="52"/>
      <c r="P728" s="52"/>
      <c r="S728" s="52"/>
    </row>
    <row r="729" ht="15.75" customHeight="1">
      <c r="C729" s="52"/>
      <c r="H729" s="52"/>
      <c r="N729" s="52"/>
      <c r="P729" s="52"/>
      <c r="S729" s="52"/>
    </row>
    <row r="730" ht="15.75" customHeight="1">
      <c r="C730" s="52"/>
      <c r="H730" s="52"/>
      <c r="N730" s="52"/>
      <c r="P730" s="52"/>
      <c r="S730" s="52"/>
    </row>
    <row r="731" ht="15.75" customHeight="1">
      <c r="C731" s="52"/>
      <c r="H731" s="52"/>
      <c r="N731" s="52"/>
      <c r="P731" s="52"/>
      <c r="S731" s="52"/>
    </row>
    <row r="732" ht="15.75" customHeight="1">
      <c r="C732" s="52"/>
      <c r="H732" s="52"/>
      <c r="N732" s="52"/>
      <c r="P732" s="52"/>
      <c r="S732" s="52"/>
    </row>
    <row r="733" ht="15.75" customHeight="1">
      <c r="C733" s="52"/>
      <c r="H733" s="52"/>
      <c r="N733" s="52"/>
      <c r="P733" s="52"/>
      <c r="S733" s="52"/>
    </row>
    <row r="734" ht="15.75" customHeight="1">
      <c r="C734" s="52"/>
      <c r="H734" s="52"/>
      <c r="N734" s="52"/>
      <c r="P734" s="52"/>
      <c r="S734" s="52"/>
    </row>
    <row r="735" ht="15.75" customHeight="1">
      <c r="C735" s="52"/>
      <c r="H735" s="52"/>
      <c r="N735" s="52"/>
      <c r="P735" s="52"/>
      <c r="S735" s="52"/>
    </row>
    <row r="736" ht="15.75" customHeight="1">
      <c r="C736" s="52"/>
      <c r="H736" s="52"/>
      <c r="N736" s="52"/>
      <c r="P736" s="52"/>
      <c r="S736" s="52"/>
    </row>
    <row r="737" ht="15.75" customHeight="1">
      <c r="C737" s="52"/>
      <c r="H737" s="52"/>
      <c r="N737" s="52"/>
      <c r="P737" s="52"/>
      <c r="S737" s="52"/>
    </row>
    <row r="738" ht="15.75" customHeight="1">
      <c r="C738" s="52"/>
      <c r="H738" s="52"/>
      <c r="N738" s="52"/>
      <c r="P738" s="52"/>
      <c r="S738" s="52"/>
    </row>
    <row r="739" ht="15.75" customHeight="1">
      <c r="C739" s="52"/>
      <c r="H739" s="52"/>
      <c r="N739" s="52"/>
      <c r="P739" s="52"/>
      <c r="S739" s="52"/>
    </row>
    <row r="740" ht="15.75" customHeight="1">
      <c r="C740" s="52"/>
      <c r="H740" s="52"/>
      <c r="N740" s="52"/>
      <c r="P740" s="52"/>
      <c r="S740" s="52"/>
    </row>
    <row r="741" ht="15.75" customHeight="1">
      <c r="C741" s="52"/>
      <c r="H741" s="52"/>
      <c r="N741" s="52"/>
      <c r="P741" s="52"/>
      <c r="S741" s="52"/>
    </row>
    <row r="742" ht="15.75" customHeight="1">
      <c r="C742" s="52"/>
      <c r="H742" s="52"/>
      <c r="N742" s="52"/>
      <c r="P742" s="52"/>
      <c r="S742" s="52"/>
    </row>
    <row r="743" ht="15.75" customHeight="1">
      <c r="C743" s="52"/>
      <c r="H743" s="52"/>
      <c r="N743" s="52"/>
      <c r="P743" s="52"/>
      <c r="S743" s="52"/>
    </row>
    <row r="744" ht="15.75" customHeight="1">
      <c r="C744" s="52"/>
      <c r="H744" s="52"/>
      <c r="N744" s="52"/>
      <c r="P744" s="52"/>
      <c r="S744" s="52"/>
    </row>
    <row r="745" ht="15.75" customHeight="1">
      <c r="C745" s="52"/>
      <c r="H745" s="52"/>
      <c r="N745" s="52"/>
      <c r="P745" s="52"/>
      <c r="S745" s="52"/>
    </row>
    <row r="746" ht="15.75" customHeight="1">
      <c r="C746" s="52"/>
      <c r="H746" s="52"/>
      <c r="N746" s="52"/>
      <c r="P746" s="52"/>
      <c r="S746" s="52"/>
    </row>
    <row r="747" ht="15.75" customHeight="1">
      <c r="C747" s="52"/>
      <c r="H747" s="52"/>
      <c r="N747" s="52"/>
      <c r="P747" s="52"/>
      <c r="S747" s="52"/>
    </row>
    <row r="748" ht="15.75" customHeight="1">
      <c r="C748" s="52"/>
      <c r="H748" s="52"/>
      <c r="N748" s="52"/>
      <c r="P748" s="52"/>
      <c r="S748" s="52"/>
    </row>
    <row r="749" ht="15.75" customHeight="1">
      <c r="C749" s="52"/>
      <c r="H749" s="52"/>
      <c r="N749" s="52"/>
      <c r="P749" s="52"/>
      <c r="S749" s="52"/>
    </row>
    <row r="750" ht="15.75" customHeight="1">
      <c r="C750" s="52"/>
      <c r="H750" s="52"/>
      <c r="N750" s="52"/>
      <c r="P750" s="52"/>
      <c r="S750" s="52"/>
    </row>
    <row r="751" ht="15.75" customHeight="1">
      <c r="C751" s="52"/>
      <c r="H751" s="52"/>
      <c r="N751" s="52"/>
      <c r="P751" s="52"/>
      <c r="S751" s="52"/>
    </row>
    <row r="752" ht="15.75" customHeight="1">
      <c r="C752" s="52"/>
      <c r="H752" s="52"/>
      <c r="N752" s="52"/>
      <c r="P752" s="52"/>
      <c r="S752" s="52"/>
    </row>
    <row r="753" ht="15.75" customHeight="1">
      <c r="C753" s="52"/>
      <c r="H753" s="52"/>
      <c r="N753" s="52"/>
      <c r="P753" s="52"/>
      <c r="S753" s="52"/>
    </row>
    <row r="754" ht="15.75" customHeight="1">
      <c r="C754" s="52"/>
      <c r="H754" s="52"/>
      <c r="N754" s="52"/>
      <c r="P754" s="52"/>
      <c r="S754" s="52"/>
    </row>
    <row r="755" ht="15.75" customHeight="1">
      <c r="C755" s="52"/>
      <c r="H755" s="52"/>
      <c r="N755" s="52"/>
      <c r="P755" s="52"/>
      <c r="S755" s="52"/>
    </row>
    <row r="756" ht="15.75" customHeight="1">
      <c r="C756" s="52"/>
      <c r="H756" s="52"/>
      <c r="N756" s="52"/>
      <c r="P756" s="52"/>
      <c r="S756" s="52"/>
    </row>
    <row r="757" ht="15.75" customHeight="1">
      <c r="C757" s="52"/>
      <c r="H757" s="52"/>
      <c r="N757" s="52"/>
      <c r="P757" s="52"/>
      <c r="S757" s="52"/>
    </row>
    <row r="758" ht="15.75" customHeight="1">
      <c r="C758" s="52"/>
      <c r="H758" s="52"/>
      <c r="N758" s="52"/>
      <c r="P758" s="52"/>
      <c r="S758" s="52"/>
    </row>
    <row r="759" ht="15.75" customHeight="1">
      <c r="C759" s="52"/>
      <c r="H759" s="52"/>
      <c r="N759" s="52"/>
      <c r="P759" s="52"/>
      <c r="S759" s="52"/>
    </row>
    <row r="760" ht="15.75" customHeight="1">
      <c r="C760" s="52"/>
      <c r="H760" s="52"/>
      <c r="N760" s="52"/>
      <c r="P760" s="52"/>
      <c r="S760" s="52"/>
    </row>
    <row r="761" ht="15.75" customHeight="1">
      <c r="C761" s="52"/>
      <c r="H761" s="52"/>
      <c r="N761" s="52"/>
      <c r="P761" s="52"/>
      <c r="S761" s="52"/>
    </row>
    <row r="762" ht="15.75" customHeight="1">
      <c r="C762" s="52"/>
      <c r="H762" s="52"/>
      <c r="N762" s="52"/>
      <c r="P762" s="52"/>
      <c r="S762" s="52"/>
    </row>
    <row r="763" ht="15.75" customHeight="1">
      <c r="C763" s="52"/>
      <c r="H763" s="52"/>
      <c r="N763" s="52"/>
      <c r="P763" s="52"/>
      <c r="S763" s="52"/>
    </row>
    <row r="764" ht="15.75" customHeight="1">
      <c r="C764" s="52"/>
      <c r="H764" s="52"/>
      <c r="N764" s="52"/>
      <c r="P764" s="52"/>
      <c r="S764" s="52"/>
    </row>
    <row r="765" ht="15.75" customHeight="1">
      <c r="C765" s="52"/>
      <c r="H765" s="52"/>
      <c r="N765" s="52"/>
      <c r="P765" s="52"/>
      <c r="S765" s="52"/>
    </row>
    <row r="766" ht="15.75" customHeight="1">
      <c r="C766" s="52"/>
      <c r="H766" s="52"/>
      <c r="N766" s="52"/>
      <c r="P766" s="52"/>
      <c r="S766" s="52"/>
    </row>
    <row r="767" ht="15.75" customHeight="1">
      <c r="C767" s="52"/>
      <c r="H767" s="52"/>
      <c r="N767" s="52"/>
      <c r="P767" s="52"/>
      <c r="S767" s="52"/>
    </row>
    <row r="768" ht="15.75" customHeight="1">
      <c r="C768" s="52"/>
      <c r="H768" s="52"/>
      <c r="N768" s="52"/>
      <c r="P768" s="52"/>
      <c r="S768" s="52"/>
    </row>
    <row r="769" ht="15.75" customHeight="1">
      <c r="C769" s="52"/>
      <c r="H769" s="52"/>
      <c r="N769" s="52"/>
      <c r="P769" s="52"/>
      <c r="S769" s="52"/>
    </row>
    <row r="770" ht="15.75" customHeight="1">
      <c r="C770" s="52"/>
      <c r="H770" s="52"/>
      <c r="N770" s="52"/>
      <c r="P770" s="52"/>
      <c r="S770" s="52"/>
    </row>
    <row r="771" ht="15.75" customHeight="1">
      <c r="C771" s="52"/>
      <c r="H771" s="52"/>
      <c r="N771" s="52"/>
      <c r="P771" s="52"/>
      <c r="S771" s="52"/>
    </row>
    <row r="772" ht="15.75" customHeight="1">
      <c r="C772" s="52"/>
      <c r="H772" s="52"/>
      <c r="N772" s="52"/>
      <c r="P772" s="52"/>
      <c r="S772" s="52"/>
    </row>
    <row r="773" ht="15.75" customHeight="1">
      <c r="C773" s="52"/>
      <c r="H773" s="52"/>
      <c r="N773" s="52"/>
      <c r="P773" s="52"/>
      <c r="S773" s="52"/>
    </row>
    <row r="774" ht="15.75" customHeight="1">
      <c r="C774" s="52"/>
      <c r="H774" s="52"/>
      <c r="N774" s="52"/>
      <c r="P774" s="52"/>
      <c r="S774" s="52"/>
    </row>
    <row r="775" ht="15.75" customHeight="1">
      <c r="C775" s="52"/>
      <c r="H775" s="52"/>
      <c r="N775" s="52"/>
      <c r="P775" s="52"/>
      <c r="S775" s="52"/>
    </row>
    <row r="776" ht="15.75" customHeight="1">
      <c r="C776" s="52"/>
      <c r="H776" s="52"/>
      <c r="N776" s="52"/>
      <c r="P776" s="52"/>
      <c r="S776" s="52"/>
    </row>
    <row r="777" ht="15.75" customHeight="1">
      <c r="C777" s="52"/>
      <c r="H777" s="52"/>
      <c r="N777" s="52"/>
      <c r="P777" s="52"/>
      <c r="S777" s="52"/>
    </row>
    <row r="778" ht="15.75" customHeight="1">
      <c r="C778" s="52"/>
      <c r="H778" s="52"/>
      <c r="N778" s="52"/>
      <c r="P778" s="52"/>
      <c r="S778" s="52"/>
    </row>
    <row r="779" ht="15.75" customHeight="1">
      <c r="C779" s="52"/>
      <c r="H779" s="52"/>
      <c r="N779" s="52"/>
      <c r="P779" s="52"/>
      <c r="S779" s="52"/>
    </row>
    <row r="780" ht="15.75" customHeight="1">
      <c r="C780" s="52"/>
      <c r="H780" s="52"/>
      <c r="N780" s="52"/>
      <c r="P780" s="52"/>
      <c r="S780" s="52"/>
    </row>
    <row r="781" ht="15.75" customHeight="1">
      <c r="C781" s="52"/>
      <c r="H781" s="52"/>
      <c r="N781" s="52"/>
      <c r="P781" s="52"/>
      <c r="S781" s="52"/>
    </row>
    <row r="782" ht="15.75" customHeight="1">
      <c r="C782" s="52"/>
      <c r="H782" s="52"/>
      <c r="N782" s="52"/>
      <c r="P782" s="52"/>
      <c r="S782" s="52"/>
    </row>
    <row r="783" ht="15.75" customHeight="1">
      <c r="C783" s="52"/>
      <c r="H783" s="52"/>
      <c r="N783" s="52"/>
      <c r="P783" s="52"/>
      <c r="S783" s="52"/>
    </row>
    <row r="784" ht="15.75" customHeight="1">
      <c r="C784" s="52"/>
      <c r="H784" s="52"/>
      <c r="N784" s="52"/>
      <c r="P784" s="52"/>
      <c r="S784" s="52"/>
    </row>
    <row r="785" ht="15.75" customHeight="1">
      <c r="C785" s="52"/>
      <c r="H785" s="52"/>
      <c r="N785" s="52"/>
      <c r="P785" s="52"/>
      <c r="S785" s="52"/>
    </row>
    <row r="786" ht="15.75" customHeight="1">
      <c r="C786" s="52"/>
      <c r="H786" s="52"/>
      <c r="N786" s="52"/>
      <c r="P786" s="52"/>
      <c r="S786" s="52"/>
    </row>
    <row r="787" ht="15.75" customHeight="1">
      <c r="C787" s="52"/>
      <c r="H787" s="52"/>
      <c r="N787" s="52"/>
      <c r="P787" s="52"/>
      <c r="S787" s="52"/>
    </row>
    <row r="788" ht="15.75" customHeight="1">
      <c r="C788" s="52"/>
      <c r="H788" s="52"/>
      <c r="N788" s="52"/>
      <c r="P788" s="52"/>
      <c r="S788" s="52"/>
    </row>
    <row r="789" ht="15.75" customHeight="1">
      <c r="C789" s="52"/>
      <c r="H789" s="52"/>
      <c r="N789" s="52"/>
      <c r="P789" s="52"/>
      <c r="S789" s="52"/>
    </row>
    <row r="790" ht="15.75" customHeight="1">
      <c r="C790" s="52"/>
      <c r="H790" s="52"/>
      <c r="N790" s="52"/>
      <c r="P790" s="52"/>
      <c r="S790" s="52"/>
    </row>
    <row r="791" ht="15.75" customHeight="1">
      <c r="C791" s="52"/>
      <c r="H791" s="52"/>
      <c r="N791" s="52"/>
      <c r="P791" s="52"/>
      <c r="S791" s="52"/>
    </row>
    <row r="792" ht="15.75" customHeight="1">
      <c r="C792" s="52"/>
      <c r="H792" s="52"/>
      <c r="N792" s="52"/>
      <c r="P792" s="52"/>
      <c r="S792" s="52"/>
    </row>
    <row r="793" ht="15.75" customHeight="1">
      <c r="C793" s="52"/>
      <c r="H793" s="52"/>
      <c r="N793" s="52"/>
      <c r="P793" s="52"/>
      <c r="S793" s="52"/>
    </row>
    <row r="794" ht="15.75" customHeight="1">
      <c r="C794" s="52"/>
      <c r="H794" s="52"/>
      <c r="N794" s="52"/>
      <c r="P794" s="52"/>
      <c r="S794" s="52"/>
    </row>
    <row r="795" ht="15.75" customHeight="1">
      <c r="C795" s="52"/>
      <c r="H795" s="52"/>
      <c r="N795" s="52"/>
      <c r="P795" s="52"/>
      <c r="S795" s="52"/>
    </row>
    <row r="796" ht="15.75" customHeight="1">
      <c r="C796" s="52"/>
      <c r="H796" s="52"/>
      <c r="N796" s="52"/>
      <c r="P796" s="52"/>
      <c r="S796" s="52"/>
    </row>
    <row r="797" ht="15.75" customHeight="1">
      <c r="C797" s="52"/>
      <c r="H797" s="52"/>
      <c r="N797" s="52"/>
      <c r="P797" s="52"/>
      <c r="S797" s="52"/>
    </row>
    <row r="798" ht="15.75" customHeight="1">
      <c r="C798" s="52"/>
      <c r="H798" s="52"/>
      <c r="N798" s="52"/>
      <c r="P798" s="52"/>
      <c r="S798" s="52"/>
    </row>
    <row r="799" ht="15.75" customHeight="1">
      <c r="C799" s="52"/>
      <c r="H799" s="52"/>
      <c r="N799" s="52"/>
      <c r="P799" s="52"/>
      <c r="S799" s="52"/>
    </row>
    <row r="800" ht="15.75" customHeight="1">
      <c r="C800" s="52"/>
      <c r="H800" s="52"/>
      <c r="N800" s="52"/>
      <c r="P800" s="52"/>
      <c r="S800" s="52"/>
    </row>
    <row r="801" ht="15.75" customHeight="1">
      <c r="C801" s="52"/>
      <c r="H801" s="52"/>
      <c r="N801" s="52"/>
      <c r="P801" s="52"/>
      <c r="S801" s="52"/>
    </row>
    <row r="802" ht="15.75" customHeight="1">
      <c r="C802" s="52"/>
      <c r="H802" s="52"/>
      <c r="N802" s="52"/>
      <c r="P802" s="52"/>
      <c r="S802" s="52"/>
    </row>
    <row r="803" ht="15.75" customHeight="1">
      <c r="C803" s="52"/>
      <c r="H803" s="52"/>
      <c r="N803" s="52"/>
      <c r="P803" s="52"/>
      <c r="S803" s="52"/>
    </row>
    <row r="804" ht="15.75" customHeight="1">
      <c r="C804" s="52"/>
      <c r="H804" s="52"/>
      <c r="N804" s="52"/>
      <c r="P804" s="52"/>
      <c r="S804" s="52"/>
    </row>
    <row r="805" ht="15.75" customHeight="1">
      <c r="C805" s="52"/>
      <c r="H805" s="52"/>
      <c r="N805" s="52"/>
      <c r="P805" s="52"/>
      <c r="S805" s="52"/>
    </row>
    <row r="806" ht="15.75" customHeight="1">
      <c r="C806" s="52"/>
      <c r="H806" s="52"/>
      <c r="N806" s="52"/>
      <c r="P806" s="52"/>
      <c r="S806" s="52"/>
    </row>
    <row r="807" ht="15.75" customHeight="1">
      <c r="C807" s="52"/>
      <c r="H807" s="52"/>
      <c r="N807" s="52"/>
      <c r="P807" s="52"/>
      <c r="S807" s="52"/>
    </row>
    <row r="808" ht="15.75" customHeight="1">
      <c r="C808" s="52"/>
      <c r="H808" s="52"/>
      <c r="N808" s="52"/>
      <c r="P808" s="52"/>
      <c r="S808" s="52"/>
    </row>
    <row r="809" ht="15.75" customHeight="1">
      <c r="C809" s="52"/>
      <c r="H809" s="52"/>
      <c r="N809" s="52"/>
      <c r="P809" s="52"/>
      <c r="S809" s="52"/>
    </row>
    <row r="810" ht="15.75" customHeight="1">
      <c r="C810" s="52"/>
      <c r="H810" s="52"/>
      <c r="N810" s="52"/>
      <c r="P810" s="52"/>
      <c r="S810" s="52"/>
    </row>
    <row r="811" ht="15.75" customHeight="1">
      <c r="C811" s="52"/>
      <c r="H811" s="52"/>
      <c r="N811" s="52"/>
      <c r="P811" s="52"/>
      <c r="S811" s="52"/>
    </row>
    <row r="812" ht="15.75" customHeight="1">
      <c r="C812" s="52"/>
      <c r="H812" s="52"/>
      <c r="N812" s="52"/>
      <c r="P812" s="52"/>
      <c r="S812" s="52"/>
    </row>
    <row r="813" ht="15.75" customHeight="1">
      <c r="C813" s="52"/>
      <c r="H813" s="52"/>
      <c r="N813" s="52"/>
      <c r="P813" s="52"/>
      <c r="S813" s="52"/>
    </row>
    <row r="814" ht="15.75" customHeight="1">
      <c r="C814" s="52"/>
      <c r="H814" s="52"/>
      <c r="N814" s="52"/>
      <c r="P814" s="52"/>
      <c r="S814" s="52"/>
    </row>
    <row r="815" ht="15.75" customHeight="1">
      <c r="C815" s="52"/>
      <c r="H815" s="52"/>
      <c r="N815" s="52"/>
      <c r="P815" s="52"/>
      <c r="S815" s="52"/>
    </row>
    <row r="816" ht="15.75" customHeight="1">
      <c r="C816" s="52"/>
      <c r="H816" s="52"/>
      <c r="N816" s="52"/>
      <c r="P816" s="52"/>
      <c r="S816" s="52"/>
    </row>
    <row r="817" ht="15.75" customHeight="1">
      <c r="C817" s="52"/>
      <c r="H817" s="52"/>
      <c r="N817" s="52"/>
      <c r="P817" s="52"/>
      <c r="S817" s="52"/>
    </row>
    <row r="818" ht="15.75" customHeight="1">
      <c r="C818" s="52"/>
      <c r="H818" s="52"/>
      <c r="N818" s="52"/>
      <c r="P818" s="52"/>
      <c r="S818" s="52"/>
    </row>
    <row r="819" ht="15.75" customHeight="1">
      <c r="C819" s="52"/>
      <c r="H819" s="52"/>
      <c r="N819" s="52"/>
      <c r="P819" s="52"/>
      <c r="S819" s="52"/>
    </row>
    <row r="820" ht="15.75" customHeight="1">
      <c r="C820" s="52"/>
      <c r="H820" s="52"/>
      <c r="N820" s="52"/>
      <c r="P820" s="52"/>
      <c r="S820" s="52"/>
    </row>
    <row r="821" ht="15.75" customHeight="1">
      <c r="C821" s="52"/>
      <c r="H821" s="52"/>
      <c r="N821" s="52"/>
      <c r="P821" s="52"/>
      <c r="S821" s="52"/>
    </row>
    <row r="822" ht="15.75" customHeight="1">
      <c r="C822" s="52"/>
      <c r="H822" s="52"/>
      <c r="N822" s="52"/>
      <c r="P822" s="52"/>
      <c r="S822" s="52"/>
    </row>
    <row r="823" ht="15.75" customHeight="1">
      <c r="C823" s="52"/>
      <c r="H823" s="52"/>
      <c r="N823" s="52"/>
      <c r="P823" s="52"/>
      <c r="S823" s="52"/>
    </row>
    <row r="824" ht="15.75" customHeight="1">
      <c r="C824" s="52"/>
      <c r="H824" s="52"/>
      <c r="N824" s="52"/>
      <c r="P824" s="52"/>
      <c r="S824" s="52"/>
    </row>
    <row r="825" ht="15.75" customHeight="1">
      <c r="C825" s="52"/>
      <c r="H825" s="52"/>
      <c r="N825" s="52"/>
      <c r="P825" s="52"/>
      <c r="S825" s="52"/>
    </row>
    <row r="826" ht="15.75" customHeight="1">
      <c r="C826" s="52"/>
      <c r="H826" s="52"/>
      <c r="N826" s="52"/>
      <c r="P826" s="52"/>
      <c r="S826" s="52"/>
    </row>
    <row r="827" ht="15.75" customHeight="1">
      <c r="C827" s="52"/>
      <c r="H827" s="52"/>
      <c r="N827" s="52"/>
      <c r="P827" s="52"/>
      <c r="S827" s="52"/>
    </row>
    <row r="828" ht="15.75" customHeight="1">
      <c r="C828" s="52"/>
      <c r="H828" s="52"/>
      <c r="N828" s="52"/>
      <c r="P828" s="52"/>
      <c r="S828" s="52"/>
    </row>
    <row r="829" ht="15.75" customHeight="1">
      <c r="C829" s="52"/>
      <c r="H829" s="52"/>
      <c r="N829" s="52"/>
      <c r="P829" s="52"/>
      <c r="S829" s="52"/>
    </row>
    <row r="830" ht="15.75" customHeight="1">
      <c r="C830" s="52"/>
      <c r="H830" s="52"/>
      <c r="N830" s="52"/>
      <c r="P830" s="52"/>
      <c r="S830" s="52"/>
    </row>
    <row r="831" ht="15.75" customHeight="1">
      <c r="C831" s="52"/>
      <c r="H831" s="52"/>
      <c r="N831" s="52"/>
      <c r="P831" s="52"/>
      <c r="S831" s="52"/>
    </row>
    <row r="832" ht="15.75" customHeight="1">
      <c r="C832" s="52"/>
      <c r="H832" s="52"/>
      <c r="N832" s="52"/>
      <c r="P832" s="52"/>
      <c r="S832" s="52"/>
    </row>
    <row r="833" ht="15.75" customHeight="1">
      <c r="C833" s="52"/>
      <c r="H833" s="52"/>
      <c r="N833" s="52"/>
      <c r="P833" s="52"/>
      <c r="S833" s="52"/>
    </row>
    <row r="834" ht="15.75" customHeight="1">
      <c r="C834" s="52"/>
      <c r="H834" s="52"/>
      <c r="N834" s="52"/>
      <c r="P834" s="52"/>
      <c r="S834" s="52"/>
    </row>
    <row r="835" ht="15.75" customHeight="1">
      <c r="C835" s="52"/>
      <c r="H835" s="52"/>
      <c r="N835" s="52"/>
      <c r="P835" s="52"/>
      <c r="S835" s="52"/>
    </row>
    <row r="836" ht="15.75" customHeight="1">
      <c r="C836" s="52"/>
      <c r="H836" s="52"/>
      <c r="N836" s="52"/>
      <c r="P836" s="52"/>
      <c r="S836" s="52"/>
    </row>
    <row r="837" ht="15.75" customHeight="1">
      <c r="C837" s="52"/>
      <c r="H837" s="52"/>
      <c r="N837" s="52"/>
      <c r="P837" s="52"/>
      <c r="S837" s="52"/>
    </row>
    <row r="838" ht="15.75" customHeight="1">
      <c r="C838" s="52"/>
      <c r="H838" s="52"/>
      <c r="N838" s="52"/>
      <c r="P838" s="52"/>
      <c r="S838" s="52"/>
    </row>
    <row r="839" ht="15.75" customHeight="1">
      <c r="C839" s="52"/>
      <c r="H839" s="52"/>
      <c r="N839" s="52"/>
      <c r="P839" s="52"/>
      <c r="S839" s="52"/>
    </row>
    <row r="840" ht="15.75" customHeight="1">
      <c r="C840" s="52"/>
      <c r="H840" s="52"/>
      <c r="N840" s="52"/>
      <c r="P840" s="52"/>
      <c r="S840" s="52"/>
    </row>
    <row r="841" ht="15.75" customHeight="1">
      <c r="C841" s="52"/>
      <c r="H841" s="52"/>
      <c r="N841" s="52"/>
      <c r="P841" s="52"/>
      <c r="S841" s="52"/>
    </row>
    <row r="842" ht="15.75" customHeight="1">
      <c r="C842" s="52"/>
      <c r="H842" s="52"/>
      <c r="N842" s="52"/>
      <c r="P842" s="52"/>
      <c r="S842" s="52"/>
    </row>
    <row r="843" ht="15.75" customHeight="1">
      <c r="C843" s="52"/>
      <c r="H843" s="52"/>
      <c r="N843" s="52"/>
      <c r="P843" s="52"/>
      <c r="S843" s="52"/>
    </row>
    <row r="844" ht="15.75" customHeight="1">
      <c r="C844" s="52"/>
      <c r="H844" s="52"/>
      <c r="N844" s="52"/>
      <c r="P844" s="52"/>
      <c r="S844" s="52"/>
    </row>
    <row r="845" ht="15.75" customHeight="1">
      <c r="C845" s="52"/>
      <c r="H845" s="52"/>
      <c r="N845" s="52"/>
      <c r="P845" s="52"/>
      <c r="S845" s="52"/>
    </row>
    <row r="846" ht="15.75" customHeight="1">
      <c r="C846" s="52"/>
      <c r="H846" s="52"/>
      <c r="N846" s="52"/>
      <c r="P846" s="52"/>
      <c r="S846" s="52"/>
    </row>
    <row r="847" ht="15.75" customHeight="1">
      <c r="C847" s="52"/>
      <c r="H847" s="52"/>
      <c r="N847" s="52"/>
      <c r="P847" s="52"/>
      <c r="S847" s="52"/>
    </row>
    <row r="848" ht="15.75" customHeight="1">
      <c r="C848" s="52"/>
      <c r="H848" s="52"/>
      <c r="N848" s="52"/>
      <c r="P848" s="52"/>
      <c r="S848" s="52"/>
    </row>
    <row r="849" ht="15.75" customHeight="1">
      <c r="C849" s="52"/>
      <c r="H849" s="52"/>
      <c r="N849" s="52"/>
      <c r="P849" s="52"/>
      <c r="S849" s="52"/>
    </row>
    <row r="850" ht="15.75" customHeight="1">
      <c r="C850" s="52"/>
      <c r="H850" s="52"/>
      <c r="N850" s="52"/>
      <c r="P850" s="52"/>
      <c r="S850" s="52"/>
    </row>
    <row r="851" ht="15.75" customHeight="1">
      <c r="C851" s="52"/>
      <c r="H851" s="52"/>
      <c r="N851" s="52"/>
      <c r="P851" s="52"/>
      <c r="S851" s="52"/>
    </row>
    <row r="852" ht="15.75" customHeight="1">
      <c r="C852" s="52"/>
      <c r="H852" s="52"/>
      <c r="N852" s="52"/>
      <c r="P852" s="52"/>
      <c r="S852" s="52"/>
    </row>
    <row r="853" ht="15.75" customHeight="1">
      <c r="C853" s="52"/>
      <c r="H853" s="52"/>
      <c r="N853" s="52"/>
      <c r="P853" s="52"/>
      <c r="S853" s="52"/>
    </row>
    <row r="854" ht="15.75" customHeight="1">
      <c r="C854" s="52"/>
      <c r="H854" s="52"/>
      <c r="N854" s="52"/>
      <c r="P854" s="52"/>
      <c r="S854" s="52"/>
    </row>
    <row r="855" ht="15.75" customHeight="1">
      <c r="C855" s="52"/>
      <c r="H855" s="52"/>
      <c r="N855" s="52"/>
      <c r="P855" s="52"/>
      <c r="S855" s="52"/>
    </row>
    <row r="856" ht="15.75" customHeight="1">
      <c r="C856" s="52"/>
      <c r="H856" s="52"/>
      <c r="N856" s="52"/>
      <c r="P856" s="52"/>
      <c r="S856" s="52"/>
    </row>
    <row r="857" ht="15.75" customHeight="1">
      <c r="C857" s="52"/>
      <c r="H857" s="52"/>
      <c r="N857" s="52"/>
      <c r="P857" s="52"/>
      <c r="S857" s="52"/>
    </row>
    <row r="858" ht="15.75" customHeight="1">
      <c r="C858" s="52"/>
      <c r="H858" s="52"/>
      <c r="N858" s="52"/>
      <c r="P858" s="52"/>
      <c r="S858" s="52"/>
    </row>
    <row r="859" ht="15.75" customHeight="1">
      <c r="C859" s="52"/>
      <c r="H859" s="52"/>
      <c r="N859" s="52"/>
      <c r="P859" s="52"/>
      <c r="S859" s="52"/>
    </row>
    <row r="860" ht="15.75" customHeight="1">
      <c r="C860" s="52"/>
      <c r="H860" s="52"/>
      <c r="N860" s="52"/>
      <c r="P860" s="52"/>
      <c r="S860" s="52"/>
    </row>
    <row r="861" ht="15.75" customHeight="1">
      <c r="C861" s="52"/>
      <c r="H861" s="52"/>
      <c r="N861" s="52"/>
      <c r="P861" s="52"/>
      <c r="S861" s="52"/>
    </row>
    <row r="862" ht="15.75" customHeight="1">
      <c r="C862" s="52"/>
      <c r="H862" s="52"/>
      <c r="N862" s="52"/>
      <c r="P862" s="52"/>
      <c r="S862" s="52"/>
    </row>
    <row r="863" ht="15.75" customHeight="1">
      <c r="C863" s="52"/>
      <c r="H863" s="52"/>
      <c r="N863" s="52"/>
      <c r="P863" s="52"/>
      <c r="S863" s="52"/>
    </row>
    <row r="864" ht="15.75" customHeight="1">
      <c r="C864" s="52"/>
      <c r="H864" s="52"/>
      <c r="N864" s="52"/>
      <c r="P864" s="52"/>
      <c r="S864" s="52"/>
    </row>
    <row r="865" ht="15.75" customHeight="1">
      <c r="C865" s="52"/>
      <c r="H865" s="52"/>
      <c r="N865" s="52"/>
      <c r="P865" s="52"/>
      <c r="S865" s="52"/>
    </row>
    <row r="866" ht="15.75" customHeight="1">
      <c r="C866" s="52"/>
      <c r="H866" s="52"/>
      <c r="N866" s="52"/>
      <c r="P866" s="52"/>
      <c r="S866" s="52"/>
    </row>
    <row r="867" ht="15.75" customHeight="1">
      <c r="C867" s="52"/>
      <c r="H867" s="52"/>
      <c r="N867" s="52"/>
      <c r="P867" s="52"/>
      <c r="S867" s="52"/>
    </row>
    <row r="868" ht="15.75" customHeight="1">
      <c r="C868" s="52"/>
      <c r="H868" s="52"/>
      <c r="N868" s="52"/>
      <c r="P868" s="52"/>
      <c r="S868" s="52"/>
    </row>
    <row r="869" ht="15.75" customHeight="1">
      <c r="C869" s="52"/>
      <c r="H869" s="52"/>
      <c r="N869" s="52"/>
      <c r="P869" s="52"/>
      <c r="S869" s="52"/>
    </row>
    <row r="870" ht="15.75" customHeight="1">
      <c r="C870" s="52"/>
      <c r="H870" s="52"/>
      <c r="N870" s="52"/>
      <c r="P870" s="52"/>
      <c r="S870" s="52"/>
    </row>
    <row r="871" ht="15.75" customHeight="1">
      <c r="C871" s="52"/>
      <c r="H871" s="52"/>
      <c r="N871" s="52"/>
      <c r="P871" s="52"/>
      <c r="S871" s="52"/>
    </row>
    <row r="872" ht="15.75" customHeight="1">
      <c r="C872" s="52"/>
      <c r="H872" s="52"/>
      <c r="N872" s="52"/>
      <c r="P872" s="52"/>
      <c r="S872" s="52"/>
    </row>
    <row r="873" ht="15.75" customHeight="1">
      <c r="C873" s="52"/>
      <c r="H873" s="52"/>
      <c r="N873" s="52"/>
      <c r="P873" s="52"/>
      <c r="S873" s="52"/>
    </row>
    <row r="874" ht="15.75" customHeight="1">
      <c r="C874" s="52"/>
      <c r="H874" s="52"/>
      <c r="N874" s="52"/>
      <c r="P874" s="52"/>
      <c r="S874" s="52"/>
    </row>
    <row r="875" ht="15.75" customHeight="1">
      <c r="C875" s="52"/>
      <c r="H875" s="52"/>
      <c r="N875" s="52"/>
      <c r="P875" s="52"/>
      <c r="S875" s="52"/>
    </row>
    <row r="876" ht="15.75" customHeight="1">
      <c r="C876" s="52"/>
      <c r="H876" s="52"/>
      <c r="N876" s="52"/>
      <c r="P876" s="52"/>
      <c r="S876" s="52"/>
    </row>
    <row r="877" ht="15.75" customHeight="1">
      <c r="C877" s="52"/>
      <c r="H877" s="52"/>
      <c r="N877" s="52"/>
      <c r="P877" s="52"/>
      <c r="S877" s="52"/>
    </row>
    <row r="878" ht="15.75" customHeight="1">
      <c r="C878" s="52"/>
      <c r="H878" s="52"/>
      <c r="N878" s="52"/>
      <c r="P878" s="52"/>
      <c r="S878" s="52"/>
    </row>
    <row r="879" ht="15.75" customHeight="1">
      <c r="C879" s="52"/>
      <c r="H879" s="52"/>
      <c r="N879" s="52"/>
      <c r="P879" s="52"/>
      <c r="S879" s="52"/>
    </row>
    <row r="880" ht="15.75" customHeight="1">
      <c r="C880" s="52"/>
      <c r="H880" s="52"/>
      <c r="N880" s="52"/>
      <c r="P880" s="52"/>
      <c r="S880" s="52"/>
    </row>
    <row r="881" ht="15.75" customHeight="1">
      <c r="C881" s="52"/>
      <c r="H881" s="52"/>
      <c r="N881" s="52"/>
      <c r="P881" s="52"/>
      <c r="S881" s="52"/>
    </row>
    <row r="882" ht="15.75" customHeight="1">
      <c r="C882" s="52"/>
      <c r="H882" s="52"/>
      <c r="N882" s="52"/>
      <c r="P882" s="52"/>
      <c r="S882" s="52"/>
    </row>
    <row r="883" ht="15.75" customHeight="1">
      <c r="C883" s="52"/>
      <c r="H883" s="52"/>
      <c r="N883" s="52"/>
      <c r="P883" s="52"/>
      <c r="S883" s="52"/>
    </row>
    <row r="884" ht="15.75" customHeight="1">
      <c r="C884" s="52"/>
      <c r="H884" s="52"/>
      <c r="N884" s="52"/>
      <c r="P884" s="52"/>
      <c r="S884" s="52"/>
    </row>
    <row r="885" ht="15.75" customHeight="1">
      <c r="C885" s="52"/>
      <c r="H885" s="52"/>
      <c r="N885" s="52"/>
      <c r="P885" s="52"/>
      <c r="S885" s="52"/>
    </row>
    <row r="886" ht="15.75" customHeight="1">
      <c r="C886" s="52"/>
      <c r="H886" s="52"/>
      <c r="N886" s="52"/>
      <c r="P886" s="52"/>
      <c r="S886" s="52"/>
    </row>
    <row r="887" ht="15.75" customHeight="1">
      <c r="C887" s="52"/>
      <c r="H887" s="52"/>
      <c r="N887" s="52"/>
      <c r="P887" s="52"/>
      <c r="S887" s="52"/>
    </row>
    <row r="888" ht="15.75" customHeight="1">
      <c r="C888" s="52"/>
      <c r="H888" s="52"/>
      <c r="N888" s="52"/>
      <c r="P888" s="52"/>
      <c r="S888" s="52"/>
    </row>
    <row r="889" ht="15.75" customHeight="1">
      <c r="C889" s="52"/>
      <c r="H889" s="52"/>
      <c r="N889" s="52"/>
      <c r="P889" s="52"/>
      <c r="S889" s="52"/>
    </row>
    <row r="890" ht="15.75" customHeight="1">
      <c r="C890" s="52"/>
      <c r="H890" s="52"/>
      <c r="N890" s="52"/>
      <c r="P890" s="52"/>
      <c r="S890" s="52"/>
    </row>
    <row r="891" ht="15.75" customHeight="1">
      <c r="C891" s="52"/>
      <c r="H891" s="52"/>
      <c r="N891" s="52"/>
      <c r="P891" s="52"/>
      <c r="S891" s="52"/>
    </row>
    <row r="892" ht="15.75" customHeight="1">
      <c r="C892" s="52"/>
      <c r="H892" s="52"/>
      <c r="N892" s="52"/>
      <c r="P892" s="52"/>
      <c r="S892" s="52"/>
    </row>
    <row r="893" ht="15.75" customHeight="1">
      <c r="C893" s="52"/>
      <c r="H893" s="52"/>
      <c r="N893" s="52"/>
      <c r="P893" s="52"/>
      <c r="S893" s="52"/>
    </row>
    <row r="894" ht="15.75" customHeight="1">
      <c r="C894" s="52"/>
      <c r="H894" s="52"/>
      <c r="N894" s="52"/>
      <c r="P894" s="52"/>
      <c r="S894" s="52"/>
    </row>
    <row r="895" ht="15.75" customHeight="1">
      <c r="C895" s="52"/>
      <c r="H895" s="52"/>
      <c r="N895" s="52"/>
      <c r="P895" s="52"/>
      <c r="S895" s="52"/>
    </row>
    <row r="896" ht="15.75" customHeight="1">
      <c r="C896" s="52"/>
      <c r="H896" s="52"/>
      <c r="N896" s="52"/>
      <c r="P896" s="52"/>
      <c r="S896" s="52"/>
    </row>
    <row r="897" ht="15.75" customHeight="1">
      <c r="C897" s="52"/>
      <c r="H897" s="52"/>
      <c r="N897" s="52"/>
      <c r="P897" s="52"/>
      <c r="S897" s="52"/>
    </row>
    <row r="898" ht="15.75" customHeight="1">
      <c r="C898" s="52"/>
      <c r="H898" s="52"/>
      <c r="N898" s="52"/>
      <c r="P898" s="52"/>
      <c r="S898" s="52"/>
    </row>
    <row r="899" ht="15.75" customHeight="1">
      <c r="C899" s="52"/>
      <c r="H899" s="52"/>
      <c r="N899" s="52"/>
      <c r="P899" s="52"/>
      <c r="S899" s="52"/>
    </row>
    <row r="900" ht="15.75" customHeight="1">
      <c r="C900" s="52"/>
      <c r="H900" s="52"/>
      <c r="N900" s="52"/>
      <c r="P900" s="52"/>
      <c r="S900" s="52"/>
    </row>
    <row r="901" ht="15.75" customHeight="1">
      <c r="C901" s="52"/>
      <c r="H901" s="52"/>
      <c r="N901" s="52"/>
      <c r="P901" s="52"/>
      <c r="S901" s="52"/>
    </row>
    <row r="902" ht="15.75" customHeight="1">
      <c r="C902" s="52"/>
      <c r="H902" s="52"/>
      <c r="N902" s="52"/>
      <c r="P902" s="52"/>
      <c r="S902" s="52"/>
    </row>
    <row r="903" ht="15.75" customHeight="1">
      <c r="C903" s="52"/>
      <c r="H903" s="52"/>
      <c r="N903" s="52"/>
      <c r="P903" s="52"/>
      <c r="S903" s="52"/>
    </row>
    <row r="904" ht="15.75" customHeight="1">
      <c r="C904" s="52"/>
      <c r="H904" s="52"/>
      <c r="N904" s="52"/>
      <c r="P904" s="52"/>
      <c r="S904" s="52"/>
    </row>
    <row r="905" ht="15.75" customHeight="1">
      <c r="C905" s="52"/>
      <c r="H905" s="52"/>
      <c r="N905" s="52"/>
      <c r="P905" s="52"/>
      <c r="S905" s="52"/>
    </row>
    <row r="906" ht="15.75" customHeight="1">
      <c r="C906" s="52"/>
      <c r="H906" s="52"/>
      <c r="N906" s="52"/>
      <c r="P906" s="52"/>
      <c r="S906" s="52"/>
    </row>
    <row r="907" ht="15.75" customHeight="1">
      <c r="C907" s="52"/>
      <c r="H907" s="52"/>
      <c r="N907" s="52"/>
      <c r="P907" s="52"/>
      <c r="S907" s="52"/>
    </row>
    <row r="908" ht="15.75" customHeight="1">
      <c r="C908" s="52"/>
      <c r="H908" s="52"/>
      <c r="N908" s="52"/>
      <c r="P908" s="52"/>
      <c r="S908" s="52"/>
    </row>
    <row r="909" ht="15.75" customHeight="1">
      <c r="C909" s="52"/>
      <c r="H909" s="52"/>
      <c r="N909" s="52"/>
      <c r="P909" s="52"/>
      <c r="S909" s="52"/>
    </row>
    <row r="910" ht="15.75" customHeight="1">
      <c r="C910" s="52"/>
      <c r="H910" s="52"/>
      <c r="N910" s="52"/>
      <c r="P910" s="52"/>
      <c r="S910" s="52"/>
    </row>
    <row r="911" ht="15.75" customHeight="1">
      <c r="C911" s="52"/>
      <c r="H911" s="52"/>
      <c r="N911" s="52"/>
      <c r="P911" s="52"/>
      <c r="S911" s="52"/>
    </row>
    <row r="912" ht="15.75" customHeight="1">
      <c r="C912" s="52"/>
      <c r="H912" s="52"/>
      <c r="N912" s="52"/>
      <c r="P912" s="52"/>
      <c r="S912" s="52"/>
    </row>
    <row r="913" ht="15.75" customHeight="1">
      <c r="C913" s="52"/>
      <c r="H913" s="52"/>
      <c r="N913" s="52"/>
      <c r="P913" s="52"/>
      <c r="S913" s="52"/>
    </row>
    <row r="914" ht="15.75" customHeight="1">
      <c r="C914" s="52"/>
      <c r="H914" s="52"/>
      <c r="N914" s="52"/>
      <c r="P914" s="52"/>
      <c r="S914" s="52"/>
    </row>
    <row r="915" ht="15.75" customHeight="1">
      <c r="C915" s="52"/>
      <c r="H915" s="52"/>
      <c r="N915" s="52"/>
      <c r="P915" s="52"/>
      <c r="S915" s="52"/>
    </row>
    <row r="916" ht="15.75" customHeight="1">
      <c r="C916" s="52"/>
      <c r="H916" s="52"/>
      <c r="N916" s="52"/>
      <c r="P916" s="52"/>
      <c r="S916" s="52"/>
    </row>
    <row r="917" ht="15.75" customHeight="1">
      <c r="C917" s="52"/>
      <c r="H917" s="52"/>
      <c r="N917" s="52"/>
      <c r="P917" s="52"/>
      <c r="S917" s="52"/>
    </row>
    <row r="918" ht="15.75" customHeight="1">
      <c r="C918" s="52"/>
      <c r="H918" s="52"/>
      <c r="N918" s="52"/>
      <c r="P918" s="52"/>
      <c r="S918" s="52"/>
    </row>
    <row r="919" ht="15.75" customHeight="1">
      <c r="C919" s="52"/>
      <c r="H919" s="52"/>
      <c r="N919" s="52"/>
      <c r="P919" s="52"/>
      <c r="S919" s="52"/>
    </row>
    <row r="920" ht="15.75" customHeight="1">
      <c r="C920" s="52"/>
      <c r="H920" s="52"/>
      <c r="N920" s="52"/>
      <c r="P920" s="52"/>
      <c r="S920" s="52"/>
    </row>
    <row r="921" ht="15.75" customHeight="1">
      <c r="C921" s="52"/>
      <c r="H921" s="52"/>
      <c r="N921" s="52"/>
      <c r="P921" s="52"/>
      <c r="S921" s="52"/>
    </row>
    <row r="922" ht="15.75" customHeight="1">
      <c r="C922" s="52"/>
      <c r="H922" s="52"/>
      <c r="N922" s="52"/>
      <c r="P922" s="52"/>
      <c r="S922" s="52"/>
    </row>
    <row r="923" ht="15.75" customHeight="1">
      <c r="C923" s="52"/>
      <c r="H923" s="52"/>
      <c r="N923" s="52"/>
      <c r="P923" s="52"/>
      <c r="S923" s="52"/>
    </row>
    <row r="924" ht="15.75" customHeight="1">
      <c r="C924" s="52"/>
      <c r="H924" s="52"/>
      <c r="N924" s="52"/>
      <c r="P924" s="52"/>
      <c r="S924" s="52"/>
    </row>
    <row r="925" ht="15.75" customHeight="1">
      <c r="C925" s="52"/>
      <c r="H925" s="52"/>
      <c r="N925" s="52"/>
      <c r="P925" s="52"/>
      <c r="S925" s="52"/>
    </row>
    <row r="926" ht="15.75" customHeight="1">
      <c r="C926" s="52"/>
      <c r="H926" s="52"/>
      <c r="N926" s="52"/>
      <c r="P926" s="52"/>
      <c r="S926" s="52"/>
    </row>
    <row r="927" ht="15.75" customHeight="1">
      <c r="C927" s="52"/>
      <c r="H927" s="52"/>
      <c r="N927" s="52"/>
      <c r="P927" s="52"/>
      <c r="S927" s="52"/>
    </row>
    <row r="928" ht="15.75" customHeight="1">
      <c r="C928" s="52"/>
      <c r="H928" s="52"/>
      <c r="N928" s="52"/>
      <c r="P928" s="52"/>
      <c r="S928" s="52"/>
    </row>
    <row r="929" ht="15.75" customHeight="1">
      <c r="C929" s="52"/>
      <c r="H929" s="52"/>
      <c r="N929" s="52"/>
      <c r="P929" s="52"/>
      <c r="S929" s="52"/>
    </row>
    <row r="930" ht="15.75" customHeight="1">
      <c r="C930" s="52"/>
      <c r="H930" s="52"/>
      <c r="N930" s="52"/>
      <c r="P930" s="52"/>
      <c r="S930" s="52"/>
    </row>
    <row r="931" ht="15.75" customHeight="1">
      <c r="C931" s="52"/>
      <c r="H931" s="52"/>
      <c r="N931" s="52"/>
      <c r="P931" s="52"/>
      <c r="S931" s="52"/>
    </row>
    <row r="932" ht="15.75" customHeight="1">
      <c r="C932" s="52"/>
      <c r="H932" s="52"/>
      <c r="N932" s="52"/>
      <c r="P932" s="52"/>
      <c r="S932" s="52"/>
    </row>
    <row r="933" ht="15.75" customHeight="1">
      <c r="C933" s="52"/>
      <c r="H933" s="52"/>
      <c r="N933" s="52"/>
      <c r="P933" s="52"/>
      <c r="S933" s="52"/>
    </row>
    <row r="934" ht="15.75" customHeight="1">
      <c r="C934" s="52"/>
      <c r="H934" s="52"/>
      <c r="N934" s="52"/>
      <c r="P934" s="52"/>
      <c r="S934" s="52"/>
    </row>
    <row r="935" ht="15.75" customHeight="1">
      <c r="C935" s="52"/>
      <c r="H935" s="52"/>
      <c r="N935" s="52"/>
      <c r="P935" s="52"/>
      <c r="S935" s="52"/>
    </row>
    <row r="936" ht="15.75" customHeight="1">
      <c r="C936" s="52"/>
      <c r="H936" s="52"/>
      <c r="N936" s="52"/>
      <c r="P936" s="52"/>
      <c r="S936" s="52"/>
    </row>
    <row r="937" ht="15.75" customHeight="1">
      <c r="C937" s="52"/>
      <c r="H937" s="52"/>
      <c r="N937" s="52"/>
      <c r="P937" s="52"/>
      <c r="S937" s="52"/>
    </row>
    <row r="938" ht="15.75" customHeight="1">
      <c r="C938" s="52"/>
      <c r="H938" s="52"/>
      <c r="N938" s="52"/>
      <c r="P938" s="52"/>
      <c r="S938" s="52"/>
    </row>
    <row r="939" ht="15.75" customHeight="1">
      <c r="C939" s="52"/>
      <c r="H939" s="52"/>
      <c r="N939" s="52"/>
      <c r="P939" s="52"/>
      <c r="S939" s="52"/>
    </row>
    <row r="940" ht="15.75" customHeight="1">
      <c r="C940" s="52"/>
      <c r="H940" s="52"/>
      <c r="N940" s="52"/>
      <c r="P940" s="52"/>
      <c r="S940" s="52"/>
    </row>
    <row r="941" ht="15.75" customHeight="1">
      <c r="C941" s="52"/>
      <c r="H941" s="52"/>
      <c r="N941" s="52"/>
      <c r="P941" s="52"/>
      <c r="S941" s="52"/>
    </row>
    <row r="942" ht="15.75" customHeight="1">
      <c r="C942" s="52"/>
      <c r="H942" s="52"/>
      <c r="N942" s="52"/>
      <c r="P942" s="52"/>
      <c r="S942" s="52"/>
    </row>
    <row r="943" ht="15.75" customHeight="1">
      <c r="C943" s="52"/>
      <c r="H943" s="52"/>
      <c r="N943" s="52"/>
      <c r="P943" s="52"/>
      <c r="S943" s="52"/>
    </row>
    <row r="944" ht="15.75" customHeight="1">
      <c r="C944" s="52"/>
      <c r="H944" s="52"/>
      <c r="N944" s="52"/>
      <c r="P944" s="52"/>
      <c r="S944" s="52"/>
    </row>
    <row r="945" ht="15.75" customHeight="1">
      <c r="C945" s="52"/>
      <c r="H945" s="52"/>
      <c r="N945" s="52"/>
      <c r="P945" s="52"/>
      <c r="S945" s="52"/>
    </row>
    <row r="946" ht="15.75" customHeight="1">
      <c r="C946" s="52"/>
      <c r="H946" s="52"/>
      <c r="N946" s="52"/>
      <c r="P946" s="52"/>
      <c r="S946" s="52"/>
    </row>
    <row r="947" ht="15.75" customHeight="1">
      <c r="C947" s="52"/>
      <c r="H947" s="52"/>
      <c r="N947" s="52"/>
      <c r="P947" s="52"/>
      <c r="S947" s="52"/>
    </row>
    <row r="948" ht="15.75" customHeight="1">
      <c r="C948" s="52"/>
      <c r="H948" s="52"/>
      <c r="N948" s="52"/>
      <c r="P948" s="52"/>
      <c r="S948" s="52"/>
    </row>
    <row r="949" ht="15.75" customHeight="1">
      <c r="C949" s="52"/>
      <c r="H949" s="52"/>
      <c r="N949" s="52"/>
      <c r="P949" s="52"/>
      <c r="S949" s="52"/>
    </row>
    <row r="950" ht="15.75" customHeight="1">
      <c r="C950" s="52"/>
      <c r="H950" s="52"/>
      <c r="N950" s="52"/>
      <c r="P950" s="52"/>
      <c r="S950" s="52"/>
    </row>
    <row r="951" ht="15.75" customHeight="1">
      <c r="C951" s="52"/>
      <c r="H951" s="52"/>
      <c r="N951" s="52"/>
      <c r="P951" s="52"/>
      <c r="S951" s="52"/>
    </row>
    <row r="952" ht="15.75" customHeight="1">
      <c r="C952" s="52"/>
      <c r="H952" s="52"/>
      <c r="N952" s="52"/>
      <c r="P952" s="52"/>
      <c r="S952" s="52"/>
    </row>
    <row r="953" ht="15.75" customHeight="1">
      <c r="C953" s="52"/>
      <c r="H953" s="52"/>
      <c r="N953" s="52"/>
      <c r="P953" s="52"/>
      <c r="S953" s="52"/>
    </row>
    <row r="954" ht="15.75" customHeight="1">
      <c r="C954" s="52"/>
      <c r="H954" s="52"/>
      <c r="N954" s="52"/>
      <c r="P954" s="52"/>
      <c r="S954" s="52"/>
    </row>
    <row r="955" ht="15.75" customHeight="1">
      <c r="C955" s="52"/>
      <c r="H955" s="52"/>
      <c r="N955" s="52"/>
      <c r="P955" s="52"/>
      <c r="S955" s="52"/>
    </row>
    <row r="956" ht="15.75" customHeight="1">
      <c r="C956" s="52"/>
      <c r="H956" s="52"/>
      <c r="N956" s="52"/>
      <c r="P956" s="52"/>
      <c r="S956" s="52"/>
    </row>
    <row r="957" ht="15.75" customHeight="1">
      <c r="C957" s="52"/>
      <c r="H957" s="52"/>
      <c r="N957" s="52"/>
      <c r="P957" s="52"/>
      <c r="S957" s="52"/>
    </row>
    <row r="958" ht="15.75" customHeight="1">
      <c r="C958" s="52"/>
      <c r="H958" s="52"/>
      <c r="N958" s="52"/>
      <c r="P958" s="52"/>
      <c r="S958" s="52"/>
    </row>
    <row r="959" ht="15.75" customHeight="1">
      <c r="C959" s="52"/>
      <c r="H959" s="52"/>
      <c r="N959" s="52"/>
      <c r="P959" s="52"/>
      <c r="S959" s="52"/>
    </row>
    <row r="960" ht="15.75" customHeight="1">
      <c r="C960" s="52"/>
      <c r="H960" s="52"/>
      <c r="N960" s="52"/>
      <c r="P960" s="52"/>
      <c r="S960" s="52"/>
    </row>
    <row r="961" ht="15.75" customHeight="1">
      <c r="C961" s="52"/>
      <c r="H961" s="52"/>
      <c r="N961" s="52"/>
      <c r="P961" s="52"/>
      <c r="S961" s="52"/>
    </row>
    <row r="962" ht="15.75" customHeight="1">
      <c r="C962" s="52"/>
      <c r="H962" s="52"/>
      <c r="N962" s="52"/>
      <c r="P962" s="52"/>
      <c r="S962" s="52"/>
    </row>
    <row r="963" ht="15.75" customHeight="1">
      <c r="C963" s="52"/>
      <c r="H963" s="52"/>
      <c r="N963" s="52"/>
      <c r="P963" s="52"/>
      <c r="S963" s="52"/>
    </row>
    <row r="964" ht="15.75" customHeight="1">
      <c r="C964" s="52"/>
      <c r="H964" s="52"/>
      <c r="N964" s="52"/>
      <c r="P964" s="52"/>
      <c r="S964" s="52"/>
    </row>
    <row r="965" ht="15.75" customHeight="1">
      <c r="C965" s="52"/>
      <c r="H965" s="52"/>
      <c r="N965" s="52"/>
      <c r="P965" s="52"/>
      <c r="S965" s="52"/>
    </row>
    <row r="966" ht="15.75" customHeight="1">
      <c r="C966" s="52"/>
      <c r="H966" s="52"/>
      <c r="N966" s="52"/>
      <c r="P966" s="52"/>
      <c r="S966" s="52"/>
    </row>
    <row r="967" ht="15.75" customHeight="1">
      <c r="C967" s="52"/>
      <c r="H967" s="52"/>
      <c r="N967" s="52"/>
      <c r="P967" s="52"/>
      <c r="S967" s="52"/>
    </row>
    <row r="968" ht="15.75" customHeight="1">
      <c r="C968" s="52"/>
      <c r="H968" s="52"/>
      <c r="N968" s="52"/>
      <c r="P968" s="52"/>
      <c r="S968" s="52"/>
    </row>
    <row r="969" ht="15.75" customHeight="1">
      <c r="C969" s="52"/>
      <c r="H969" s="52"/>
      <c r="N969" s="52"/>
      <c r="P969" s="52"/>
      <c r="S969" s="52"/>
    </row>
    <row r="970" ht="15.75" customHeight="1">
      <c r="C970" s="52"/>
      <c r="H970" s="52"/>
      <c r="N970" s="52"/>
      <c r="P970" s="52"/>
      <c r="S970" s="52"/>
    </row>
    <row r="971" ht="15.75" customHeight="1">
      <c r="C971" s="52"/>
      <c r="H971" s="52"/>
      <c r="N971" s="52"/>
      <c r="P971" s="52"/>
      <c r="S971" s="52"/>
    </row>
    <row r="972" ht="15.75" customHeight="1">
      <c r="C972" s="52"/>
      <c r="H972" s="52"/>
      <c r="N972" s="52"/>
      <c r="P972" s="52"/>
      <c r="S972" s="52"/>
    </row>
    <row r="973" ht="15.75" customHeight="1">
      <c r="C973" s="52"/>
      <c r="H973" s="52"/>
      <c r="N973" s="52"/>
      <c r="P973" s="52"/>
      <c r="S973" s="52"/>
    </row>
    <row r="974" ht="15.75" customHeight="1">
      <c r="C974" s="52"/>
      <c r="H974" s="52"/>
      <c r="N974" s="52"/>
      <c r="P974" s="52"/>
      <c r="S974" s="52"/>
    </row>
    <row r="975" ht="15.75" customHeight="1">
      <c r="C975" s="52"/>
      <c r="H975" s="52"/>
      <c r="N975" s="52"/>
      <c r="P975" s="52"/>
      <c r="S975" s="52"/>
    </row>
    <row r="976" ht="15.75" customHeight="1">
      <c r="C976" s="52"/>
      <c r="H976" s="52"/>
      <c r="N976" s="52"/>
      <c r="P976" s="52"/>
      <c r="S976" s="52"/>
    </row>
    <row r="977" ht="15.75" customHeight="1">
      <c r="C977" s="52"/>
      <c r="H977" s="52"/>
      <c r="N977" s="52"/>
      <c r="P977" s="52"/>
      <c r="S977" s="52"/>
    </row>
    <row r="978" ht="15.75" customHeight="1">
      <c r="C978" s="52"/>
      <c r="H978" s="52"/>
      <c r="N978" s="52"/>
      <c r="P978" s="52"/>
      <c r="S978" s="52"/>
    </row>
    <row r="979" ht="15.75" customHeight="1">
      <c r="C979" s="52"/>
      <c r="H979" s="52"/>
      <c r="N979" s="52"/>
      <c r="P979" s="52"/>
      <c r="S979" s="52"/>
    </row>
    <row r="980" ht="15.75" customHeight="1">
      <c r="C980" s="52"/>
      <c r="H980" s="52"/>
      <c r="N980" s="52"/>
      <c r="P980" s="52"/>
      <c r="S980" s="52"/>
    </row>
    <row r="981" ht="15.75" customHeight="1">
      <c r="C981" s="52"/>
      <c r="H981" s="52"/>
      <c r="N981" s="52"/>
      <c r="P981" s="52"/>
      <c r="S981" s="52"/>
    </row>
    <row r="982" ht="15.75" customHeight="1">
      <c r="C982" s="52"/>
      <c r="H982" s="52"/>
      <c r="N982" s="52"/>
      <c r="P982" s="52"/>
      <c r="S982" s="52"/>
    </row>
    <row r="983" ht="15.75" customHeight="1">
      <c r="C983" s="52"/>
      <c r="H983" s="52"/>
      <c r="N983" s="52"/>
      <c r="P983" s="52"/>
      <c r="S983" s="52"/>
    </row>
    <row r="984" ht="15.75" customHeight="1">
      <c r="C984" s="52"/>
      <c r="H984" s="52"/>
      <c r="N984" s="52"/>
      <c r="P984" s="52"/>
      <c r="S984" s="52"/>
    </row>
    <row r="985" ht="15.75" customHeight="1">
      <c r="C985" s="52"/>
      <c r="H985" s="52"/>
      <c r="N985" s="52"/>
      <c r="P985" s="52"/>
      <c r="S985" s="52"/>
    </row>
    <row r="986" ht="15.75" customHeight="1">
      <c r="C986" s="52"/>
      <c r="H986" s="52"/>
      <c r="N986" s="52"/>
      <c r="P986" s="52"/>
      <c r="S986" s="52"/>
    </row>
    <row r="987" ht="15.75" customHeight="1">
      <c r="C987" s="52"/>
      <c r="H987" s="52"/>
      <c r="N987" s="52"/>
      <c r="P987" s="52"/>
      <c r="S987" s="52"/>
    </row>
    <row r="988" ht="15.75" customHeight="1">
      <c r="C988" s="52"/>
      <c r="H988" s="52"/>
      <c r="N988" s="52"/>
      <c r="P988" s="52"/>
      <c r="S988" s="52"/>
    </row>
    <row r="989" ht="15.75" customHeight="1">
      <c r="C989" s="52"/>
      <c r="H989" s="52"/>
      <c r="N989" s="52"/>
      <c r="P989" s="52"/>
      <c r="S989" s="52"/>
    </row>
    <row r="990" ht="15.75" customHeight="1">
      <c r="C990" s="52"/>
      <c r="H990" s="52"/>
      <c r="N990" s="52"/>
      <c r="P990" s="52"/>
      <c r="S990" s="52"/>
    </row>
    <row r="991" ht="15.75" customHeight="1">
      <c r="C991" s="52"/>
      <c r="H991" s="52"/>
      <c r="N991" s="52"/>
      <c r="P991" s="52"/>
      <c r="S991" s="52"/>
    </row>
    <row r="992" ht="15.75" customHeight="1">
      <c r="C992" s="52"/>
      <c r="H992" s="52"/>
      <c r="N992" s="52"/>
      <c r="P992" s="52"/>
      <c r="S992" s="52"/>
    </row>
    <row r="993" ht="15.75" customHeight="1">
      <c r="C993" s="52"/>
      <c r="H993" s="52"/>
      <c r="N993" s="52"/>
      <c r="P993" s="52"/>
      <c r="S993" s="52"/>
    </row>
    <row r="994" ht="15.75" customHeight="1">
      <c r="C994" s="52"/>
      <c r="H994" s="52"/>
      <c r="N994" s="52"/>
      <c r="P994" s="52"/>
      <c r="S994" s="52"/>
    </row>
    <row r="995" ht="15.75" customHeight="1">
      <c r="C995" s="52"/>
      <c r="H995" s="52"/>
      <c r="N995" s="52"/>
      <c r="P995" s="52"/>
      <c r="S995" s="52"/>
    </row>
    <row r="996" ht="15.75" customHeight="1">
      <c r="C996" s="52"/>
      <c r="H996" s="52"/>
      <c r="N996" s="52"/>
      <c r="P996" s="52"/>
      <c r="S996" s="52"/>
    </row>
    <row r="997" ht="15.75" customHeight="1">
      <c r="C997" s="52"/>
      <c r="H997" s="52"/>
      <c r="N997" s="52"/>
      <c r="P997" s="52"/>
      <c r="S997" s="52"/>
    </row>
    <row r="998" ht="15.75" customHeight="1">
      <c r="C998" s="52"/>
      <c r="H998" s="52"/>
      <c r="N998" s="52"/>
      <c r="P998" s="52"/>
      <c r="S998" s="52"/>
    </row>
    <row r="999" ht="15.75" customHeight="1">
      <c r="C999" s="52"/>
      <c r="H999" s="52"/>
      <c r="N999" s="52"/>
      <c r="P999" s="52"/>
      <c r="S999" s="52"/>
    </row>
    <row r="1000" ht="15.75" customHeight="1">
      <c r="C1000" s="52"/>
      <c r="H1000" s="52"/>
      <c r="N1000" s="52"/>
      <c r="P1000" s="52"/>
      <c r="S1000" s="52"/>
    </row>
    <row r="1001" ht="15.75" customHeight="1">
      <c r="C1001" s="52"/>
      <c r="H1001" s="52"/>
      <c r="N1001" s="52"/>
      <c r="P1001" s="52"/>
      <c r="S1001" s="52"/>
    </row>
    <row r="1002" ht="15.75" customHeight="1">
      <c r="C1002" s="52"/>
      <c r="H1002" s="52"/>
      <c r="N1002" s="52"/>
      <c r="P1002" s="52"/>
      <c r="S1002" s="52"/>
    </row>
    <row r="1003" ht="15.75" customHeight="1">
      <c r="C1003" s="52"/>
      <c r="H1003" s="52"/>
      <c r="N1003" s="52"/>
      <c r="P1003" s="52"/>
      <c r="S1003" s="52"/>
    </row>
    <row r="1004" ht="15.75" customHeight="1">
      <c r="C1004" s="52"/>
      <c r="H1004" s="52"/>
      <c r="N1004" s="52"/>
      <c r="P1004" s="52"/>
      <c r="S1004" s="5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58.63"/>
    <col customWidth="1" min="3" max="3" width="15.0"/>
    <col customWidth="1" min="4" max="4" width="28.0"/>
    <col customWidth="1" min="5" max="5" width="21.25"/>
    <col customWidth="1" min="6" max="6" width="24.13"/>
    <col customWidth="1" min="7" max="26" width="8.63"/>
  </cols>
  <sheetData>
    <row r="1">
      <c r="A1" s="42" t="s">
        <v>519</v>
      </c>
      <c r="B1" s="42" t="s">
        <v>520</v>
      </c>
      <c r="C1" s="42" t="s">
        <v>521</v>
      </c>
      <c r="D1" s="54" t="s">
        <v>507</v>
      </c>
      <c r="E1" s="55" t="s">
        <v>522</v>
      </c>
      <c r="F1" s="56" t="s">
        <v>523</v>
      </c>
    </row>
    <row r="2">
      <c r="A2" s="48" t="s">
        <v>524</v>
      </c>
      <c r="B2" s="48" t="s">
        <v>525</v>
      </c>
      <c r="C2" s="48">
        <v>250.0</v>
      </c>
      <c r="D2" s="54">
        <f>SUM(C2:C1000)</f>
        <v>3963</v>
      </c>
      <c r="E2" s="57">
        <v>0.0</v>
      </c>
      <c r="F2" s="58">
        <f>SUM(E2:E1000)</f>
        <v>11377.63</v>
      </c>
    </row>
    <row r="3">
      <c r="A3" s="47">
        <v>45802.0</v>
      </c>
      <c r="B3" s="48" t="s">
        <v>526</v>
      </c>
      <c r="C3" s="48">
        <v>800.0</v>
      </c>
      <c r="E3" s="57">
        <v>1759.6</v>
      </c>
      <c r="F3" s="57"/>
    </row>
    <row r="4">
      <c r="A4" s="47">
        <v>45876.0</v>
      </c>
      <c r="B4" s="48" t="s">
        <v>527</v>
      </c>
      <c r="C4" s="48">
        <v>301.0</v>
      </c>
      <c r="E4" s="57">
        <v>1205.99</v>
      </c>
      <c r="F4" s="57"/>
    </row>
    <row r="5">
      <c r="A5" s="47">
        <v>45873.0</v>
      </c>
      <c r="B5" s="48" t="s">
        <v>528</v>
      </c>
      <c r="C5" s="48">
        <v>56.0</v>
      </c>
      <c r="E5" s="57">
        <v>127.12</v>
      </c>
      <c r="F5" s="57"/>
    </row>
    <row r="6">
      <c r="A6" s="47">
        <v>45922.0</v>
      </c>
      <c r="B6" s="48" t="s">
        <v>529</v>
      </c>
      <c r="C6" s="48">
        <v>700.0</v>
      </c>
      <c r="E6" s="57">
        <v>1750.0</v>
      </c>
      <c r="F6" s="57"/>
    </row>
    <row r="7">
      <c r="A7" s="59">
        <v>45950.0</v>
      </c>
      <c r="B7" s="60" t="s">
        <v>530</v>
      </c>
      <c r="C7" s="60">
        <v>56.0</v>
      </c>
      <c r="E7" s="61">
        <v>258.72</v>
      </c>
      <c r="F7" s="57"/>
    </row>
    <row r="8">
      <c r="A8" s="59">
        <v>45972.0</v>
      </c>
      <c r="B8" s="48" t="s">
        <v>529</v>
      </c>
      <c r="C8" s="60">
        <v>700.0</v>
      </c>
      <c r="E8" s="61">
        <v>1750.0</v>
      </c>
      <c r="F8" s="57"/>
    </row>
    <row r="9">
      <c r="A9" s="59">
        <v>45972.0</v>
      </c>
      <c r="B9" s="60" t="s">
        <v>531</v>
      </c>
      <c r="C9" s="60">
        <v>100.0</v>
      </c>
      <c r="E9" s="61">
        <v>486.2</v>
      </c>
      <c r="F9" s="57"/>
    </row>
    <row r="10">
      <c r="A10" s="59">
        <v>45659.0</v>
      </c>
      <c r="B10" s="60" t="s">
        <v>532</v>
      </c>
      <c r="C10" s="60">
        <v>400.0</v>
      </c>
      <c r="E10" s="61">
        <v>1600.0</v>
      </c>
      <c r="F10" s="57"/>
    </row>
    <row r="11">
      <c r="A11" s="62">
        <v>46039.0</v>
      </c>
      <c r="B11" s="60" t="s">
        <v>531</v>
      </c>
      <c r="C11" s="60">
        <v>100.0</v>
      </c>
      <c r="E11" s="61">
        <v>442.0</v>
      </c>
      <c r="F11" s="57"/>
    </row>
    <row r="12">
      <c r="A12" s="63">
        <v>46076.0</v>
      </c>
      <c r="B12" s="60" t="s">
        <v>532</v>
      </c>
      <c r="C12" s="60">
        <v>400.0</v>
      </c>
      <c r="E12" s="61">
        <v>1600.0</v>
      </c>
      <c r="F12" s="57"/>
    </row>
    <row r="13">
      <c r="A13" s="63">
        <v>46076.0</v>
      </c>
      <c r="B13" s="60" t="s">
        <v>531</v>
      </c>
      <c r="C13" s="60">
        <v>100.0</v>
      </c>
      <c r="E13" s="64">
        <v>398.0</v>
      </c>
      <c r="F13" s="57"/>
    </row>
    <row r="14">
      <c r="E14" s="57"/>
      <c r="F14" s="57"/>
    </row>
    <row r="15">
      <c r="E15" s="57"/>
      <c r="F15" s="57"/>
    </row>
    <row r="16">
      <c r="E16" s="57"/>
      <c r="F16" s="57"/>
    </row>
    <row r="17">
      <c r="E17" s="57"/>
      <c r="F17" s="57"/>
    </row>
    <row r="18">
      <c r="E18" s="57"/>
      <c r="F18" s="57"/>
    </row>
    <row r="19">
      <c r="E19" s="57"/>
      <c r="F19" s="57"/>
    </row>
    <row r="20">
      <c r="E20" s="57"/>
      <c r="F20" s="57"/>
    </row>
    <row r="21" ht="15.75" customHeight="1">
      <c r="E21" s="57"/>
      <c r="F21" s="57"/>
    </row>
    <row r="22" ht="15.75" customHeight="1">
      <c r="E22" s="57"/>
      <c r="F22" s="57"/>
    </row>
    <row r="23" ht="15.75" customHeight="1">
      <c r="E23" s="57"/>
      <c r="F23" s="57"/>
    </row>
    <row r="24" ht="15.75" customHeight="1">
      <c r="E24" s="57"/>
      <c r="F24" s="57"/>
    </row>
    <row r="25" ht="15.75" customHeight="1">
      <c r="E25" s="57"/>
      <c r="F25" s="57"/>
    </row>
    <row r="26" ht="15.75" customHeight="1">
      <c r="E26" s="57"/>
      <c r="F26" s="57"/>
    </row>
    <row r="27" ht="15.75" customHeight="1">
      <c r="E27" s="57"/>
      <c r="F27" s="57"/>
    </row>
    <row r="28" ht="15.75" customHeight="1">
      <c r="E28" s="57"/>
      <c r="F28" s="57"/>
    </row>
    <row r="29" ht="15.75" customHeight="1">
      <c r="E29" s="57"/>
      <c r="F29" s="57"/>
    </row>
    <row r="30" ht="15.75" customHeight="1">
      <c r="E30" s="57"/>
      <c r="F30" s="57"/>
    </row>
    <row r="31" ht="15.75" customHeight="1">
      <c r="E31" s="57"/>
      <c r="F31" s="57"/>
    </row>
    <row r="32" ht="15.75" customHeight="1">
      <c r="E32" s="57"/>
      <c r="F32" s="57"/>
    </row>
    <row r="33" ht="15.75" customHeight="1">
      <c r="E33" s="57"/>
      <c r="F33" s="57"/>
    </row>
    <row r="34" ht="15.75" customHeight="1">
      <c r="E34" s="57"/>
      <c r="F34" s="57"/>
    </row>
    <row r="35" ht="15.75" customHeight="1">
      <c r="E35" s="57"/>
      <c r="F35" s="57"/>
    </row>
    <row r="36" ht="15.75" customHeight="1">
      <c r="E36" s="57"/>
      <c r="F36" s="57"/>
    </row>
    <row r="37" ht="15.75" customHeight="1">
      <c r="E37" s="57"/>
      <c r="F37" s="57"/>
    </row>
    <row r="38" ht="15.75" customHeight="1">
      <c r="E38" s="57"/>
      <c r="F38" s="57"/>
    </row>
    <row r="39" ht="15.75" customHeight="1">
      <c r="E39" s="57"/>
      <c r="F39" s="57"/>
    </row>
    <row r="40" ht="15.75" customHeight="1">
      <c r="E40" s="57"/>
      <c r="F40" s="57"/>
    </row>
    <row r="41" ht="15.75" customHeight="1">
      <c r="E41" s="57"/>
      <c r="F41" s="57"/>
    </row>
    <row r="42" ht="15.75" customHeight="1">
      <c r="E42" s="57"/>
      <c r="F42" s="57"/>
    </row>
    <row r="43" ht="15.75" customHeight="1">
      <c r="E43" s="57"/>
      <c r="F43" s="57"/>
    </row>
    <row r="44" ht="15.75" customHeight="1">
      <c r="E44" s="57"/>
      <c r="F44" s="57"/>
    </row>
    <row r="45" ht="15.75" customHeight="1">
      <c r="E45" s="57"/>
      <c r="F45" s="57"/>
    </row>
    <row r="46" ht="15.75" customHeight="1">
      <c r="E46" s="57"/>
      <c r="F46" s="57"/>
    </row>
    <row r="47" ht="15.75" customHeight="1">
      <c r="E47" s="57"/>
      <c r="F47" s="57"/>
    </row>
    <row r="48" ht="15.75" customHeight="1">
      <c r="E48" s="57"/>
      <c r="F48" s="57"/>
    </row>
    <row r="49" ht="15.75" customHeight="1">
      <c r="E49" s="57"/>
      <c r="F49" s="57"/>
    </row>
    <row r="50" ht="15.75" customHeight="1">
      <c r="E50" s="57"/>
      <c r="F50" s="57"/>
    </row>
    <row r="51" ht="15.75" customHeight="1">
      <c r="E51" s="57"/>
      <c r="F51" s="57"/>
    </row>
    <row r="52" ht="15.75" customHeight="1">
      <c r="E52" s="57"/>
      <c r="F52" s="57"/>
    </row>
    <row r="53" ht="15.75" customHeight="1">
      <c r="E53" s="57"/>
      <c r="F53" s="57"/>
    </row>
    <row r="54" ht="15.75" customHeight="1">
      <c r="E54" s="57"/>
      <c r="F54" s="57"/>
    </row>
    <row r="55" ht="15.75" customHeight="1">
      <c r="E55" s="57"/>
      <c r="F55" s="57"/>
    </row>
    <row r="56" ht="15.75" customHeight="1">
      <c r="E56" s="57"/>
      <c r="F56" s="57"/>
    </row>
    <row r="57" ht="15.75" customHeight="1">
      <c r="E57" s="57"/>
      <c r="F57" s="57"/>
    </row>
    <row r="58" ht="15.75" customHeight="1">
      <c r="E58" s="57"/>
      <c r="F58" s="57"/>
    </row>
    <row r="59" ht="15.75" customHeight="1">
      <c r="E59" s="57"/>
      <c r="F59" s="57"/>
    </row>
    <row r="60" ht="15.75" customHeight="1">
      <c r="E60" s="57"/>
      <c r="F60" s="57"/>
    </row>
    <row r="61" ht="15.75" customHeight="1">
      <c r="E61" s="57"/>
      <c r="F61" s="57"/>
    </row>
    <row r="62" ht="15.75" customHeight="1">
      <c r="E62" s="57"/>
      <c r="F62" s="57"/>
    </row>
    <row r="63" ht="15.75" customHeight="1">
      <c r="E63" s="57"/>
      <c r="F63" s="57"/>
    </row>
    <row r="64" ht="15.75" customHeight="1">
      <c r="E64" s="57"/>
      <c r="F64" s="57"/>
    </row>
    <row r="65" ht="15.75" customHeight="1">
      <c r="E65" s="57"/>
      <c r="F65" s="57"/>
    </row>
    <row r="66" ht="15.75" customHeight="1">
      <c r="E66" s="57"/>
      <c r="F66" s="57"/>
    </row>
    <row r="67" ht="15.75" customHeight="1">
      <c r="E67" s="57"/>
      <c r="F67" s="57"/>
    </row>
    <row r="68" ht="15.75" customHeight="1">
      <c r="E68" s="57"/>
      <c r="F68" s="57"/>
    </row>
    <row r="69" ht="15.75" customHeight="1">
      <c r="E69" s="57"/>
      <c r="F69" s="57"/>
    </row>
    <row r="70" ht="15.75" customHeight="1">
      <c r="E70" s="57"/>
      <c r="F70" s="57"/>
    </row>
    <row r="71" ht="15.75" customHeight="1">
      <c r="E71" s="57"/>
      <c r="F71" s="57"/>
    </row>
    <row r="72" ht="15.75" customHeight="1">
      <c r="E72" s="57"/>
      <c r="F72" s="57"/>
    </row>
    <row r="73" ht="15.75" customHeight="1">
      <c r="E73" s="57"/>
      <c r="F73" s="57"/>
    </row>
    <row r="74" ht="15.75" customHeight="1">
      <c r="E74" s="57"/>
      <c r="F74" s="57"/>
    </row>
    <row r="75" ht="15.75" customHeight="1">
      <c r="E75" s="57"/>
      <c r="F75" s="57"/>
    </row>
    <row r="76" ht="15.75" customHeight="1">
      <c r="E76" s="57"/>
      <c r="F76" s="57"/>
    </row>
    <row r="77" ht="15.75" customHeight="1">
      <c r="E77" s="57"/>
      <c r="F77" s="57"/>
    </row>
    <row r="78" ht="15.75" customHeight="1">
      <c r="E78" s="57"/>
      <c r="F78" s="57"/>
    </row>
    <row r="79" ht="15.75" customHeight="1">
      <c r="E79" s="57"/>
      <c r="F79" s="57"/>
    </row>
    <row r="80" ht="15.75" customHeight="1">
      <c r="E80" s="57"/>
      <c r="F80" s="57"/>
    </row>
    <row r="81" ht="15.75" customHeight="1">
      <c r="E81" s="57"/>
      <c r="F81" s="57"/>
    </row>
    <row r="82" ht="15.75" customHeight="1">
      <c r="E82" s="57"/>
      <c r="F82" s="57"/>
    </row>
    <row r="83" ht="15.75" customHeight="1">
      <c r="E83" s="57"/>
      <c r="F83" s="57"/>
    </row>
    <row r="84" ht="15.75" customHeight="1">
      <c r="E84" s="57"/>
      <c r="F84" s="57"/>
    </row>
    <row r="85" ht="15.75" customHeight="1">
      <c r="E85" s="57"/>
      <c r="F85" s="57"/>
    </row>
    <row r="86" ht="15.75" customHeight="1">
      <c r="E86" s="57"/>
      <c r="F86" s="57"/>
    </row>
    <row r="87" ht="15.75" customHeight="1">
      <c r="E87" s="57"/>
      <c r="F87" s="57"/>
    </row>
    <row r="88" ht="15.75" customHeight="1">
      <c r="E88" s="57"/>
      <c r="F88" s="57"/>
    </row>
    <row r="89" ht="15.75" customHeight="1">
      <c r="E89" s="57"/>
      <c r="F89" s="57"/>
    </row>
    <row r="90" ht="15.75" customHeight="1">
      <c r="E90" s="57"/>
      <c r="F90" s="57"/>
    </row>
    <row r="91" ht="15.75" customHeight="1">
      <c r="E91" s="57"/>
      <c r="F91" s="57"/>
    </row>
    <row r="92" ht="15.75" customHeight="1">
      <c r="E92" s="57"/>
      <c r="F92" s="57"/>
    </row>
    <row r="93" ht="15.75" customHeight="1">
      <c r="E93" s="57"/>
      <c r="F93" s="57"/>
    </row>
    <row r="94" ht="15.75" customHeight="1">
      <c r="E94" s="57"/>
      <c r="F94" s="57"/>
    </row>
    <row r="95" ht="15.75" customHeight="1">
      <c r="E95" s="57"/>
      <c r="F95" s="57"/>
    </row>
    <row r="96" ht="15.75" customHeight="1">
      <c r="E96" s="57"/>
      <c r="F96" s="57"/>
    </row>
    <row r="97" ht="15.75" customHeight="1">
      <c r="E97" s="57"/>
      <c r="F97" s="57"/>
    </row>
    <row r="98" ht="15.75" customHeight="1">
      <c r="E98" s="57"/>
      <c r="F98" s="57"/>
    </row>
    <row r="99" ht="15.75" customHeight="1">
      <c r="E99" s="57"/>
      <c r="F99" s="57"/>
    </row>
    <row r="100" ht="15.75" customHeight="1">
      <c r="E100" s="57"/>
      <c r="F100" s="57"/>
    </row>
    <row r="101" ht="15.75" customHeight="1">
      <c r="E101" s="57"/>
      <c r="F101" s="57"/>
    </row>
    <row r="102" ht="15.75" customHeight="1">
      <c r="E102" s="57"/>
      <c r="F102" s="57"/>
    </row>
    <row r="103" ht="15.75" customHeight="1">
      <c r="E103" s="57"/>
      <c r="F103" s="57"/>
    </row>
    <row r="104" ht="15.75" customHeight="1">
      <c r="E104" s="57"/>
      <c r="F104" s="57"/>
    </row>
    <row r="105" ht="15.75" customHeight="1">
      <c r="E105" s="57"/>
      <c r="F105" s="57"/>
    </row>
    <row r="106" ht="15.75" customHeight="1">
      <c r="E106" s="57"/>
      <c r="F106" s="57"/>
    </row>
    <row r="107" ht="15.75" customHeight="1">
      <c r="E107" s="57"/>
      <c r="F107" s="57"/>
    </row>
    <row r="108" ht="15.75" customHeight="1">
      <c r="E108" s="57"/>
      <c r="F108" s="57"/>
    </row>
    <row r="109" ht="15.75" customHeight="1">
      <c r="E109" s="57"/>
      <c r="F109" s="57"/>
    </row>
    <row r="110" ht="15.75" customHeight="1">
      <c r="E110" s="57"/>
      <c r="F110" s="57"/>
    </row>
    <row r="111" ht="15.75" customHeight="1">
      <c r="E111" s="57"/>
      <c r="F111" s="57"/>
    </row>
    <row r="112" ht="15.75" customHeight="1">
      <c r="E112" s="57"/>
      <c r="F112" s="57"/>
    </row>
    <row r="113" ht="15.75" customHeight="1">
      <c r="E113" s="57"/>
      <c r="F113" s="57"/>
    </row>
    <row r="114" ht="15.75" customHeight="1">
      <c r="E114" s="57"/>
      <c r="F114" s="57"/>
    </row>
    <row r="115" ht="15.75" customHeight="1">
      <c r="E115" s="57"/>
      <c r="F115" s="57"/>
    </row>
    <row r="116" ht="15.75" customHeight="1">
      <c r="E116" s="57"/>
      <c r="F116" s="57"/>
    </row>
    <row r="117" ht="15.75" customHeight="1">
      <c r="E117" s="57"/>
      <c r="F117" s="57"/>
    </row>
    <row r="118" ht="15.75" customHeight="1">
      <c r="E118" s="57"/>
      <c r="F118" s="57"/>
    </row>
    <row r="119" ht="15.75" customHeight="1">
      <c r="E119" s="57"/>
      <c r="F119" s="57"/>
    </row>
    <row r="120" ht="15.75" customHeight="1">
      <c r="E120" s="57"/>
      <c r="F120" s="57"/>
    </row>
    <row r="121" ht="15.75" customHeight="1">
      <c r="E121" s="57"/>
      <c r="F121" s="57"/>
    </row>
    <row r="122" ht="15.75" customHeight="1">
      <c r="E122" s="57"/>
      <c r="F122" s="57"/>
    </row>
    <row r="123" ht="15.75" customHeight="1">
      <c r="E123" s="57"/>
      <c r="F123" s="57"/>
    </row>
    <row r="124" ht="15.75" customHeight="1">
      <c r="E124" s="57"/>
      <c r="F124" s="57"/>
    </row>
    <row r="125" ht="15.75" customHeight="1">
      <c r="E125" s="57"/>
      <c r="F125" s="57"/>
    </row>
    <row r="126" ht="15.75" customHeight="1">
      <c r="E126" s="57"/>
      <c r="F126" s="57"/>
    </row>
    <row r="127" ht="15.75" customHeight="1">
      <c r="E127" s="57"/>
      <c r="F127" s="57"/>
    </row>
    <row r="128" ht="15.75" customHeight="1">
      <c r="E128" s="57"/>
      <c r="F128" s="57"/>
    </row>
    <row r="129" ht="15.75" customHeight="1">
      <c r="E129" s="57"/>
      <c r="F129" s="57"/>
    </row>
    <row r="130" ht="15.75" customHeight="1">
      <c r="E130" s="57"/>
      <c r="F130" s="57"/>
    </row>
    <row r="131" ht="15.75" customHeight="1">
      <c r="E131" s="57"/>
      <c r="F131" s="57"/>
    </row>
    <row r="132" ht="15.75" customHeight="1">
      <c r="E132" s="57"/>
      <c r="F132" s="57"/>
    </row>
    <row r="133" ht="15.75" customHeight="1">
      <c r="E133" s="57"/>
      <c r="F133" s="57"/>
    </row>
    <row r="134" ht="15.75" customHeight="1">
      <c r="E134" s="57"/>
      <c r="F134" s="57"/>
    </row>
    <row r="135" ht="15.75" customHeight="1">
      <c r="E135" s="57"/>
      <c r="F135" s="57"/>
    </row>
    <row r="136" ht="15.75" customHeight="1">
      <c r="E136" s="57"/>
      <c r="F136" s="57"/>
    </row>
    <row r="137" ht="15.75" customHeight="1">
      <c r="E137" s="57"/>
      <c r="F137" s="57"/>
    </row>
    <row r="138" ht="15.75" customHeight="1">
      <c r="E138" s="57"/>
      <c r="F138" s="57"/>
    </row>
    <row r="139" ht="15.75" customHeight="1">
      <c r="E139" s="57"/>
      <c r="F139" s="57"/>
    </row>
    <row r="140" ht="15.75" customHeight="1">
      <c r="E140" s="57"/>
      <c r="F140" s="57"/>
    </row>
    <row r="141" ht="15.75" customHeight="1">
      <c r="E141" s="57"/>
      <c r="F141" s="57"/>
    </row>
    <row r="142" ht="15.75" customHeight="1">
      <c r="E142" s="57"/>
      <c r="F142" s="57"/>
    </row>
    <row r="143" ht="15.75" customHeight="1">
      <c r="E143" s="57"/>
      <c r="F143" s="57"/>
    </row>
    <row r="144" ht="15.75" customHeight="1">
      <c r="E144" s="57"/>
      <c r="F144" s="57"/>
    </row>
    <row r="145" ht="15.75" customHeight="1">
      <c r="E145" s="57"/>
      <c r="F145" s="57"/>
    </row>
    <row r="146" ht="15.75" customHeight="1">
      <c r="E146" s="57"/>
      <c r="F146" s="57"/>
    </row>
    <row r="147" ht="15.75" customHeight="1">
      <c r="E147" s="57"/>
      <c r="F147" s="57"/>
    </row>
    <row r="148" ht="15.75" customHeight="1">
      <c r="E148" s="57"/>
      <c r="F148" s="57"/>
    </row>
    <row r="149" ht="15.75" customHeight="1">
      <c r="E149" s="57"/>
      <c r="F149" s="57"/>
    </row>
    <row r="150" ht="15.75" customHeight="1">
      <c r="E150" s="57"/>
      <c r="F150" s="57"/>
    </row>
    <row r="151" ht="15.75" customHeight="1">
      <c r="E151" s="57"/>
      <c r="F151" s="57"/>
    </row>
    <row r="152" ht="15.75" customHeight="1">
      <c r="E152" s="57"/>
      <c r="F152" s="57"/>
    </row>
    <row r="153" ht="15.75" customHeight="1">
      <c r="E153" s="57"/>
      <c r="F153" s="57"/>
    </row>
    <row r="154" ht="15.75" customHeight="1">
      <c r="E154" s="57"/>
      <c r="F154" s="57"/>
    </row>
    <row r="155" ht="15.75" customHeight="1">
      <c r="E155" s="57"/>
      <c r="F155" s="57"/>
    </row>
    <row r="156" ht="15.75" customHeight="1">
      <c r="E156" s="57"/>
      <c r="F156" s="57"/>
    </row>
    <row r="157" ht="15.75" customHeight="1">
      <c r="E157" s="57"/>
      <c r="F157" s="57"/>
    </row>
    <row r="158" ht="15.75" customHeight="1">
      <c r="E158" s="57"/>
      <c r="F158" s="57"/>
    </row>
    <row r="159" ht="15.75" customHeight="1">
      <c r="E159" s="57"/>
      <c r="F159" s="57"/>
    </row>
    <row r="160" ht="15.75" customHeight="1">
      <c r="E160" s="57"/>
      <c r="F160" s="57"/>
    </row>
    <row r="161" ht="15.75" customHeight="1">
      <c r="E161" s="57"/>
      <c r="F161" s="57"/>
    </row>
    <row r="162" ht="15.75" customHeight="1">
      <c r="E162" s="57"/>
      <c r="F162" s="57"/>
    </row>
    <row r="163" ht="15.75" customHeight="1">
      <c r="E163" s="57"/>
      <c r="F163" s="57"/>
    </row>
    <row r="164" ht="15.75" customHeight="1">
      <c r="E164" s="57"/>
      <c r="F164" s="57"/>
    </row>
    <row r="165" ht="15.75" customHeight="1">
      <c r="E165" s="57"/>
      <c r="F165" s="57"/>
    </row>
    <row r="166" ht="15.75" customHeight="1">
      <c r="E166" s="57"/>
      <c r="F166" s="57"/>
    </row>
    <row r="167" ht="15.75" customHeight="1">
      <c r="E167" s="57"/>
      <c r="F167" s="57"/>
    </row>
    <row r="168" ht="15.75" customHeight="1">
      <c r="E168" s="57"/>
      <c r="F168" s="57"/>
    </row>
    <row r="169" ht="15.75" customHeight="1">
      <c r="E169" s="57"/>
      <c r="F169" s="57"/>
    </row>
    <row r="170" ht="15.75" customHeight="1">
      <c r="E170" s="57"/>
      <c r="F170" s="57"/>
    </row>
    <row r="171" ht="15.75" customHeight="1">
      <c r="E171" s="57"/>
      <c r="F171" s="57"/>
    </row>
    <row r="172" ht="15.75" customHeight="1">
      <c r="E172" s="57"/>
      <c r="F172" s="57"/>
    </row>
    <row r="173" ht="15.75" customHeight="1">
      <c r="E173" s="57"/>
      <c r="F173" s="57"/>
    </row>
    <row r="174" ht="15.75" customHeight="1">
      <c r="E174" s="57"/>
      <c r="F174" s="57"/>
    </row>
    <row r="175" ht="15.75" customHeight="1">
      <c r="E175" s="57"/>
      <c r="F175" s="57"/>
    </row>
    <row r="176" ht="15.75" customHeight="1">
      <c r="E176" s="57"/>
      <c r="F176" s="57"/>
    </row>
    <row r="177" ht="15.75" customHeight="1">
      <c r="E177" s="57"/>
      <c r="F177" s="57"/>
    </row>
    <row r="178" ht="15.75" customHeight="1">
      <c r="E178" s="57"/>
      <c r="F178" s="57"/>
    </row>
    <row r="179" ht="15.75" customHeight="1">
      <c r="E179" s="57"/>
      <c r="F179" s="57"/>
    </row>
    <row r="180" ht="15.75" customHeight="1">
      <c r="E180" s="57"/>
      <c r="F180" s="57"/>
    </row>
    <row r="181" ht="15.75" customHeight="1">
      <c r="E181" s="57"/>
      <c r="F181" s="57"/>
    </row>
    <row r="182" ht="15.75" customHeight="1">
      <c r="E182" s="57"/>
      <c r="F182" s="57"/>
    </row>
    <row r="183" ht="15.75" customHeight="1">
      <c r="E183" s="57"/>
      <c r="F183" s="57"/>
    </row>
    <row r="184" ht="15.75" customHeight="1">
      <c r="E184" s="57"/>
      <c r="F184" s="57"/>
    </row>
    <row r="185" ht="15.75" customHeight="1">
      <c r="E185" s="57"/>
      <c r="F185" s="57"/>
    </row>
    <row r="186" ht="15.75" customHeight="1">
      <c r="E186" s="57"/>
      <c r="F186" s="57"/>
    </row>
    <row r="187" ht="15.75" customHeight="1">
      <c r="E187" s="57"/>
      <c r="F187" s="57"/>
    </row>
    <row r="188" ht="15.75" customHeight="1">
      <c r="E188" s="57"/>
      <c r="F188" s="57"/>
    </row>
    <row r="189" ht="15.75" customHeight="1">
      <c r="E189" s="57"/>
      <c r="F189" s="57"/>
    </row>
    <row r="190" ht="15.75" customHeight="1">
      <c r="E190" s="57"/>
      <c r="F190" s="57"/>
    </row>
    <row r="191" ht="15.75" customHeight="1">
      <c r="E191" s="57"/>
      <c r="F191" s="57"/>
    </row>
    <row r="192" ht="15.75" customHeight="1">
      <c r="E192" s="57"/>
      <c r="F192" s="57"/>
    </row>
    <row r="193" ht="15.75" customHeight="1">
      <c r="E193" s="57"/>
      <c r="F193" s="57"/>
    </row>
    <row r="194" ht="15.75" customHeight="1">
      <c r="E194" s="57"/>
      <c r="F194" s="57"/>
    </row>
    <row r="195" ht="15.75" customHeight="1">
      <c r="E195" s="57"/>
      <c r="F195" s="57"/>
    </row>
    <row r="196" ht="15.75" customHeight="1">
      <c r="E196" s="57"/>
      <c r="F196" s="57"/>
    </row>
    <row r="197" ht="15.75" customHeight="1">
      <c r="E197" s="57"/>
      <c r="F197" s="57"/>
    </row>
    <row r="198" ht="15.75" customHeight="1">
      <c r="E198" s="57"/>
      <c r="F198" s="57"/>
    </row>
    <row r="199" ht="15.75" customHeight="1">
      <c r="E199" s="57"/>
      <c r="F199" s="57"/>
    </row>
    <row r="200" ht="15.75" customHeight="1">
      <c r="E200" s="57"/>
      <c r="F200" s="57"/>
    </row>
    <row r="201" ht="15.75" customHeight="1">
      <c r="E201" s="57"/>
      <c r="F201" s="57"/>
    </row>
    <row r="202" ht="15.75" customHeight="1">
      <c r="E202" s="57"/>
      <c r="F202" s="57"/>
    </row>
    <row r="203" ht="15.75" customHeight="1">
      <c r="E203" s="57"/>
      <c r="F203" s="57"/>
    </row>
    <row r="204" ht="15.75" customHeight="1">
      <c r="E204" s="57"/>
      <c r="F204" s="57"/>
    </row>
    <row r="205" ht="15.75" customHeight="1">
      <c r="E205" s="57"/>
      <c r="F205" s="57"/>
    </row>
    <row r="206" ht="15.75" customHeight="1">
      <c r="E206" s="57"/>
      <c r="F206" s="57"/>
    </row>
    <row r="207" ht="15.75" customHeight="1">
      <c r="E207" s="57"/>
      <c r="F207" s="57"/>
    </row>
    <row r="208" ht="15.75" customHeight="1">
      <c r="E208" s="57"/>
      <c r="F208" s="57"/>
    </row>
    <row r="209" ht="15.75" customHeight="1">
      <c r="E209" s="57"/>
      <c r="F209" s="57"/>
    </row>
    <row r="210" ht="15.75" customHeight="1">
      <c r="E210" s="57"/>
      <c r="F210" s="57"/>
    </row>
    <row r="211" ht="15.75" customHeight="1">
      <c r="E211" s="57"/>
      <c r="F211" s="57"/>
    </row>
    <row r="212" ht="15.75" customHeight="1">
      <c r="E212" s="57"/>
      <c r="F212" s="57"/>
    </row>
    <row r="213" ht="15.75" customHeight="1">
      <c r="E213" s="57"/>
      <c r="F213" s="57"/>
    </row>
    <row r="214" ht="15.75" customHeight="1">
      <c r="E214" s="57"/>
      <c r="F214" s="57"/>
    </row>
    <row r="215" ht="15.75" customHeight="1">
      <c r="E215" s="57"/>
      <c r="F215" s="57"/>
    </row>
    <row r="216" ht="15.75" customHeight="1">
      <c r="E216" s="57"/>
      <c r="F216" s="57"/>
    </row>
    <row r="217" ht="15.75" customHeight="1">
      <c r="E217" s="57"/>
      <c r="F217" s="57"/>
    </row>
    <row r="218" ht="15.75" customHeight="1">
      <c r="E218" s="57"/>
      <c r="F218" s="57"/>
    </row>
    <row r="219" ht="15.75" customHeight="1">
      <c r="E219" s="57"/>
      <c r="F219" s="57"/>
    </row>
    <row r="220" ht="15.75" customHeight="1">
      <c r="E220" s="57"/>
      <c r="F220" s="57"/>
    </row>
    <row r="221" ht="15.75" customHeight="1">
      <c r="E221" s="57"/>
      <c r="F221" s="57"/>
    </row>
    <row r="222" ht="15.75" customHeight="1">
      <c r="E222" s="57"/>
      <c r="F222" s="57"/>
    </row>
    <row r="223" ht="15.75" customHeight="1">
      <c r="E223" s="57"/>
      <c r="F223" s="57"/>
    </row>
    <row r="224" ht="15.75" customHeight="1">
      <c r="E224" s="57"/>
      <c r="F224" s="57"/>
    </row>
    <row r="225" ht="15.75" customHeight="1">
      <c r="E225" s="57"/>
      <c r="F225" s="57"/>
    </row>
    <row r="226" ht="15.75" customHeight="1">
      <c r="E226" s="57"/>
      <c r="F226" s="57"/>
    </row>
    <row r="227" ht="15.75" customHeight="1">
      <c r="E227" s="57"/>
      <c r="F227" s="57"/>
    </row>
    <row r="228" ht="15.75" customHeight="1">
      <c r="E228" s="57"/>
      <c r="F228" s="57"/>
    </row>
    <row r="229" ht="15.75" customHeight="1">
      <c r="E229" s="57"/>
      <c r="F229" s="57"/>
    </row>
    <row r="230" ht="15.75" customHeight="1">
      <c r="E230" s="57"/>
      <c r="F230" s="57"/>
    </row>
    <row r="231" ht="15.75" customHeight="1">
      <c r="E231" s="57"/>
      <c r="F231" s="57"/>
    </row>
    <row r="232" ht="15.75" customHeight="1">
      <c r="E232" s="57"/>
      <c r="F232" s="57"/>
    </row>
    <row r="233" ht="15.75" customHeight="1">
      <c r="E233" s="57"/>
      <c r="F233" s="57"/>
    </row>
    <row r="234" ht="15.75" customHeight="1">
      <c r="E234" s="57"/>
      <c r="F234" s="57"/>
    </row>
    <row r="235" ht="15.75" customHeight="1">
      <c r="E235" s="57"/>
      <c r="F235" s="57"/>
    </row>
    <row r="236" ht="15.75" customHeight="1">
      <c r="E236" s="57"/>
      <c r="F236" s="57"/>
    </row>
    <row r="237" ht="15.75" customHeight="1">
      <c r="E237" s="57"/>
      <c r="F237" s="57"/>
    </row>
    <row r="238" ht="15.75" customHeight="1">
      <c r="E238" s="57"/>
      <c r="F238" s="57"/>
    </row>
    <row r="239" ht="15.75" customHeight="1">
      <c r="E239" s="57"/>
      <c r="F239" s="57"/>
    </row>
    <row r="240" ht="15.75" customHeight="1">
      <c r="E240" s="57"/>
      <c r="F240" s="57"/>
    </row>
    <row r="241" ht="15.75" customHeight="1">
      <c r="E241" s="57"/>
      <c r="F241" s="57"/>
    </row>
    <row r="242" ht="15.75" customHeight="1">
      <c r="E242" s="57"/>
      <c r="F242" s="57"/>
    </row>
    <row r="243" ht="15.75" customHeight="1">
      <c r="E243" s="57"/>
      <c r="F243" s="57"/>
    </row>
    <row r="244" ht="15.75" customHeight="1">
      <c r="E244" s="57"/>
      <c r="F244" s="57"/>
    </row>
    <row r="245" ht="15.75" customHeight="1">
      <c r="E245" s="57"/>
      <c r="F245" s="57"/>
    </row>
    <row r="246" ht="15.75" customHeight="1">
      <c r="E246" s="57"/>
      <c r="F246" s="57"/>
    </row>
    <row r="247" ht="15.75" customHeight="1">
      <c r="E247" s="57"/>
      <c r="F247" s="57"/>
    </row>
    <row r="248" ht="15.75" customHeight="1">
      <c r="E248" s="57"/>
      <c r="F248" s="57"/>
    </row>
    <row r="249" ht="15.75" customHeight="1">
      <c r="E249" s="57"/>
      <c r="F249" s="57"/>
    </row>
    <row r="250" ht="15.75" customHeight="1">
      <c r="E250" s="57"/>
      <c r="F250" s="57"/>
    </row>
    <row r="251" ht="15.75" customHeight="1">
      <c r="E251" s="57"/>
      <c r="F251" s="57"/>
    </row>
    <row r="252" ht="15.75" customHeight="1">
      <c r="E252" s="57"/>
      <c r="F252" s="57"/>
    </row>
    <row r="253" ht="15.75" customHeight="1">
      <c r="E253" s="57"/>
      <c r="F253" s="57"/>
    </row>
    <row r="254" ht="15.75" customHeight="1">
      <c r="E254" s="57"/>
      <c r="F254" s="57"/>
    </row>
    <row r="255" ht="15.75" customHeight="1">
      <c r="E255" s="57"/>
      <c r="F255" s="57"/>
    </row>
    <row r="256" ht="15.75" customHeight="1">
      <c r="E256" s="57"/>
      <c r="F256" s="57"/>
    </row>
    <row r="257" ht="15.75" customHeight="1">
      <c r="E257" s="57"/>
      <c r="F257" s="57"/>
    </row>
    <row r="258" ht="15.75" customHeight="1">
      <c r="E258" s="57"/>
      <c r="F258" s="57"/>
    </row>
    <row r="259" ht="15.75" customHeight="1">
      <c r="E259" s="57"/>
      <c r="F259" s="57"/>
    </row>
    <row r="260" ht="15.75" customHeight="1">
      <c r="E260" s="57"/>
      <c r="F260" s="57"/>
    </row>
    <row r="261" ht="15.75" customHeight="1">
      <c r="E261" s="57"/>
      <c r="F261" s="57"/>
    </row>
    <row r="262" ht="15.75" customHeight="1">
      <c r="E262" s="57"/>
      <c r="F262" s="57"/>
    </row>
    <row r="263" ht="15.75" customHeight="1">
      <c r="E263" s="57"/>
      <c r="F263" s="57"/>
    </row>
    <row r="264" ht="15.75" customHeight="1">
      <c r="E264" s="57"/>
      <c r="F264" s="57"/>
    </row>
    <row r="265" ht="15.75" customHeight="1">
      <c r="E265" s="57"/>
      <c r="F265" s="57"/>
    </row>
    <row r="266" ht="15.75" customHeight="1">
      <c r="E266" s="57"/>
      <c r="F266" s="57"/>
    </row>
    <row r="267" ht="15.75" customHeight="1">
      <c r="E267" s="57"/>
      <c r="F267" s="57"/>
    </row>
    <row r="268" ht="15.75" customHeight="1">
      <c r="E268" s="57"/>
      <c r="F268" s="57"/>
    </row>
    <row r="269" ht="15.75" customHeight="1">
      <c r="E269" s="57"/>
      <c r="F269" s="57"/>
    </row>
    <row r="270" ht="15.75" customHeight="1">
      <c r="E270" s="57"/>
      <c r="F270" s="57"/>
    </row>
    <row r="271" ht="15.75" customHeight="1">
      <c r="E271" s="57"/>
      <c r="F271" s="57"/>
    </row>
    <row r="272" ht="15.75" customHeight="1">
      <c r="E272" s="57"/>
      <c r="F272" s="57"/>
    </row>
    <row r="273" ht="15.75" customHeight="1">
      <c r="E273" s="57"/>
      <c r="F273" s="57"/>
    </row>
    <row r="274" ht="15.75" customHeight="1">
      <c r="E274" s="57"/>
      <c r="F274" s="57"/>
    </row>
    <row r="275" ht="15.75" customHeight="1">
      <c r="E275" s="57"/>
      <c r="F275" s="57"/>
    </row>
    <row r="276" ht="15.75" customHeight="1">
      <c r="E276" s="57"/>
      <c r="F276" s="57"/>
    </row>
    <row r="277" ht="15.75" customHeight="1">
      <c r="E277" s="57"/>
      <c r="F277" s="57"/>
    </row>
    <row r="278" ht="15.75" customHeight="1">
      <c r="E278" s="57"/>
      <c r="F278" s="57"/>
    </row>
    <row r="279" ht="15.75" customHeight="1">
      <c r="E279" s="57"/>
      <c r="F279" s="57"/>
    </row>
    <row r="280" ht="15.75" customHeight="1">
      <c r="E280" s="57"/>
      <c r="F280" s="57"/>
    </row>
    <row r="281" ht="15.75" customHeight="1">
      <c r="E281" s="57"/>
      <c r="F281" s="57"/>
    </row>
    <row r="282" ht="15.75" customHeight="1">
      <c r="E282" s="57"/>
      <c r="F282" s="57"/>
    </row>
    <row r="283" ht="15.75" customHeight="1">
      <c r="E283" s="57"/>
      <c r="F283" s="57"/>
    </row>
    <row r="284" ht="15.75" customHeight="1">
      <c r="E284" s="57"/>
      <c r="F284" s="57"/>
    </row>
    <row r="285" ht="15.75" customHeight="1">
      <c r="E285" s="57"/>
      <c r="F285" s="57"/>
    </row>
    <row r="286" ht="15.75" customHeight="1">
      <c r="E286" s="57"/>
      <c r="F286" s="57"/>
    </row>
    <row r="287" ht="15.75" customHeight="1">
      <c r="E287" s="57"/>
      <c r="F287" s="57"/>
    </row>
    <row r="288" ht="15.75" customHeight="1">
      <c r="E288" s="57"/>
      <c r="F288" s="57"/>
    </row>
    <row r="289" ht="15.75" customHeight="1">
      <c r="E289" s="57"/>
      <c r="F289" s="57"/>
    </row>
    <row r="290" ht="15.75" customHeight="1">
      <c r="E290" s="57"/>
      <c r="F290" s="57"/>
    </row>
    <row r="291" ht="15.75" customHeight="1">
      <c r="E291" s="57"/>
      <c r="F291" s="57"/>
    </row>
    <row r="292" ht="15.75" customHeight="1">
      <c r="E292" s="57"/>
      <c r="F292" s="57"/>
    </row>
    <row r="293" ht="15.75" customHeight="1">
      <c r="E293" s="57"/>
      <c r="F293" s="57"/>
    </row>
    <row r="294" ht="15.75" customHeight="1">
      <c r="E294" s="57"/>
      <c r="F294" s="57"/>
    </row>
    <row r="295" ht="15.75" customHeight="1">
      <c r="E295" s="57"/>
      <c r="F295" s="57"/>
    </row>
    <row r="296" ht="15.75" customHeight="1">
      <c r="E296" s="57"/>
      <c r="F296" s="57"/>
    </row>
    <row r="297" ht="15.75" customHeight="1">
      <c r="E297" s="57"/>
      <c r="F297" s="57"/>
    </row>
    <row r="298" ht="15.75" customHeight="1">
      <c r="E298" s="57"/>
      <c r="F298" s="57"/>
    </row>
    <row r="299" ht="15.75" customHeight="1">
      <c r="E299" s="57"/>
      <c r="F299" s="57"/>
    </row>
    <row r="300" ht="15.75" customHeight="1">
      <c r="E300" s="57"/>
      <c r="F300" s="57"/>
    </row>
    <row r="301" ht="15.75" customHeight="1">
      <c r="E301" s="57"/>
      <c r="F301" s="57"/>
    </row>
    <row r="302" ht="15.75" customHeight="1">
      <c r="E302" s="57"/>
      <c r="F302" s="57"/>
    </row>
    <row r="303" ht="15.75" customHeight="1">
      <c r="E303" s="57"/>
      <c r="F303" s="57"/>
    </row>
    <row r="304" ht="15.75" customHeight="1">
      <c r="E304" s="57"/>
      <c r="F304" s="57"/>
    </row>
    <row r="305" ht="15.75" customHeight="1">
      <c r="E305" s="57"/>
      <c r="F305" s="57"/>
    </row>
    <row r="306" ht="15.75" customHeight="1">
      <c r="E306" s="57"/>
      <c r="F306" s="57"/>
    </row>
    <row r="307" ht="15.75" customHeight="1">
      <c r="E307" s="57"/>
      <c r="F307" s="57"/>
    </row>
    <row r="308" ht="15.75" customHeight="1">
      <c r="E308" s="57"/>
      <c r="F308" s="57"/>
    </row>
    <row r="309" ht="15.75" customHeight="1">
      <c r="E309" s="57"/>
      <c r="F309" s="57"/>
    </row>
    <row r="310" ht="15.75" customHeight="1">
      <c r="E310" s="57"/>
      <c r="F310" s="57"/>
    </row>
    <row r="311" ht="15.75" customHeight="1">
      <c r="E311" s="57"/>
      <c r="F311" s="57"/>
    </row>
    <row r="312" ht="15.75" customHeight="1">
      <c r="E312" s="57"/>
      <c r="F312" s="57"/>
    </row>
    <row r="313" ht="15.75" customHeight="1">
      <c r="E313" s="57"/>
      <c r="F313" s="57"/>
    </row>
    <row r="314" ht="15.75" customHeight="1">
      <c r="E314" s="57"/>
      <c r="F314" s="57"/>
    </row>
    <row r="315" ht="15.75" customHeight="1">
      <c r="E315" s="57"/>
      <c r="F315" s="57"/>
    </row>
    <row r="316" ht="15.75" customHeight="1">
      <c r="E316" s="57"/>
      <c r="F316" s="57"/>
    </row>
    <row r="317" ht="15.75" customHeight="1">
      <c r="E317" s="57"/>
      <c r="F317" s="57"/>
    </row>
    <row r="318" ht="15.75" customHeight="1">
      <c r="E318" s="57"/>
      <c r="F318" s="57"/>
    </row>
    <row r="319" ht="15.75" customHeight="1">
      <c r="E319" s="57"/>
      <c r="F319" s="57"/>
    </row>
    <row r="320" ht="15.75" customHeight="1">
      <c r="E320" s="57"/>
      <c r="F320" s="57"/>
    </row>
    <row r="321" ht="15.75" customHeight="1">
      <c r="E321" s="57"/>
      <c r="F321" s="57"/>
    </row>
    <row r="322" ht="15.75" customHeight="1">
      <c r="E322" s="57"/>
      <c r="F322" s="57"/>
    </row>
    <row r="323" ht="15.75" customHeight="1">
      <c r="E323" s="57"/>
      <c r="F323" s="57"/>
    </row>
    <row r="324" ht="15.75" customHeight="1">
      <c r="E324" s="57"/>
      <c r="F324" s="57"/>
    </row>
    <row r="325" ht="15.75" customHeight="1">
      <c r="E325" s="57"/>
      <c r="F325" s="57"/>
    </row>
    <row r="326" ht="15.75" customHeight="1">
      <c r="E326" s="57"/>
      <c r="F326" s="57"/>
    </row>
    <row r="327" ht="15.75" customHeight="1">
      <c r="E327" s="57"/>
      <c r="F327" s="57"/>
    </row>
    <row r="328" ht="15.75" customHeight="1">
      <c r="E328" s="57"/>
      <c r="F328" s="57"/>
    </row>
    <row r="329" ht="15.75" customHeight="1">
      <c r="E329" s="57"/>
      <c r="F329" s="57"/>
    </row>
    <row r="330" ht="15.75" customHeight="1">
      <c r="E330" s="57"/>
      <c r="F330" s="57"/>
    </row>
    <row r="331" ht="15.75" customHeight="1">
      <c r="E331" s="57"/>
      <c r="F331" s="57"/>
    </row>
    <row r="332" ht="15.75" customHeight="1">
      <c r="E332" s="57"/>
      <c r="F332" s="57"/>
    </row>
    <row r="333" ht="15.75" customHeight="1">
      <c r="E333" s="57"/>
      <c r="F333" s="57"/>
    </row>
    <row r="334" ht="15.75" customHeight="1">
      <c r="E334" s="57"/>
      <c r="F334" s="57"/>
    </row>
    <row r="335" ht="15.75" customHeight="1">
      <c r="E335" s="57"/>
      <c r="F335" s="57"/>
    </row>
    <row r="336" ht="15.75" customHeight="1">
      <c r="E336" s="57"/>
      <c r="F336" s="57"/>
    </row>
    <row r="337" ht="15.75" customHeight="1">
      <c r="E337" s="57"/>
      <c r="F337" s="57"/>
    </row>
    <row r="338" ht="15.75" customHeight="1">
      <c r="E338" s="57"/>
      <c r="F338" s="57"/>
    </row>
    <row r="339" ht="15.75" customHeight="1">
      <c r="E339" s="57"/>
      <c r="F339" s="57"/>
    </row>
    <row r="340" ht="15.75" customHeight="1">
      <c r="E340" s="57"/>
      <c r="F340" s="57"/>
    </row>
    <row r="341" ht="15.75" customHeight="1">
      <c r="E341" s="57"/>
      <c r="F341" s="57"/>
    </row>
    <row r="342" ht="15.75" customHeight="1">
      <c r="E342" s="57"/>
      <c r="F342" s="57"/>
    </row>
    <row r="343" ht="15.75" customHeight="1">
      <c r="E343" s="57"/>
      <c r="F343" s="57"/>
    </row>
    <row r="344" ht="15.75" customHeight="1">
      <c r="E344" s="57"/>
      <c r="F344" s="57"/>
    </row>
    <row r="345" ht="15.75" customHeight="1">
      <c r="E345" s="57"/>
      <c r="F345" s="57"/>
    </row>
    <row r="346" ht="15.75" customHeight="1">
      <c r="E346" s="57"/>
      <c r="F346" s="57"/>
    </row>
    <row r="347" ht="15.75" customHeight="1">
      <c r="E347" s="57"/>
      <c r="F347" s="57"/>
    </row>
    <row r="348" ht="15.75" customHeight="1">
      <c r="E348" s="57"/>
      <c r="F348" s="57"/>
    </row>
    <row r="349" ht="15.75" customHeight="1">
      <c r="E349" s="57"/>
      <c r="F349" s="57"/>
    </row>
    <row r="350" ht="15.75" customHeight="1">
      <c r="E350" s="57"/>
      <c r="F350" s="57"/>
    </row>
    <row r="351" ht="15.75" customHeight="1">
      <c r="E351" s="57"/>
      <c r="F351" s="57"/>
    </row>
    <row r="352" ht="15.75" customHeight="1">
      <c r="E352" s="57"/>
      <c r="F352" s="57"/>
    </row>
    <row r="353" ht="15.75" customHeight="1">
      <c r="E353" s="57"/>
      <c r="F353" s="57"/>
    </row>
    <row r="354" ht="15.75" customHeight="1">
      <c r="E354" s="57"/>
      <c r="F354" s="57"/>
    </row>
    <row r="355" ht="15.75" customHeight="1">
      <c r="E355" s="57"/>
      <c r="F355" s="57"/>
    </row>
    <row r="356" ht="15.75" customHeight="1">
      <c r="E356" s="57"/>
      <c r="F356" s="57"/>
    </row>
    <row r="357" ht="15.75" customHeight="1">
      <c r="E357" s="57"/>
      <c r="F357" s="57"/>
    </row>
    <row r="358" ht="15.75" customHeight="1">
      <c r="E358" s="57"/>
      <c r="F358" s="57"/>
    </row>
    <row r="359" ht="15.75" customHeight="1">
      <c r="E359" s="57"/>
      <c r="F359" s="57"/>
    </row>
    <row r="360" ht="15.75" customHeight="1">
      <c r="E360" s="57"/>
      <c r="F360" s="57"/>
    </row>
    <row r="361" ht="15.75" customHeight="1">
      <c r="E361" s="57"/>
      <c r="F361" s="57"/>
    </row>
    <row r="362" ht="15.75" customHeight="1">
      <c r="E362" s="57"/>
      <c r="F362" s="57"/>
    </row>
    <row r="363" ht="15.75" customHeight="1">
      <c r="E363" s="57"/>
      <c r="F363" s="57"/>
    </row>
    <row r="364" ht="15.75" customHeight="1">
      <c r="E364" s="57"/>
      <c r="F364" s="57"/>
    </row>
    <row r="365" ht="15.75" customHeight="1">
      <c r="E365" s="57"/>
      <c r="F365" s="57"/>
    </row>
    <row r="366" ht="15.75" customHeight="1">
      <c r="E366" s="57"/>
      <c r="F366" s="57"/>
    </row>
    <row r="367" ht="15.75" customHeight="1">
      <c r="E367" s="57"/>
      <c r="F367" s="57"/>
    </row>
    <row r="368" ht="15.75" customHeight="1">
      <c r="E368" s="57"/>
      <c r="F368" s="57"/>
    </row>
    <row r="369" ht="15.75" customHeight="1">
      <c r="E369" s="57"/>
      <c r="F369" s="57"/>
    </row>
    <row r="370" ht="15.75" customHeight="1">
      <c r="E370" s="57"/>
      <c r="F370" s="57"/>
    </row>
    <row r="371" ht="15.75" customHeight="1">
      <c r="E371" s="57"/>
      <c r="F371" s="57"/>
    </row>
    <row r="372" ht="15.75" customHeight="1">
      <c r="E372" s="57"/>
      <c r="F372" s="57"/>
    </row>
    <row r="373" ht="15.75" customHeight="1">
      <c r="E373" s="57"/>
      <c r="F373" s="57"/>
    </row>
    <row r="374" ht="15.75" customHeight="1">
      <c r="E374" s="57"/>
      <c r="F374" s="57"/>
    </row>
    <row r="375" ht="15.75" customHeight="1">
      <c r="E375" s="57"/>
      <c r="F375" s="57"/>
    </row>
    <row r="376" ht="15.75" customHeight="1">
      <c r="E376" s="57"/>
      <c r="F376" s="57"/>
    </row>
    <row r="377" ht="15.75" customHeight="1">
      <c r="E377" s="57"/>
      <c r="F377" s="57"/>
    </row>
    <row r="378" ht="15.75" customHeight="1">
      <c r="E378" s="57"/>
      <c r="F378" s="57"/>
    </row>
    <row r="379" ht="15.75" customHeight="1">
      <c r="E379" s="57"/>
      <c r="F379" s="57"/>
    </row>
    <row r="380" ht="15.75" customHeight="1">
      <c r="E380" s="57"/>
      <c r="F380" s="57"/>
    </row>
    <row r="381" ht="15.75" customHeight="1">
      <c r="E381" s="57"/>
      <c r="F381" s="57"/>
    </row>
    <row r="382" ht="15.75" customHeight="1">
      <c r="E382" s="57"/>
      <c r="F382" s="57"/>
    </row>
    <row r="383" ht="15.75" customHeight="1">
      <c r="E383" s="57"/>
      <c r="F383" s="57"/>
    </row>
    <row r="384" ht="15.75" customHeight="1">
      <c r="E384" s="57"/>
      <c r="F384" s="57"/>
    </row>
    <row r="385" ht="15.75" customHeight="1">
      <c r="E385" s="57"/>
      <c r="F385" s="57"/>
    </row>
    <row r="386" ht="15.75" customHeight="1">
      <c r="E386" s="57"/>
      <c r="F386" s="57"/>
    </row>
    <row r="387" ht="15.75" customHeight="1">
      <c r="E387" s="57"/>
      <c r="F387" s="57"/>
    </row>
    <row r="388" ht="15.75" customHeight="1">
      <c r="E388" s="57"/>
      <c r="F388" s="57"/>
    </row>
    <row r="389" ht="15.75" customHeight="1">
      <c r="E389" s="57"/>
      <c r="F389" s="57"/>
    </row>
    <row r="390" ht="15.75" customHeight="1">
      <c r="E390" s="57"/>
      <c r="F390" s="57"/>
    </row>
    <row r="391" ht="15.75" customHeight="1">
      <c r="E391" s="57"/>
      <c r="F391" s="57"/>
    </row>
    <row r="392" ht="15.75" customHeight="1">
      <c r="E392" s="57"/>
      <c r="F392" s="57"/>
    </row>
    <row r="393" ht="15.75" customHeight="1">
      <c r="E393" s="57"/>
      <c r="F393" s="57"/>
    </row>
    <row r="394" ht="15.75" customHeight="1">
      <c r="E394" s="57"/>
      <c r="F394" s="57"/>
    </row>
    <row r="395" ht="15.75" customHeight="1">
      <c r="E395" s="57"/>
      <c r="F395" s="57"/>
    </row>
    <row r="396" ht="15.75" customHeight="1">
      <c r="E396" s="57"/>
      <c r="F396" s="57"/>
    </row>
    <row r="397" ht="15.75" customHeight="1">
      <c r="E397" s="57"/>
      <c r="F397" s="57"/>
    </row>
    <row r="398" ht="15.75" customHeight="1">
      <c r="E398" s="57"/>
      <c r="F398" s="57"/>
    </row>
    <row r="399" ht="15.75" customHeight="1">
      <c r="E399" s="57"/>
      <c r="F399" s="57"/>
    </row>
    <row r="400" ht="15.75" customHeight="1">
      <c r="E400" s="57"/>
      <c r="F400" s="57"/>
    </row>
    <row r="401" ht="15.75" customHeight="1">
      <c r="E401" s="57"/>
      <c r="F401" s="57"/>
    </row>
    <row r="402" ht="15.75" customHeight="1">
      <c r="E402" s="57"/>
      <c r="F402" s="57"/>
    </row>
    <row r="403" ht="15.75" customHeight="1">
      <c r="E403" s="57"/>
      <c r="F403" s="57"/>
    </row>
    <row r="404" ht="15.75" customHeight="1">
      <c r="E404" s="57"/>
      <c r="F404" s="57"/>
    </row>
    <row r="405" ht="15.75" customHeight="1">
      <c r="E405" s="57"/>
      <c r="F405" s="57"/>
    </row>
    <row r="406" ht="15.75" customHeight="1">
      <c r="E406" s="57"/>
      <c r="F406" s="57"/>
    </row>
    <row r="407" ht="15.75" customHeight="1">
      <c r="E407" s="57"/>
      <c r="F407" s="57"/>
    </row>
    <row r="408" ht="15.75" customHeight="1">
      <c r="E408" s="57"/>
      <c r="F408" s="57"/>
    </row>
    <row r="409" ht="15.75" customHeight="1">
      <c r="E409" s="57"/>
      <c r="F409" s="57"/>
    </row>
    <row r="410" ht="15.75" customHeight="1">
      <c r="E410" s="57"/>
      <c r="F410" s="57"/>
    </row>
    <row r="411" ht="15.75" customHeight="1">
      <c r="E411" s="57"/>
      <c r="F411" s="57"/>
    </row>
    <row r="412" ht="15.75" customHeight="1">
      <c r="E412" s="57"/>
      <c r="F412" s="57"/>
    </row>
    <row r="413" ht="15.75" customHeight="1">
      <c r="E413" s="57"/>
      <c r="F413" s="57"/>
    </row>
    <row r="414" ht="15.75" customHeight="1">
      <c r="E414" s="57"/>
      <c r="F414" s="57"/>
    </row>
    <row r="415" ht="15.75" customHeight="1">
      <c r="E415" s="57"/>
      <c r="F415" s="57"/>
    </row>
    <row r="416" ht="15.75" customHeight="1">
      <c r="E416" s="57"/>
      <c r="F416" s="57"/>
    </row>
    <row r="417" ht="15.75" customHeight="1">
      <c r="E417" s="57"/>
      <c r="F417" s="57"/>
    </row>
    <row r="418" ht="15.75" customHeight="1">
      <c r="E418" s="57"/>
      <c r="F418" s="57"/>
    </row>
    <row r="419" ht="15.75" customHeight="1">
      <c r="E419" s="57"/>
      <c r="F419" s="57"/>
    </row>
    <row r="420" ht="15.75" customHeight="1">
      <c r="E420" s="57"/>
      <c r="F420" s="57"/>
    </row>
    <row r="421" ht="15.75" customHeight="1">
      <c r="E421" s="57"/>
      <c r="F421" s="57"/>
    </row>
    <row r="422" ht="15.75" customHeight="1">
      <c r="E422" s="57"/>
      <c r="F422" s="57"/>
    </row>
    <row r="423" ht="15.75" customHeight="1">
      <c r="E423" s="57"/>
      <c r="F423" s="57"/>
    </row>
    <row r="424" ht="15.75" customHeight="1">
      <c r="E424" s="57"/>
      <c r="F424" s="57"/>
    </row>
    <row r="425" ht="15.75" customHeight="1">
      <c r="E425" s="57"/>
      <c r="F425" s="57"/>
    </row>
    <row r="426" ht="15.75" customHeight="1">
      <c r="E426" s="57"/>
      <c r="F426" s="57"/>
    </row>
    <row r="427" ht="15.75" customHeight="1">
      <c r="E427" s="57"/>
      <c r="F427" s="57"/>
    </row>
    <row r="428" ht="15.75" customHeight="1">
      <c r="E428" s="57"/>
      <c r="F428" s="57"/>
    </row>
    <row r="429" ht="15.75" customHeight="1">
      <c r="E429" s="57"/>
      <c r="F429" s="57"/>
    </row>
    <row r="430" ht="15.75" customHeight="1">
      <c r="E430" s="57"/>
      <c r="F430" s="57"/>
    </row>
    <row r="431" ht="15.75" customHeight="1">
      <c r="E431" s="57"/>
      <c r="F431" s="57"/>
    </row>
    <row r="432" ht="15.75" customHeight="1">
      <c r="E432" s="57"/>
      <c r="F432" s="57"/>
    </row>
    <row r="433" ht="15.75" customHeight="1">
      <c r="E433" s="57"/>
      <c r="F433" s="57"/>
    </row>
    <row r="434" ht="15.75" customHeight="1">
      <c r="E434" s="57"/>
      <c r="F434" s="57"/>
    </row>
    <row r="435" ht="15.75" customHeight="1">
      <c r="E435" s="57"/>
      <c r="F435" s="57"/>
    </row>
    <row r="436" ht="15.75" customHeight="1">
      <c r="E436" s="57"/>
      <c r="F436" s="57"/>
    </row>
    <row r="437" ht="15.75" customHeight="1">
      <c r="E437" s="57"/>
      <c r="F437" s="57"/>
    </row>
    <row r="438" ht="15.75" customHeight="1">
      <c r="E438" s="57"/>
      <c r="F438" s="57"/>
    </row>
    <row r="439" ht="15.75" customHeight="1">
      <c r="E439" s="57"/>
      <c r="F439" s="57"/>
    </row>
    <row r="440" ht="15.75" customHeight="1">
      <c r="E440" s="57"/>
      <c r="F440" s="57"/>
    </row>
    <row r="441" ht="15.75" customHeight="1">
      <c r="E441" s="57"/>
      <c r="F441" s="57"/>
    </row>
    <row r="442" ht="15.75" customHeight="1">
      <c r="E442" s="57"/>
      <c r="F442" s="57"/>
    </row>
    <row r="443" ht="15.75" customHeight="1">
      <c r="E443" s="57"/>
      <c r="F443" s="57"/>
    </row>
    <row r="444" ht="15.75" customHeight="1">
      <c r="E444" s="57"/>
      <c r="F444" s="57"/>
    </row>
    <row r="445" ht="15.75" customHeight="1">
      <c r="E445" s="57"/>
      <c r="F445" s="57"/>
    </row>
    <row r="446" ht="15.75" customHeight="1">
      <c r="E446" s="57"/>
      <c r="F446" s="57"/>
    </row>
    <row r="447" ht="15.75" customHeight="1">
      <c r="E447" s="57"/>
      <c r="F447" s="57"/>
    </row>
    <row r="448" ht="15.75" customHeight="1">
      <c r="E448" s="57"/>
      <c r="F448" s="57"/>
    </row>
    <row r="449" ht="15.75" customHeight="1">
      <c r="E449" s="57"/>
      <c r="F449" s="57"/>
    </row>
    <row r="450" ht="15.75" customHeight="1">
      <c r="E450" s="57"/>
      <c r="F450" s="57"/>
    </row>
    <row r="451" ht="15.75" customHeight="1">
      <c r="E451" s="57"/>
      <c r="F451" s="57"/>
    </row>
    <row r="452" ht="15.75" customHeight="1">
      <c r="E452" s="57"/>
      <c r="F452" s="57"/>
    </row>
    <row r="453" ht="15.75" customHeight="1">
      <c r="E453" s="57"/>
      <c r="F453" s="57"/>
    </row>
    <row r="454" ht="15.75" customHeight="1">
      <c r="E454" s="57"/>
      <c r="F454" s="57"/>
    </row>
    <row r="455" ht="15.75" customHeight="1">
      <c r="E455" s="57"/>
      <c r="F455" s="57"/>
    </row>
    <row r="456" ht="15.75" customHeight="1">
      <c r="E456" s="57"/>
      <c r="F456" s="57"/>
    </row>
    <row r="457" ht="15.75" customHeight="1">
      <c r="E457" s="57"/>
      <c r="F457" s="57"/>
    </row>
    <row r="458" ht="15.75" customHeight="1">
      <c r="E458" s="57"/>
      <c r="F458" s="57"/>
    </row>
    <row r="459" ht="15.75" customHeight="1">
      <c r="E459" s="57"/>
      <c r="F459" s="57"/>
    </row>
    <row r="460" ht="15.75" customHeight="1">
      <c r="E460" s="57"/>
      <c r="F460" s="57"/>
    </row>
    <row r="461" ht="15.75" customHeight="1">
      <c r="E461" s="57"/>
      <c r="F461" s="57"/>
    </row>
    <row r="462" ht="15.75" customHeight="1">
      <c r="E462" s="57"/>
      <c r="F462" s="57"/>
    </row>
    <row r="463" ht="15.75" customHeight="1">
      <c r="E463" s="57"/>
      <c r="F463" s="57"/>
    </row>
    <row r="464" ht="15.75" customHeight="1">
      <c r="E464" s="57"/>
      <c r="F464" s="57"/>
    </row>
    <row r="465" ht="15.75" customHeight="1">
      <c r="E465" s="57"/>
      <c r="F465" s="57"/>
    </row>
    <row r="466" ht="15.75" customHeight="1">
      <c r="E466" s="57"/>
      <c r="F466" s="57"/>
    </row>
    <row r="467" ht="15.75" customHeight="1">
      <c r="E467" s="57"/>
      <c r="F467" s="57"/>
    </row>
    <row r="468" ht="15.75" customHeight="1">
      <c r="E468" s="57"/>
      <c r="F468" s="57"/>
    </row>
    <row r="469" ht="15.75" customHeight="1">
      <c r="E469" s="57"/>
      <c r="F469" s="57"/>
    </row>
    <row r="470" ht="15.75" customHeight="1">
      <c r="E470" s="57"/>
      <c r="F470" s="57"/>
    </row>
    <row r="471" ht="15.75" customHeight="1">
      <c r="E471" s="57"/>
      <c r="F471" s="57"/>
    </row>
    <row r="472" ht="15.75" customHeight="1">
      <c r="E472" s="57"/>
      <c r="F472" s="57"/>
    </row>
    <row r="473" ht="15.75" customHeight="1">
      <c r="E473" s="57"/>
      <c r="F473" s="57"/>
    </row>
    <row r="474" ht="15.75" customHeight="1">
      <c r="E474" s="57"/>
      <c r="F474" s="57"/>
    </row>
    <row r="475" ht="15.75" customHeight="1">
      <c r="E475" s="57"/>
      <c r="F475" s="57"/>
    </row>
    <row r="476" ht="15.75" customHeight="1">
      <c r="E476" s="57"/>
      <c r="F476" s="57"/>
    </row>
    <row r="477" ht="15.75" customHeight="1">
      <c r="E477" s="57"/>
      <c r="F477" s="57"/>
    </row>
    <row r="478" ht="15.75" customHeight="1">
      <c r="E478" s="57"/>
      <c r="F478" s="57"/>
    </row>
    <row r="479" ht="15.75" customHeight="1">
      <c r="E479" s="57"/>
      <c r="F479" s="57"/>
    </row>
    <row r="480" ht="15.75" customHeight="1">
      <c r="E480" s="57"/>
      <c r="F480" s="57"/>
    </row>
    <row r="481" ht="15.75" customHeight="1">
      <c r="E481" s="57"/>
      <c r="F481" s="57"/>
    </row>
    <row r="482" ht="15.75" customHeight="1">
      <c r="E482" s="57"/>
      <c r="F482" s="57"/>
    </row>
    <row r="483" ht="15.75" customHeight="1">
      <c r="E483" s="57"/>
      <c r="F483" s="57"/>
    </row>
    <row r="484" ht="15.75" customHeight="1">
      <c r="E484" s="57"/>
      <c r="F484" s="57"/>
    </row>
    <row r="485" ht="15.75" customHeight="1">
      <c r="E485" s="57"/>
      <c r="F485" s="57"/>
    </row>
    <row r="486" ht="15.75" customHeight="1">
      <c r="E486" s="57"/>
      <c r="F486" s="57"/>
    </row>
    <row r="487" ht="15.75" customHeight="1">
      <c r="E487" s="57"/>
      <c r="F487" s="57"/>
    </row>
    <row r="488" ht="15.75" customHeight="1">
      <c r="E488" s="57"/>
      <c r="F488" s="57"/>
    </row>
    <row r="489" ht="15.75" customHeight="1">
      <c r="E489" s="57"/>
      <c r="F489" s="57"/>
    </row>
    <row r="490" ht="15.75" customHeight="1">
      <c r="E490" s="57"/>
      <c r="F490" s="57"/>
    </row>
    <row r="491" ht="15.75" customHeight="1">
      <c r="E491" s="57"/>
      <c r="F491" s="57"/>
    </row>
    <row r="492" ht="15.75" customHeight="1">
      <c r="E492" s="57"/>
      <c r="F492" s="57"/>
    </row>
    <row r="493" ht="15.75" customHeight="1">
      <c r="E493" s="57"/>
      <c r="F493" s="57"/>
    </row>
    <row r="494" ht="15.75" customHeight="1">
      <c r="E494" s="57"/>
      <c r="F494" s="57"/>
    </row>
    <row r="495" ht="15.75" customHeight="1">
      <c r="E495" s="57"/>
      <c r="F495" s="57"/>
    </row>
    <row r="496" ht="15.75" customHeight="1">
      <c r="E496" s="57"/>
      <c r="F496" s="57"/>
    </row>
    <row r="497" ht="15.75" customHeight="1">
      <c r="E497" s="57"/>
      <c r="F497" s="57"/>
    </row>
    <row r="498" ht="15.75" customHeight="1">
      <c r="E498" s="57"/>
      <c r="F498" s="57"/>
    </row>
    <row r="499" ht="15.75" customHeight="1">
      <c r="E499" s="57"/>
      <c r="F499" s="57"/>
    </row>
    <row r="500" ht="15.75" customHeight="1">
      <c r="E500" s="57"/>
      <c r="F500" s="57"/>
    </row>
    <row r="501" ht="15.75" customHeight="1">
      <c r="E501" s="57"/>
      <c r="F501" s="57"/>
    </row>
    <row r="502" ht="15.75" customHeight="1">
      <c r="E502" s="57"/>
      <c r="F502" s="57"/>
    </row>
    <row r="503" ht="15.75" customHeight="1">
      <c r="E503" s="57"/>
      <c r="F503" s="57"/>
    </row>
    <row r="504" ht="15.75" customHeight="1">
      <c r="E504" s="57"/>
      <c r="F504" s="57"/>
    </row>
    <row r="505" ht="15.75" customHeight="1">
      <c r="E505" s="57"/>
      <c r="F505" s="57"/>
    </row>
    <row r="506" ht="15.75" customHeight="1">
      <c r="E506" s="57"/>
      <c r="F506" s="57"/>
    </row>
    <row r="507" ht="15.75" customHeight="1">
      <c r="E507" s="57"/>
      <c r="F507" s="57"/>
    </row>
    <row r="508" ht="15.75" customHeight="1">
      <c r="E508" s="57"/>
      <c r="F508" s="57"/>
    </row>
    <row r="509" ht="15.75" customHeight="1">
      <c r="E509" s="57"/>
      <c r="F509" s="57"/>
    </row>
    <row r="510" ht="15.75" customHeight="1">
      <c r="E510" s="57"/>
      <c r="F510" s="57"/>
    </row>
    <row r="511" ht="15.75" customHeight="1">
      <c r="E511" s="57"/>
      <c r="F511" s="57"/>
    </row>
    <row r="512" ht="15.75" customHeight="1">
      <c r="E512" s="57"/>
      <c r="F512" s="57"/>
    </row>
    <row r="513" ht="15.75" customHeight="1">
      <c r="E513" s="57"/>
      <c r="F513" s="57"/>
    </row>
    <row r="514" ht="15.75" customHeight="1">
      <c r="E514" s="57"/>
      <c r="F514" s="57"/>
    </row>
    <row r="515" ht="15.75" customHeight="1">
      <c r="E515" s="57"/>
      <c r="F515" s="57"/>
    </row>
    <row r="516" ht="15.75" customHeight="1">
      <c r="E516" s="57"/>
      <c r="F516" s="57"/>
    </row>
    <row r="517" ht="15.75" customHeight="1">
      <c r="E517" s="57"/>
      <c r="F517" s="57"/>
    </row>
    <row r="518" ht="15.75" customHeight="1">
      <c r="E518" s="57"/>
      <c r="F518" s="57"/>
    </row>
    <row r="519" ht="15.75" customHeight="1">
      <c r="E519" s="57"/>
      <c r="F519" s="57"/>
    </row>
    <row r="520" ht="15.75" customHeight="1">
      <c r="E520" s="57"/>
      <c r="F520" s="57"/>
    </row>
    <row r="521" ht="15.75" customHeight="1">
      <c r="E521" s="57"/>
      <c r="F521" s="57"/>
    </row>
    <row r="522" ht="15.75" customHeight="1">
      <c r="E522" s="57"/>
      <c r="F522" s="57"/>
    </row>
    <row r="523" ht="15.75" customHeight="1">
      <c r="E523" s="57"/>
      <c r="F523" s="57"/>
    </row>
    <row r="524" ht="15.75" customHeight="1">
      <c r="E524" s="57"/>
      <c r="F524" s="57"/>
    </row>
    <row r="525" ht="15.75" customHeight="1">
      <c r="E525" s="57"/>
      <c r="F525" s="57"/>
    </row>
    <row r="526" ht="15.75" customHeight="1">
      <c r="E526" s="57"/>
      <c r="F526" s="57"/>
    </row>
    <row r="527" ht="15.75" customHeight="1">
      <c r="E527" s="57"/>
      <c r="F527" s="57"/>
    </row>
    <row r="528" ht="15.75" customHeight="1">
      <c r="E528" s="57"/>
      <c r="F528" s="57"/>
    </row>
    <row r="529" ht="15.75" customHeight="1">
      <c r="E529" s="57"/>
      <c r="F529" s="57"/>
    </row>
    <row r="530" ht="15.75" customHeight="1">
      <c r="E530" s="57"/>
      <c r="F530" s="57"/>
    </row>
    <row r="531" ht="15.75" customHeight="1">
      <c r="E531" s="57"/>
      <c r="F531" s="57"/>
    </row>
    <row r="532" ht="15.75" customHeight="1">
      <c r="E532" s="57"/>
      <c r="F532" s="57"/>
    </row>
    <row r="533" ht="15.75" customHeight="1">
      <c r="E533" s="57"/>
      <c r="F533" s="57"/>
    </row>
    <row r="534" ht="15.75" customHeight="1">
      <c r="E534" s="57"/>
      <c r="F534" s="57"/>
    </row>
    <row r="535" ht="15.75" customHeight="1">
      <c r="E535" s="57"/>
      <c r="F535" s="57"/>
    </row>
    <row r="536" ht="15.75" customHeight="1">
      <c r="E536" s="57"/>
      <c r="F536" s="57"/>
    </row>
    <row r="537" ht="15.75" customHeight="1">
      <c r="E537" s="57"/>
      <c r="F537" s="57"/>
    </row>
    <row r="538" ht="15.75" customHeight="1">
      <c r="E538" s="57"/>
      <c r="F538" s="57"/>
    </row>
    <row r="539" ht="15.75" customHeight="1">
      <c r="E539" s="57"/>
      <c r="F539" s="57"/>
    </row>
    <row r="540" ht="15.75" customHeight="1">
      <c r="E540" s="57"/>
      <c r="F540" s="57"/>
    </row>
    <row r="541" ht="15.75" customHeight="1">
      <c r="E541" s="57"/>
      <c r="F541" s="57"/>
    </row>
    <row r="542" ht="15.75" customHeight="1">
      <c r="E542" s="57"/>
      <c r="F542" s="57"/>
    </row>
    <row r="543" ht="15.75" customHeight="1">
      <c r="E543" s="57"/>
      <c r="F543" s="57"/>
    </row>
    <row r="544" ht="15.75" customHeight="1">
      <c r="E544" s="57"/>
      <c r="F544" s="57"/>
    </row>
    <row r="545" ht="15.75" customHeight="1">
      <c r="E545" s="57"/>
      <c r="F545" s="57"/>
    </row>
    <row r="546" ht="15.75" customHeight="1">
      <c r="E546" s="57"/>
      <c r="F546" s="57"/>
    </row>
    <row r="547" ht="15.75" customHeight="1">
      <c r="E547" s="57"/>
      <c r="F547" s="57"/>
    </row>
    <row r="548" ht="15.75" customHeight="1">
      <c r="E548" s="57"/>
      <c r="F548" s="57"/>
    </row>
    <row r="549" ht="15.75" customHeight="1">
      <c r="E549" s="57"/>
      <c r="F549" s="57"/>
    </row>
    <row r="550" ht="15.75" customHeight="1">
      <c r="E550" s="57"/>
      <c r="F550" s="57"/>
    </row>
    <row r="551" ht="15.75" customHeight="1">
      <c r="E551" s="57"/>
      <c r="F551" s="57"/>
    </row>
    <row r="552" ht="15.75" customHeight="1">
      <c r="E552" s="57"/>
      <c r="F552" s="57"/>
    </row>
    <row r="553" ht="15.75" customHeight="1">
      <c r="E553" s="57"/>
      <c r="F553" s="57"/>
    </row>
    <row r="554" ht="15.75" customHeight="1">
      <c r="E554" s="57"/>
      <c r="F554" s="57"/>
    </row>
    <row r="555" ht="15.75" customHeight="1">
      <c r="E555" s="57"/>
      <c r="F555" s="57"/>
    </row>
    <row r="556" ht="15.75" customHeight="1">
      <c r="E556" s="57"/>
      <c r="F556" s="57"/>
    </row>
    <row r="557" ht="15.75" customHeight="1">
      <c r="E557" s="57"/>
      <c r="F557" s="57"/>
    </row>
    <row r="558" ht="15.75" customHeight="1">
      <c r="E558" s="57"/>
      <c r="F558" s="57"/>
    </row>
    <row r="559" ht="15.75" customHeight="1">
      <c r="E559" s="57"/>
      <c r="F559" s="57"/>
    </row>
    <row r="560" ht="15.75" customHeight="1">
      <c r="E560" s="57"/>
      <c r="F560" s="57"/>
    </row>
    <row r="561" ht="15.75" customHeight="1">
      <c r="E561" s="57"/>
      <c r="F561" s="57"/>
    </row>
    <row r="562" ht="15.75" customHeight="1">
      <c r="E562" s="57"/>
      <c r="F562" s="57"/>
    </row>
    <row r="563" ht="15.75" customHeight="1">
      <c r="E563" s="57"/>
      <c r="F563" s="57"/>
    </row>
    <row r="564" ht="15.75" customHeight="1">
      <c r="E564" s="57"/>
      <c r="F564" s="57"/>
    </row>
    <row r="565" ht="15.75" customHeight="1">
      <c r="E565" s="57"/>
      <c r="F565" s="57"/>
    </row>
    <row r="566" ht="15.75" customHeight="1">
      <c r="E566" s="57"/>
      <c r="F566" s="57"/>
    </row>
    <row r="567" ht="15.75" customHeight="1">
      <c r="E567" s="57"/>
      <c r="F567" s="57"/>
    </row>
    <row r="568" ht="15.75" customHeight="1">
      <c r="E568" s="57"/>
      <c r="F568" s="57"/>
    </row>
    <row r="569" ht="15.75" customHeight="1">
      <c r="E569" s="57"/>
      <c r="F569" s="57"/>
    </row>
    <row r="570" ht="15.75" customHeight="1">
      <c r="E570" s="57"/>
      <c r="F570" s="57"/>
    </row>
    <row r="571" ht="15.75" customHeight="1">
      <c r="E571" s="57"/>
      <c r="F571" s="57"/>
    </row>
    <row r="572" ht="15.75" customHeight="1">
      <c r="E572" s="57"/>
      <c r="F572" s="57"/>
    </row>
    <row r="573" ht="15.75" customHeight="1">
      <c r="E573" s="57"/>
      <c r="F573" s="57"/>
    </row>
    <row r="574" ht="15.75" customHeight="1">
      <c r="E574" s="57"/>
      <c r="F574" s="57"/>
    </row>
    <row r="575" ht="15.75" customHeight="1">
      <c r="E575" s="57"/>
      <c r="F575" s="57"/>
    </row>
    <row r="576" ht="15.75" customHeight="1">
      <c r="E576" s="57"/>
      <c r="F576" s="57"/>
    </row>
    <row r="577" ht="15.75" customHeight="1">
      <c r="E577" s="57"/>
      <c r="F577" s="57"/>
    </row>
    <row r="578" ht="15.75" customHeight="1">
      <c r="E578" s="57"/>
      <c r="F578" s="57"/>
    </row>
    <row r="579" ht="15.75" customHeight="1">
      <c r="E579" s="57"/>
      <c r="F579" s="57"/>
    </row>
    <row r="580" ht="15.75" customHeight="1">
      <c r="E580" s="57"/>
      <c r="F580" s="57"/>
    </row>
    <row r="581" ht="15.75" customHeight="1">
      <c r="E581" s="57"/>
      <c r="F581" s="57"/>
    </row>
    <row r="582" ht="15.75" customHeight="1">
      <c r="E582" s="57"/>
      <c r="F582" s="57"/>
    </row>
    <row r="583" ht="15.75" customHeight="1">
      <c r="E583" s="57"/>
      <c r="F583" s="57"/>
    </row>
    <row r="584" ht="15.75" customHeight="1">
      <c r="E584" s="57"/>
      <c r="F584" s="57"/>
    </row>
    <row r="585" ht="15.75" customHeight="1">
      <c r="E585" s="57"/>
      <c r="F585" s="57"/>
    </row>
    <row r="586" ht="15.75" customHeight="1">
      <c r="E586" s="57"/>
      <c r="F586" s="57"/>
    </row>
    <row r="587" ht="15.75" customHeight="1">
      <c r="E587" s="57"/>
      <c r="F587" s="57"/>
    </row>
    <row r="588" ht="15.75" customHeight="1">
      <c r="E588" s="57"/>
      <c r="F588" s="57"/>
    </row>
    <row r="589" ht="15.75" customHeight="1">
      <c r="E589" s="57"/>
      <c r="F589" s="57"/>
    </row>
    <row r="590" ht="15.75" customHeight="1">
      <c r="E590" s="57"/>
      <c r="F590" s="57"/>
    </row>
    <row r="591" ht="15.75" customHeight="1">
      <c r="E591" s="57"/>
      <c r="F591" s="57"/>
    </row>
    <row r="592" ht="15.75" customHeight="1">
      <c r="E592" s="57"/>
      <c r="F592" s="57"/>
    </row>
    <row r="593" ht="15.75" customHeight="1">
      <c r="E593" s="57"/>
      <c r="F593" s="57"/>
    </row>
    <row r="594" ht="15.75" customHeight="1">
      <c r="E594" s="57"/>
      <c r="F594" s="57"/>
    </row>
    <row r="595" ht="15.75" customHeight="1">
      <c r="E595" s="57"/>
      <c r="F595" s="57"/>
    </row>
    <row r="596" ht="15.75" customHeight="1">
      <c r="E596" s="57"/>
      <c r="F596" s="57"/>
    </row>
    <row r="597" ht="15.75" customHeight="1">
      <c r="E597" s="57"/>
      <c r="F597" s="57"/>
    </row>
    <row r="598" ht="15.75" customHeight="1">
      <c r="E598" s="57"/>
      <c r="F598" s="57"/>
    </row>
    <row r="599" ht="15.75" customHeight="1">
      <c r="E599" s="57"/>
      <c r="F599" s="57"/>
    </row>
    <row r="600" ht="15.75" customHeight="1">
      <c r="E600" s="57"/>
      <c r="F600" s="57"/>
    </row>
    <row r="601" ht="15.75" customHeight="1">
      <c r="E601" s="57"/>
      <c r="F601" s="57"/>
    </row>
    <row r="602" ht="15.75" customHeight="1">
      <c r="E602" s="57"/>
      <c r="F602" s="57"/>
    </row>
    <row r="603" ht="15.75" customHeight="1">
      <c r="E603" s="57"/>
      <c r="F603" s="57"/>
    </row>
    <row r="604" ht="15.75" customHeight="1">
      <c r="E604" s="57"/>
      <c r="F604" s="57"/>
    </row>
    <row r="605" ht="15.75" customHeight="1">
      <c r="E605" s="57"/>
      <c r="F605" s="57"/>
    </row>
    <row r="606" ht="15.75" customHeight="1">
      <c r="E606" s="57"/>
      <c r="F606" s="57"/>
    </row>
    <row r="607" ht="15.75" customHeight="1">
      <c r="E607" s="57"/>
      <c r="F607" s="57"/>
    </row>
    <row r="608" ht="15.75" customHeight="1">
      <c r="E608" s="57"/>
      <c r="F608" s="57"/>
    </row>
    <row r="609" ht="15.75" customHeight="1">
      <c r="E609" s="57"/>
      <c r="F609" s="57"/>
    </row>
    <row r="610" ht="15.75" customHeight="1">
      <c r="E610" s="57"/>
      <c r="F610" s="57"/>
    </row>
    <row r="611" ht="15.75" customHeight="1">
      <c r="E611" s="57"/>
      <c r="F611" s="57"/>
    </row>
    <row r="612" ht="15.75" customHeight="1">
      <c r="E612" s="57"/>
      <c r="F612" s="57"/>
    </row>
    <row r="613" ht="15.75" customHeight="1">
      <c r="E613" s="57"/>
      <c r="F613" s="57"/>
    </row>
    <row r="614" ht="15.75" customHeight="1">
      <c r="E614" s="57"/>
      <c r="F614" s="57"/>
    </row>
    <row r="615" ht="15.75" customHeight="1">
      <c r="E615" s="57"/>
      <c r="F615" s="57"/>
    </row>
    <row r="616" ht="15.75" customHeight="1">
      <c r="E616" s="57"/>
      <c r="F616" s="57"/>
    </row>
    <row r="617" ht="15.75" customHeight="1">
      <c r="E617" s="57"/>
      <c r="F617" s="57"/>
    </row>
    <row r="618" ht="15.75" customHeight="1">
      <c r="E618" s="57"/>
      <c r="F618" s="57"/>
    </row>
    <row r="619" ht="15.75" customHeight="1">
      <c r="E619" s="57"/>
      <c r="F619" s="57"/>
    </row>
    <row r="620" ht="15.75" customHeight="1">
      <c r="E620" s="57"/>
      <c r="F620" s="57"/>
    </row>
    <row r="621" ht="15.75" customHeight="1">
      <c r="E621" s="57"/>
      <c r="F621" s="57"/>
    </row>
    <row r="622" ht="15.75" customHeight="1">
      <c r="E622" s="57"/>
      <c r="F622" s="57"/>
    </row>
    <row r="623" ht="15.75" customHeight="1">
      <c r="E623" s="57"/>
      <c r="F623" s="57"/>
    </row>
    <row r="624" ht="15.75" customHeight="1">
      <c r="E624" s="57"/>
      <c r="F624" s="57"/>
    </row>
    <row r="625" ht="15.75" customHeight="1">
      <c r="E625" s="57"/>
      <c r="F625" s="57"/>
    </row>
    <row r="626" ht="15.75" customHeight="1">
      <c r="E626" s="57"/>
      <c r="F626" s="57"/>
    </row>
    <row r="627" ht="15.75" customHeight="1">
      <c r="E627" s="57"/>
      <c r="F627" s="57"/>
    </row>
    <row r="628" ht="15.75" customHeight="1">
      <c r="E628" s="57"/>
      <c r="F628" s="57"/>
    </row>
    <row r="629" ht="15.75" customHeight="1">
      <c r="E629" s="57"/>
      <c r="F629" s="57"/>
    </row>
    <row r="630" ht="15.75" customHeight="1">
      <c r="E630" s="57"/>
      <c r="F630" s="57"/>
    </row>
    <row r="631" ht="15.75" customHeight="1">
      <c r="E631" s="57"/>
      <c r="F631" s="57"/>
    </row>
    <row r="632" ht="15.75" customHeight="1">
      <c r="E632" s="57"/>
      <c r="F632" s="57"/>
    </row>
    <row r="633" ht="15.75" customHeight="1">
      <c r="E633" s="57"/>
      <c r="F633" s="57"/>
    </row>
    <row r="634" ht="15.75" customHeight="1">
      <c r="E634" s="57"/>
      <c r="F634" s="57"/>
    </row>
    <row r="635" ht="15.75" customHeight="1">
      <c r="E635" s="57"/>
      <c r="F635" s="57"/>
    </row>
    <row r="636" ht="15.75" customHeight="1">
      <c r="E636" s="57"/>
      <c r="F636" s="57"/>
    </row>
    <row r="637" ht="15.75" customHeight="1">
      <c r="E637" s="57"/>
      <c r="F637" s="57"/>
    </row>
    <row r="638" ht="15.75" customHeight="1">
      <c r="E638" s="57"/>
      <c r="F638" s="57"/>
    </row>
    <row r="639" ht="15.75" customHeight="1">
      <c r="E639" s="57"/>
      <c r="F639" s="57"/>
    </row>
    <row r="640" ht="15.75" customHeight="1">
      <c r="E640" s="57"/>
      <c r="F640" s="57"/>
    </row>
    <row r="641" ht="15.75" customHeight="1">
      <c r="E641" s="57"/>
      <c r="F641" s="57"/>
    </row>
    <row r="642" ht="15.75" customHeight="1">
      <c r="E642" s="57"/>
      <c r="F642" s="57"/>
    </row>
    <row r="643" ht="15.75" customHeight="1">
      <c r="E643" s="57"/>
      <c r="F643" s="57"/>
    </row>
    <row r="644" ht="15.75" customHeight="1">
      <c r="E644" s="57"/>
      <c r="F644" s="57"/>
    </row>
    <row r="645" ht="15.75" customHeight="1">
      <c r="E645" s="57"/>
      <c r="F645" s="57"/>
    </row>
    <row r="646" ht="15.75" customHeight="1">
      <c r="E646" s="57"/>
      <c r="F646" s="57"/>
    </row>
    <row r="647" ht="15.75" customHeight="1">
      <c r="E647" s="57"/>
      <c r="F647" s="57"/>
    </row>
    <row r="648" ht="15.75" customHeight="1">
      <c r="E648" s="57"/>
      <c r="F648" s="57"/>
    </row>
    <row r="649" ht="15.75" customHeight="1">
      <c r="E649" s="57"/>
      <c r="F649" s="57"/>
    </row>
    <row r="650" ht="15.75" customHeight="1">
      <c r="E650" s="57"/>
      <c r="F650" s="57"/>
    </row>
    <row r="651" ht="15.75" customHeight="1">
      <c r="E651" s="57"/>
      <c r="F651" s="57"/>
    </row>
    <row r="652" ht="15.75" customHeight="1">
      <c r="E652" s="57"/>
      <c r="F652" s="57"/>
    </row>
    <row r="653" ht="15.75" customHeight="1">
      <c r="E653" s="57"/>
      <c r="F653" s="57"/>
    </row>
    <row r="654" ht="15.75" customHeight="1">
      <c r="E654" s="57"/>
      <c r="F654" s="57"/>
    </row>
    <row r="655" ht="15.75" customHeight="1">
      <c r="E655" s="57"/>
      <c r="F655" s="57"/>
    </row>
    <row r="656" ht="15.75" customHeight="1">
      <c r="E656" s="57"/>
      <c r="F656" s="57"/>
    </row>
    <row r="657" ht="15.75" customHeight="1">
      <c r="E657" s="57"/>
      <c r="F657" s="57"/>
    </row>
    <row r="658" ht="15.75" customHeight="1">
      <c r="E658" s="57"/>
      <c r="F658" s="57"/>
    </row>
    <row r="659" ht="15.75" customHeight="1">
      <c r="E659" s="57"/>
      <c r="F659" s="57"/>
    </row>
    <row r="660" ht="15.75" customHeight="1">
      <c r="E660" s="57"/>
      <c r="F660" s="57"/>
    </row>
    <row r="661" ht="15.75" customHeight="1">
      <c r="E661" s="57"/>
      <c r="F661" s="57"/>
    </row>
    <row r="662" ht="15.75" customHeight="1">
      <c r="E662" s="57"/>
      <c r="F662" s="57"/>
    </row>
    <row r="663" ht="15.75" customHeight="1">
      <c r="E663" s="57"/>
      <c r="F663" s="57"/>
    </row>
    <row r="664" ht="15.75" customHeight="1">
      <c r="E664" s="57"/>
      <c r="F664" s="57"/>
    </row>
    <row r="665" ht="15.75" customHeight="1">
      <c r="E665" s="57"/>
      <c r="F665" s="57"/>
    </row>
    <row r="666" ht="15.75" customHeight="1">
      <c r="E666" s="57"/>
      <c r="F666" s="57"/>
    </row>
    <row r="667" ht="15.75" customHeight="1">
      <c r="E667" s="57"/>
      <c r="F667" s="57"/>
    </row>
    <row r="668" ht="15.75" customHeight="1">
      <c r="E668" s="57"/>
      <c r="F668" s="57"/>
    </row>
    <row r="669" ht="15.75" customHeight="1">
      <c r="E669" s="57"/>
      <c r="F669" s="57"/>
    </row>
    <row r="670" ht="15.75" customHeight="1">
      <c r="E670" s="57"/>
      <c r="F670" s="57"/>
    </row>
    <row r="671" ht="15.75" customHeight="1">
      <c r="E671" s="57"/>
      <c r="F671" s="57"/>
    </row>
    <row r="672" ht="15.75" customHeight="1">
      <c r="E672" s="57"/>
      <c r="F672" s="57"/>
    </row>
    <row r="673" ht="15.75" customHeight="1">
      <c r="E673" s="57"/>
      <c r="F673" s="57"/>
    </row>
    <row r="674" ht="15.75" customHeight="1">
      <c r="E674" s="57"/>
      <c r="F674" s="57"/>
    </row>
    <row r="675" ht="15.75" customHeight="1">
      <c r="E675" s="57"/>
      <c r="F675" s="57"/>
    </row>
    <row r="676" ht="15.75" customHeight="1">
      <c r="E676" s="57"/>
      <c r="F676" s="57"/>
    </row>
    <row r="677" ht="15.75" customHeight="1">
      <c r="E677" s="57"/>
      <c r="F677" s="57"/>
    </row>
    <row r="678" ht="15.75" customHeight="1">
      <c r="E678" s="57"/>
      <c r="F678" s="57"/>
    </row>
    <row r="679" ht="15.75" customHeight="1">
      <c r="E679" s="57"/>
      <c r="F679" s="57"/>
    </row>
    <row r="680" ht="15.75" customHeight="1">
      <c r="E680" s="57"/>
      <c r="F680" s="57"/>
    </row>
    <row r="681" ht="15.75" customHeight="1">
      <c r="E681" s="57"/>
      <c r="F681" s="57"/>
    </row>
    <row r="682" ht="15.75" customHeight="1">
      <c r="E682" s="57"/>
      <c r="F682" s="57"/>
    </row>
    <row r="683" ht="15.75" customHeight="1">
      <c r="E683" s="57"/>
      <c r="F683" s="57"/>
    </row>
    <row r="684" ht="15.75" customHeight="1">
      <c r="E684" s="57"/>
      <c r="F684" s="57"/>
    </row>
    <row r="685" ht="15.75" customHeight="1">
      <c r="E685" s="57"/>
      <c r="F685" s="57"/>
    </row>
    <row r="686" ht="15.75" customHeight="1">
      <c r="E686" s="57"/>
      <c r="F686" s="57"/>
    </row>
    <row r="687" ht="15.75" customHeight="1">
      <c r="E687" s="57"/>
      <c r="F687" s="57"/>
    </row>
    <row r="688" ht="15.75" customHeight="1">
      <c r="E688" s="57"/>
      <c r="F688" s="57"/>
    </row>
    <row r="689" ht="15.75" customHeight="1">
      <c r="E689" s="57"/>
      <c r="F689" s="57"/>
    </row>
    <row r="690" ht="15.75" customHeight="1">
      <c r="E690" s="57"/>
      <c r="F690" s="57"/>
    </row>
    <row r="691" ht="15.75" customHeight="1">
      <c r="E691" s="57"/>
      <c r="F691" s="57"/>
    </row>
    <row r="692" ht="15.75" customHeight="1">
      <c r="E692" s="57"/>
      <c r="F692" s="57"/>
    </row>
    <row r="693" ht="15.75" customHeight="1">
      <c r="E693" s="57"/>
      <c r="F693" s="57"/>
    </row>
    <row r="694" ht="15.75" customHeight="1">
      <c r="E694" s="57"/>
      <c r="F694" s="57"/>
    </row>
    <row r="695" ht="15.75" customHeight="1">
      <c r="E695" s="57"/>
      <c r="F695" s="57"/>
    </row>
    <row r="696" ht="15.75" customHeight="1">
      <c r="E696" s="57"/>
      <c r="F696" s="57"/>
    </row>
    <row r="697" ht="15.75" customHeight="1">
      <c r="E697" s="57"/>
      <c r="F697" s="57"/>
    </row>
    <row r="698" ht="15.75" customHeight="1">
      <c r="E698" s="57"/>
      <c r="F698" s="57"/>
    </row>
    <row r="699" ht="15.75" customHeight="1">
      <c r="E699" s="57"/>
      <c r="F699" s="57"/>
    </row>
    <row r="700" ht="15.75" customHeight="1">
      <c r="E700" s="57"/>
      <c r="F700" s="57"/>
    </row>
    <row r="701" ht="15.75" customHeight="1">
      <c r="E701" s="57"/>
      <c r="F701" s="57"/>
    </row>
    <row r="702" ht="15.75" customHeight="1">
      <c r="E702" s="57"/>
      <c r="F702" s="57"/>
    </row>
    <row r="703" ht="15.75" customHeight="1">
      <c r="E703" s="57"/>
      <c r="F703" s="57"/>
    </row>
    <row r="704" ht="15.75" customHeight="1">
      <c r="E704" s="57"/>
      <c r="F704" s="57"/>
    </row>
    <row r="705" ht="15.75" customHeight="1">
      <c r="E705" s="57"/>
      <c r="F705" s="57"/>
    </row>
    <row r="706" ht="15.75" customHeight="1">
      <c r="E706" s="57"/>
      <c r="F706" s="57"/>
    </row>
    <row r="707" ht="15.75" customHeight="1">
      <c r="E707" s="57"/>
      <c r="F707" s="57"/>
    </row>
    <row r="708" ht="15.75" customHeight="1">
      <c r="E708" s="57"/>
      <c r="F708" s="57"/>
    </row>
    <row r="709" ht="15.75" customHeight="1">
      <c r="E709" s="57"/>
      <c r="F709" s="57"/>
    </row>
    <row r="710" ht="15.75" customHeight="1">
      <c r="E710" s="57"/>
      <c r="F710" s="57"/>
    </row>
    <row r="711" ht="15.75" customHeight="1">
      <c r="E711" s="57"/>
      <c r="F711" s="57"/>
    </row>
    <row r="712" ht="15.75" customHeight="1">
      <c r="E712" s="57"/>
      <c r="F712" s="57"/>
    </row>
    <row r="713" ht="15.75" customHeight="1">
      <c r="E713" s="57"/>
      <c r="F713" s="57"/>
    </row>
    <row r="714" ht="15.75" customHeight="1">
      <c r="E714" s="57"/>
      <c r="F714" s="57"/>
    </row>
    <row r="715" ht="15.75" customHeight="1">
      <c r="E715" s="57"/>
      <c r="F715" s="57"/>
    </row>
    <row r="716" ht="15.75" customHeight="1">
      <c r="E716" s="57"/>
      <c r="F716" s="57"/>
    </row>
    <row r="717" ht="15.75" customHeight="1">
      <c r="E717" s="57"/>
      <c r="F717" s="57"/>
    </row>
    <row r="718" ht="15.75" customHeight="1">
      <c r="E718" s="57"/>
      <c r="F718" s="57"/>
    </row>
    <row r="719" ht="15.75" customHeight="1">
      <c r="E719" s="57"/>
      <c r="F719" s="57"/>
    </row>
    <row r="720" ht="15.75" customHeight="1">
      <c r="E720" s="57"/>
      <c r="F720" s="57"/>
    </row>
    <row r="721" ht="15.75" customHeight="1">
      <c r="E721" s="57"/>
      <c r="F721" s="57"/>
    </row>
    <row r="722" ht="15.75" customHeight="1">
      <c r="E722" s="57"/>
      <c r="F722" s="57"/>
    </row>
    <row r="723" ht="15.75" customHeight="1">
      <c r="E723" s="57"/>
      <c r="F723" s="57"/>
    </row>
    <row r="724" ht="15.75" customHeight="1">
      <c r="E724" s="57"/>
      <c r="F724" s="57"/>
    </row>
    <row r="725" ht="15.75" customHeight="1">
      <c r="E725" s="57"/>
      <c r="F725" s="57"/>
    </row>
    <row r="726" ht="15.75" customHeight="1">
      <c r="E726" s="57"/>
      <c r="F726" s="57"/>
    </row>
    <row r="727" ht="15.75" customHeight="1">
      <c r="E727" s="57"/>
      <c r="F727" s="57"/>
    </row>
    <row r="728" ht="15.75" customHeight="1">
      <c r="E728" s="57"/>
      <c r="F728" s="57"/>
    </row>
    <row r="729" ht="15.75" customHeight="1">
      <c r="E729" s="57"/>
      <c r="F729" s="57"/>
    </row>
    <row r="730" ht="15.75" customHeight="1">
      <c r="E730" s="57"/>
      <c r="F730" s="57"/>
    </row>
    <row r="731" ht="15.75" customHeight="1">
      <c r="E731" s="57"/>
      <c r="F731" s="57"/>
    </row>
    <row r="732" ht="15.75" customHeight="1">
      <c r="E732" s="57"/>
      <c r="F732" s="57"/>
    </row>
    <row r="733" ht="15.75" customHeight="1">
      <c r="E733" s="57"/>
      <c r="F733" s="57"/>
    </row>
    <row r="734" ht="15.75" customHeight="1">
      <c r="E734" s="57"/>
      <c r="F734" s="57"/>
    </row>
    <row r="735" ht="15.75" customHeight="1">
      <c r="E735" s="57"/>
      <c r="F735" s="57"/>
    </row>
    <row r="736" ht="15.75" customHeight="1">
      <c r="E736" s="57"/>
      <c r="F736" s="57"/>
    </row>
    <row r="737" ht="15.75" customHeight="1">
      <c r="E737" s="57"/>
      <c r="F737" s="57"/>
    </row>
    <row r="738" ht="15.75" customHeight="1">
      <c r="E738" s="57"/>
      <c r="F738" s="57"/>
    </row>
    <row r="739" ht="15.75" customHeight="1">
      <c r="E739" s="57"/>
      <c r="F739" s="57"/>
    </row>
    <row r="740" ht="15.75" customHeight="1">
      <c r="E740" s="57"/>
      <c r="F740" s="57"/>
    </row>
    <row r="741" ht="15.75" customHeight="1">
      <c r="E741" s="57"/>
      <c r="F741" s="57"/>
    </row>
    <row r="742" ht="15.75" customHeight="1">
      <c r="E742" s="57"/>
      <c r="F742" s="57"/>
    </row>
    <row r="743" ht="15.75" customHeight="1">
      <c r="E743" s="57"/>
      <c r="F743" s="57"/>
    </row>
    <row r="744" ht="15.75" customHeight="1">
      <c r="E744" s="57"/>
      <c r="F744" s="57"/>
    </row>
    <row r="745" ht="15.75" customHeight="1">
      <c r="E745" s="57"/>
      <c r="F745" s="57"/>
    </row>
    <row r="746" ht="15.75" customHeight="1">
      <c r="E746" s="57"/>
      <c r="F746" s="57"/>
    </row>
    <row r="747" ht="15.75" customHeight="1">
      <c r="E747" s="57"/>
      <c r="F747" s="57"/>
    </row>
    <row r="748" ht="15.75" customHeight="1">
      <c r="E748" s="57"/>
      <c r="F748" s="57"/>
    </row>
    <row r="749" ht="15.75" customHeight="1">
      <c r="E749" s="57"/>
      <c r="F749" s="57"/>
    </row>
    <row r="750" ht="15.75" customHeight="1">
      <c r="E750" s="57"/>
      <c r="F750" s="57"/>
    </row>
    <row r="751" ht="15.75" customHeight="1">
      <c r="E751" s="57"/>
      <c r="F751" s="57"/>
    </row>
    <row r="752" ht="15.75" customHeight="1">
      <c r="E752" s="57"/>
      <c r="F752" s="57"/>
    </row>
    <row r="753" ht="15.75" customHeight="1">
      <c r="E753" s="57"/>
      <c r="F753" s="57"/>
    </row>
    <row r="754" ht="15.75" customHeight="1">
      <c r="E754" s="57"/>
      <c r="F754" s="57"/>
    </row>
    <row r="755" ht="15.75" customHeight="1">
      <c r="E755" s="57"/>
      <c r="F755" s="57"/>
    </row>
    <row r="756" ht="15.75" customHeight="1">
      <c r="E756" s="57"/>
      <c r="F756" s="57"/>
    </row>
    <row r="757" ht="15.75" customHeight="1">
      <c r="E757" s="57"/>
      <c r="F757" s="57"/>
    </row>
    <row r="758" ht="15.75" customHeight="1">
      <c r="E758" s="57"/>
      <c r="F758" s="57"/>
    </row>
    <row r="759" ht="15.75" customHeight="1">
      <c r="E759" s="57"/>
      <c r="F759" s="57"/>
    </row>
    <row r="760" ht="15.75" customHeight="1">
      <c r="E760" s="57"/>
      <c r="F760" s="57"/>
    </row>
    <row r="761" ht="15.75" customHeight="1">
      <c r="E761" s="57"/>
      <c r="F761" s="57"/>
    </row>
    <row r="762" ht="15.75" customHeight="1">
      <c r="E762" s="57"/>
      <c r="F762" s="57"/>
    </row>
    <row r="763" ht="15.75" customHeight="1">
      <c r="E763" s="57"/>
      <c r="F763" s="57"/>
    </row>
    <row r="764" ht="15.75" customHeight="1">
      <c r="E764" s="57"/>
      <c r="F764" s="57"/>
    </row>
    <row r="765" ht="15.75" customHeight="1">
      <c r="E765" s="57"/>
      <c r="F765" s="57"/>
    </row>
    <row r="766" ht="15.75" customHeight="1">
      <c r="E766" s="57"/>
      <c r="F766" s="57"/>
    </row>
    <row r="767" ht="15.75" customHeight="1">
      <c r="E767" s="57"/>
      <c r="F767" s="57"/>
    </row>
    <row r="768" ht="15.75" customHeight="1">
      <c r="E768" s="57"/>
      <c r="F768" s="57"/>
    </row>
    <row r="769" ht="15.75" customHeight="1">
      <c r="E769" s="57"/>
      <c r="F769" s="57"/>
    </row>
    <row r="770" ht="15.75" customHeight="1">
      <c r="E770" s="57"/>
      <c r="F770" s="57"/>
    </row>
    <row r="771" ht="15.75" customHeight="1">
      <c r="E771" s="57"/>
      <c r="F771" s="57"/>
    </row>
    <row r="772" ht="15.75" customHeight="1">
      <c r="E772" s="57"/>
      <c r="F772" s="57"/>
    </row>
    <row r="773" ht="15.75" customHeight="1">
      <c r="E773" s="57"/>
      <c r="F773" s="57"/>
    </row>
    <row r="774" ht="15.75" customHeight="1">
      <c r="E774" s="57"/>
      <c r="F774" s="57"/>
    </row>
    <row r="775" ht="15.75" customHeight="1">
      <c r="E775" s="57"/>
      <c r="F775" s="57"/>
    </row>
    <row r="776" ht="15.75" customHeight="1">
      <c r="E776" s="57"/>
      <c r="F776" s="57"/>
    </row>
    <row r="777" ht="15.75" customHeight="1">
      <c r="E777" s="57"/>
      <c r="F777" s="57"/>
    </row>
    <row r="778" ht="15.75" customHeight="1">
      <c r="E778" s="57"/>
      <c r="F778" s="57"/>
    </row>
    <row r="779" ht="15.75" customHeight="1">
      <c r="E779" s="57"/>
      <c r="F779" s="57"/>
    </row>
    <row r="780" ht="15.75" customHeight="1">
      <c r="E780" s="57"/>
      <c r="F780" s="57"/>
    </row>
    <row r="781" ht="15.75" customHeight="1">
      <c r="E781" s="57"/>
      <c r="F781" s="57"/>
    </row>
    <row r="782" ht="15.75" customHeight="1">
      <c r="E782" s="57"/>
      <c r="F782" s="57"/>
    </row>
    <row r="783" ht="15.75" customHeight="1">
      <c r="E783" s="57"/>
      <c r="F783" s="57"/>
    </row>
    <row r="784" ht="15.75" customHeight="1">
      <c r="E784" s="57"/>
      <c r="F784" s="57"/>
    </row>
    <row r="785" ht="15.75" customHeight="1">
      <c r="E785" s="57"/>
      <c r="F785" s="57"/>
    </row>
    <row r="786" ht="15.75" customHeight="1">
      <c r="E786" s="57"/>
      <c r="F786" s="57"/>
    </row>
    <row r="787" ht="15.75" customHeight="1">
      <c r="E787" s="57"/>
      <c r="F787" s="57"/>
    </row>
    <row r="788" ht="15.75" customHeight="1">
      <c r="E788" s="57"/>
      <c r="F788" s="57"/>
    </row>
    <row r="789" ht="15.75" customHeight="1">
      <c r="E789" s="57"/>
      <c r="F789" s="57"/>
    </row>
    <row r="790" ht="15.75" customHeight="1">
      <c r="E790" s="57"/>
      <c r="F790" s="57"/>
    </row>
    <row r="791" ht="15.75" customHeight="1">
      <c r="E791" s="57"/>
      <c r="F791" s="57"/>
    </row>
    <row r="792" ht="15.75" customHeight="1">
      <c r="E792" s="57"/>
      <c r="F792" s="57"/>
    </row>
    <row r="793" ht="15.75" customHeight="1">
      <c r="E793" s="57"/>
      <c r="F793" s="57"/>
    </row>
    <row r="794" ht="15.75" customHeight="1">
      <c r="E794" s="57"/>
      <c r="F794" s="57"/>
    </row>
    <row r="795" ht="15.75" customHeight="1">
      <c r="E795" s="57"/>
      <c r="F795" s="57"/>
    </row>
    <row r="796" ht="15.75" customHeight="1">
      <c r="E796" s="57"/>
      <c r="F796" s="57"/>
    </row>
    <row r="797" ht="15.75" customHeight="1">
      <c r="E797" s="57"/>
      <c r="F797" s="57"/>
    </row>
    <row r="798" ht="15.75" customHeight="1">
      <c r="E798" s="57"/>
      <c r="F798" s="57"/>
    </row>
    <row r="799" ht="15.75" customHeight="1">
      <c r="E799" s="57"/>
      <c r="F799" s="57"/>
    </row>
    <row r="800" ht="15.75" customHeight="1">
      <c r="E800" s="57"/>
      <c r="F800" s="57"/>
    </row>
    <row r="801" ht="15.75" customHeight="1">
      <c r="E801" s="57"/>
      <c r="F801" s="57"/>
    </row>
    <row r="802" ht="15.75" customHeight="1">
      <c r="E802" s="57"/>
      <c r="F802" s="57"/>
    </row>
    <row r="803" ht="15.75" customHeight="1">
      <c r="E803" s="57"/>
      <c r="F803" s="57"/>
    </row>
    <row r="804" ht="15.75" customHeight="1">
      <c r="E804" s="57"/>
      <c r="F804" s="57"/>
    </row>
    <row r="805" ht="15.75" customHeight="1">
      <c r="E805" s="57"/>
      <c r="F805" s="57"/>
    </row>
    <row r="806" ht="15.75" customHeight="1">
      <c r="E806" s="57"/>
      <c r="F806" s="57"/>
    </row>
    <row r="807" ht="15.75" customHeight="1">
      <c r="E807" s="57"/>
      <c r="F807" s="57"/>
    </row>
    <row r="808" ht="15.75" customHeight="1">
      <c r="E808" s="57"/>
      <c r="F808" s="57"/>
    </row>
    <row r="809" ht="15.75" customHeight="1">
      <c r="E809" s="57"/>
      <c r="F809" s="57"/>
    </row>
    <row r="810" ht="15.75" customHeight="1">
      <c r="E810" s="57"/>
      <c r="F810" s="57"/>
    </row>
    <row r="811" ht="15.75" customHeight="1">
      <c r="E811" s="57"/>
      <c r="F811" s="57"/>
    </row>
    <row r="812" ht="15.75" customHeight="1">
      <c r="E812" s="57"/>
      <c r="F812" s="57"/>
    </row>
    <row r="813" ht="15.75" customHeight="1">
      <c r="E813" s="57"/>
      <c r="F813" s="57"/>
    </row>
    <row r="814" ht="15.75" customHeight="1">
      <c r="E814" s="57"/>
      <c r="F814" s="57"/>
    </row>
    <row r="815" ht="15.75" customHeight="1">
      <c r="E815" s="57"/>
      <c r="F815" s="57"/>
    </row>
    <row r="816" ht="15.75" customHeight="1">
      <c r="E816" s="57"/>
      <c r="F816" s="57"/>
    </row>
    <row r="817" ht="15.75" customHeight="1">
      <c r="E817" s="57"/>
      <c r="F817" s="57"/>
    </row>
    <row r="818" ht="15.75" customHeight="1">
      <c r="E818" s="57"/>
      <c r="F818" s="57"/>
    </row>
    <row r="819" ht="15.75" customHeight="1">
      <c r="E819" s="57"/>
      <c r="F819" s="57"/>
    </row>
    <row r="820" ht="15.75" customHeight="1">
      <c r="E820" s="57"/>
      <c r="F820" s="57"/>
    </row>
    <row r="821" ht="15.75" customHeight="1">
      <c r="E821" s="57"/>
      <c r="F821" s="57"/>
    </row>
    <row r="822" ht="15.75" customHeight="1">
      <c r="E822" s="57"/>
      <c r="F822" s="57"/>
    </row>
    <row r="823" ht="15.75" customHeight="1">
      <c r="E823" s="57"/>
      <c r="F823" s="57"/>
    </row>
    <row r="824" ht="15.75" customHeight="1">
      <c r="E824" s="57"/>
      <c r="F824" s="57"/>
    </row>
    <row r="825" ht="15.75" customHeight="1">
      <c r="E825" s="57"/>
      <c r="F825" s="57"/>
    </row>
    <row r="826" ht="15.75" customHeight="1">
      <c r="E826" s="57"/>
      <c r="F826" s="57"/>
    </row>
    <row r="827" ht="15.75" customHeight="1">
      <c r="E827" s="57"/>
      <c r="F827" s="57"/>
    </row>
    <row r="828" ht="15.75" customHeight="1">
      <c r="E828" s="57"/>
      <c r="F828" s="57"/>
    </row>
    <row r="829" ht="15.75" customHeight="1">
      <c r="E829" s="57"/>
      <c r="F829" s="57"/>
    </row>
    <row r="830" ht="15.75" customHeight="1">
      <c r="E830" s="57"/>
      <c r="F830" s="57"/>
    </row>
    <row r="831" ht="15.75" customHeight="1">
      <c r="E831" s="57"/>
      <c r="F831" s="57"/>
    </row>
    <row r="832" ht="15.75" customHeight="1">
      <c r="E832" s="57"/>
      <c r="F832" s="57"/>
    </row>
    <row r="833" ht="15.75" customHeight="1">
      <c r="E833" s="57"/>
      <c r="F833" s="57"/>
    </row>
    <row r="834" ht="15.75" customHeight="1">
      <c r="E834" s="57"/>
      <c r="F834" s="57"/>
    </row>
    <row r="835" ht="15.75" customHeight="1">
      <c r="E835" s="57"/>
      <c r="F835" s="57"/>
    </row>
    <row r="836" ht="15.75" customHeight="1">
      <c r="E836" s="57"/>
      <c r="F836" s="57"/>
    </row>
    <row r="837" ht="15.75" customHeight="1">
      <c r="E837" s="57"/>
      <c r="F837" s="57"/>
    </row>
    <row r="838" ht="15.75" customHeight="1">
      <c r="E838" s="57"/>
      <c r="F838" s="57"/>
    </row>
    <row r="839" ht="15.75" customHeight="1">
      <c r="E839" s="57"/>
      <c r="F839" s="57"/>
    </row>
    <row r="840" ht="15.75" customHeight="1">
      <c r="E840" s="57"/>
      <c r="F840" s="57"/>
    </row>
    <row r="841" ht="15.75" customHeight="1">
      <c r="E841" s="57"/>
      <c r="F841" s="57"/>
    </row>
    <row r="842" ht="15.75" customHeight="1">
      <c r="E842" s="57"/>
      <c r="F842" s="57"/>
    </row>
    <row r="843" ht="15.75" customHeight="1">
      <c r="E843" s="57"/>
      <c r="F843" s="57"/>
    </row>
    <row r="844" ht="15.75" customHeight="1">
      <c r="E844" s="57"/>
      <c r="F844" s="57"/>
    </row>
    <row r="845" ht="15.75" customHeight="1">
      <c r="E845" s="57"/>
      <c r="F845" s="57"/>
    </row>
    <row r="846" ht="15.75" customHeight="1">
      <c r="E846" s="57"/>
      <c r="F846" s="57"/>
    </row>
    <row r="847" ht="15.75" customHeight="1">
      <c r="E847" s="57"/>
      <c r="F847" s="57"/>
    </row>
    <row r="848" ht="15.75" customHeight="1">
      <c r="E848" s="57"/>
      <c r="F848" s="57"/>
    </row>
    <row r="849" ht="15.75" customHeight="1">
      <c r="E849" s="57"/>
      <c r="F849" s="57"/>
    </row>
    <row r="850" ht="15.75" customHeight="1">
      <c r="E850" s="57"/>
      <c r="F850" s="57"/>
    </row>
    <row r="851" ht="15.75" customHeight="1">
      <c r="E851" s="57"/>
      <c r="F851" s="57"/>
    </row>
    <row r="852" ht="15.75" customHeight="1">
      <c r="E852" s="57"/>
      <c r="F852" s="57"/>
    </row>
    <row r="853" ht="15.75" customHeight="1">
      <c r="E853" s="57"/>
      <c r="F853" s="57"/>
    </row>
    <row r="854" ht="15.75" customHeight="1">
      <c r="E854" s="57"/>
      <c r="F854" s="57"/>
    </row>
    <row r="855" ht="15.75" customHeight="1">
      <c r="E855" s="57"/>
      <c r="F855" s="57"/>
    </row>
    <row r="856" ht="15.75" customHeight="1">
      <c r="E856" s="57"/>
      <c r="F856" s="57"/>
    </row>
    <row r="857" ht="15.75" customHeight="1">
      <c r="E857" s="57"/>
      <c r="F857" s="57"/>
    </row>
    <row r="858" ht="15.75" customHeight="1">
      <c r="E858" s="57"/>
      <c r="F858" s="57"/>
    </row>
    <row r="859" ht="15.75" customHeight="1">
      <c r="E859" s="57"/>
      <c r="F859" s="57"/>
    </row>
    <row r="860" ht="15.75" customHeight="1">
      <c r="E860" s="57"/>
      <c r="F860" s="57"/>
    </row>
    <row r="861" ht="15.75" customHeight="1">
      <c r="E861" s="57"/>
      <c r="F861" s="57"/>
    </row>
    <row r="862" ht="15.75" customHeight="1">
      <c r="E862" s="57"/>
      <c r="F862" s="57"/>
    </row>
    <row r="863" ht="15.75" customHeight="1">
      <c r="E863" s="57"/>
      <c r="F863" s="57"/>
    </row>
    <row r="864" ht="15.75" customHeight="1">
      <c r="E864" s="57"/>
      <c r="F864" s="57"/>
    </row>
    <row r="865" ht="15.75" customHeight="1">
      <c r="E865" s="57"/>
      <c r="F865" s="57"/>
    </row>
    <row r="866" ht="15.75" customHeight="1">
      <c r="E866" s="57"/>
      <c r="F866" s="57"/>
    </row>
    <row r="867" ht="15.75" customHeight="1">
      <c r="E867" s="57"/>
      <c r="F867" s="57"/>
    </row>
    <row r="868" ht="15.75" customHeight="1">
      <c r="E868" s="57"/>
      <c r="F868" s="57"/>
    </row>
    <row r="869" ht="15.75" customHeight="1">
      <c r="E869" s="57"/>
      <c r="F869" s="57"/>
    </row>
    <row r="870" ht="15.75" customHeight="1">
      <c r="E870" s="57"/>
      <c r="F870" s="57"/>
    </row>
    <row r="871" ht="15.75" customHeight="1">
      <c r="E871" s="57"/>
      <c r="F871" s="57"/>
    </row>
    <row r="872" ht="15.75" customHeight="1">
      <c r="E872" s="57"/>
      <c r="F872" s="57"/>
    </row>
    <row r="873" ht="15.75" customHeight="1">
      <c r="E873" s="57"/>
      <c r="F873" s="57"/>
    </row>
    <row r="874" ht="15.75" customHeight="1">
      <c r="E874" s="57"/>
      <c r="F874" s="57"/>
    </row>
    <row r="875" ht="15.75" customHeight="1">
      <c r="E875" s="57"/>
      <c r="F875" s="57"/>
    </row>
    <row r="876" ht="15.75" customHeight="1">
      <c r="E876" s="57"/>
      <c r="F876" s="57"/>
    </row>
    <row r="877" ht="15.75" customHeight="1">
      <c r="E877" s="57"/>
      <c r="F877" s="57"/>
    </row>
    <row r="878" ht="15.75" customHeight="1">
      <c r="E878" s="57"/>
      <c r="F878" s="57"/>
    </row>
    <row r="879" ht="15.75" customHeight="1">
      <c r="E879" s="57"/>
      <c r="F879" s="57"/>
    </row>
    <row r="880" ht="15.75" customHeight="1">
      <c r="E880" s="57"/>
      <c r="F880" s="57"/>
    </row>
    <row r="881" ht="15.75" customHeight="1">
      <c r="E881" s="57"/>
      <c r="F881" s="57"/>
    </row>
    <row r="882" ht="15.75" customHeight="1">
      <c r="E882" s="57"/>
      <c r="F882" s="57"/>
    </row>
    <row r="883" ht="15.75" customHeight="1">
      <c r="E883" s="57"/>
      <c r="F883" s="57"/>
    </row>
    <row r="884" ht="15.75" customHeight="1">
      <c r="E884" s="57"/>
      <c r="F884" s="57"/>
    </row>
    <row r="885" ht="15.75" customHeight="1">
      <c r="E885" s="57"/>
      <c r="F885" s="57"/>
    </row>
    <row r="886" ht="15.75" customHeight="1">
      <c r="E886" s="57"/>
      <c r="F886" s="57"/>
    </row>
    <row r="887" ht="15.75" customHeight="1">
      <c r="E887" s="57"/>
      <c r="F887" s="57"/>
    </row>
    <row r="888" ht="15.75" customHeight="1">
      <c r="E888" s="57"/>
      <c r="F888" s="57"/>
    </row>
    <row r="889" ht="15.75" customHeight="1">
      <c r="E889" s="57"/>
      <c r="F889" s="57"/>
    </row>
    <row r="890" ht="15.75" customHeight="1">
      <c r="E890" s="57"/>
      <c r="F890" s="57"/>
    </row>
    <row r="891" ht="15.75" customHeight="1">
      <c r="E891" s="57"/>
      <c r="F891" s="57"/>
    </row>
    <row r="892" ht="15.75" customHeight="1">
      <c r="E892" s="57"/>
      <c r="F892" s="57"/>
    </row>
    <row r="893" ht="15.75" customHeight="1">
      <c r="E893" s="57"/>
      <c r="F893" s="57"/>
    </row>
    <row r="894" ht="15.75" customHeight="1">
      <c r="E894" s="57"/>
      <c r="F894" s="57"/>
    </row>
    <row r="895" ht="15.75" customHeight="1">
      <c r="E895" s="57"/>
      <c r="F895" s="57"/>
    </row>
    <row r="896" ht="15.75" customHeight="1">
      <c r="E896" s="57"/>
      <c r="F896" s="57"/>
    </row>
    <row r="897" ht="15.75" customHeight="1">
      <c r="E897" s="57"/>
      <c r="F897" s="57"/>
    </row>
    <row r="898" ht="15.75" customHeight="1">
      <c r="E898" s="57"/>
      <c r="F898" s="57"/>
    </row>
    <row r="899" ht="15.75" customHeight="1">
      <c r="E899" s="57"/>
      <c r="F899" s="57"/>
    </row>
    <row r="900" ht="15.75" customHeight="1">
      <c r="E900" s="57"/>
      <c r="F900" s="57"/>
    </row>
    <row r="901" ht="15.75" customHeight="1">
      <c r="E901" s="57"/>
      <c r="F901" s="57"/>
    </row>
    <row r="902" ht="15.75" customHeight="1">
      <c r="E902" s="57"/>
      <c r="F902" s="57"/>
    </row>
    <row r="903" ht="15.75" customHeight="1">
      <c r="E903" s="57"/>
      <c r="F903" s="57"/>
    </row>
    <row r="904" ht="15.75" customHeight="1">
      <c r="E904" s="57"/>
      <c r="F904" s="57"/>
    </row>
    <row r="905" ht="15.75" customHeight="1">
      <c r="E905" s="57"/>
      <c r="F905" s="57"/>
    </row>
    <row r="906" ht="15.75" customHeight="1">
      <c r="E906" s="57"/>
      <c r="F906" s="57"/>
    </row>
    <row r="907" ht="15.75" customHeight="1">
      <c r="E907" s="57"/>
      <c r="F907" s="57"/>
    </row>
    <row r="908" ht="15.75" customHeight="1">
      <c r="E908" s="57"/>
      <c r="F908" s="57"/>
    </row>
    <row r="909" ht="15.75" customHeight="1">
      <c r="E909" s="57"/>
      <c r="F909" s="57"/>
    </row>
    <row r="910" ht="15.75" customHeight="1">
      <c r="E910" s="57"/>
      <c r="F910" s="57"/>
    </row>
    <row r="911" ht="15.75" customHeight="1">
      <c r="E911" s="57"/>
      <c r="F911" s="57"/>
    </row>
    <row r="912" ht="15.75" customHeight="1">
      <c r="E912" s="57"/>
      <c r="F912" s="57"/>
    </row>
    <row r="913" ht="15.75" customHeight="1">
      <c r="E913" s="57"/>
      <c r="F913" s="57"/>
    </row>
    <row r="914" ht="15.75" customHeight="1">
      <c r="E914" s="57"/>
      <c r="F914" s="57"/>
    </row>
    <row r="915" ht="15.75" customHeight="1">
      <c r="E915" s="57"/>
      <c r="F915" s="57"/>
    </row>
    <row r="916" ht="15.75" customHeight="1">
      <c r="E916" s="57"/>
      <c r="F916" s="57"/>
    </row>
    <row r="917" ht="15.75" customHeight="1">
      <c r="E917" s="57"/>
      <c r="F917" s="57"/>
    </row>
    <row r="918" ht="15.75" customHeight="1">
      <c r="E918" s="57"/>
      <c r="F918" s="57"/>
    </row>
    <row r="919" ht="15.75" customHeight="1">
      <c r="E919" s="57"/>
      <c r="F919" s="57"/>
    </row>
    <row r="920" ht="15.75" customHeight="1">
      <c r="E920" s="57"/>
      <c r="F920" s="57"/>
    </row>
    <row r="921" ht="15.75" customHeight="1">
      <c r="E921" s="57"/>
      <c r="F921" s="57"/>
    </row>
    <row r="922" ht="15.75" customHeight="1">
      <c r="E922" s="57"/>
      <c r="F922" s="57"/>
    </row>
    <row r="923" ht="15.75" customHeight="1">
      <c r="E923" s="57"/>
      <c r="F923" s="57"/>
    </row>
    <row r="924" ht="15.75" customHeight="1">
      <c r="E924" s="57"/>
      <c r="F924" s="57"/>
    </row>
    <row r="925" ht="15.75" customHeight="1">
      <c r="E925" s="57"/>
      <c r="F925" s="57"/>
    </row>
    <row r="926" ht="15.75" customHeight="1">
      <c r="E926" s="57"/>
      <c r="F926" s="57"/>
    </row>
    <row r="927" ht="15.75" customHeight="1">
      <c r="E927" s="57"/>
      <c r="F927" s="57"/>
    </row>
    <row r="928" ht="15.75" customHeight="1">
      <c r="E928" s="57"/>
      <c r="F928" s="57"/>
    </row>
    <row r="929" ht="15.75" customHeight="1">
      <c r="E929" s="57"/>
      <c r="F929" s="57"/>
    </row>
    <row r="930" ht="15.75" customHeight="1">
      <c r="E930" s="57"/>
      <c r="F930" s="57"/>
    </row>
    <row r="931" ht="15.75" customHeight="1">
      <c r="E931" s="57"/>
      <c r="F931" s="57"/>
    </row>
    <row r="932" ht="15.75" customHeight="1">
      <c r="E932" s="57"/>
      <c r="F932" s="57"/>
    </row>
    <row r="933" ht="15.75" customHeight="1">
      <c r="E933" s="57"/>
      <c r="F933" s="57"/>
    </row>
    <row r="934" ht="15.75" customHeight="1">
      <c r="E934" s="57"/>
      <c r="F934" s="57"/>
    </row>
    <row r="935" ht="15.75" customHeight="1">
      <c r="E935" s="57"/>
      <c r="F935" s="57"/>
    </row>
    <row r="936" ht="15.75" customHeight="1">
      <c r="E936" s="57"/>
      <c r="F936" s="57"/>
    </row>
    <row r="937" ht="15.75" customHeight="1">
      <c r="E937" s="57"/>
      <c r="F937" s="57"/>
    </row>
    <row r="938" ht="15.75" customHeight="1">
      <c r="E938" s="57"/>
      <c r="F938" s="57"/>
    </row>
    <row r="939" ht="15.75" customHeight="1">
      <c r="E939" s="57"/>
      <c r="F939" s="57"/>
    </row>
    <row r="940" ht="15.75" customHeight="1">
      <c r="E940" s="57"/>
      <c r="F940" s="57"/>
    </row>
    <row r="941" ht="15.75" customHeight="1">
      <c r="E941" s="57"/>
      <c r="F941" s="57"/>
    </row>
    <row r="942" ht="15.75" customHeight="1">
      <c r="E942" s="57"/>
      <c r="F942" s="57"/>
    </row>
    <row r="943" ht="15.75" customHeight="1">
      <c r="E943" s="57"/>
      <c r="F943" s="57"/>
    </row>
    <row r="944" ht="15.75" customHeight="1">
      <c r="E944" s="57"/>
      <c r="F944" s="57"/>
    </row>
    <row r="945" ht="15.75" customHeight="1">
      <c r="E945" s="57"/>
      <c r="F945" s="57"/>
    </row>
    <row r="946" ht="15.75" customHeight="1">
      <c r="E946" s="57"/>
      <c r="F946" s="57"/>
    </row>
    <row r="947" ht="15.75" customHeight="1">
      <c r="E947" s="57"/>
      <c r="F947" s="57"/>
    </row>
    <row r="948" ht="15.75" customHeight="1">
      <c r="E948" s="57"/>
      <c r="F948" s="57"/>
    </row>
    <row r="949" ht="15.75" customHeight="1">
      <c r="E949" s="57"/>
      <c r="F949" s="57"/>
    </row>
    <row r="950" ht="15.75" customHeight="1">
      <c r="E950" s="57"/>
      <c r="F950" s="57"/>
    </row>
    <row r="951" ht="15.75" customHeight="1">
      <c r="E951" s="57"/>
      <c r="F951" s="57"/>
    </row>
    <row r="952" ht="15.75" customHeight="1">
      <c r="E952" s="57"/>
      <c r="F952" s="57"/>
    </row>
    <row r="953" ht="15.75" customHeight="1">
      <c r="E953" s="57"/>
      <c r="F953" s="57"/>
    </row>
    <row r="954" ht="15.75" customHeight="1">
      <c r="E954" s="57"/>
      <c r="F954" s="57"/>
    </row>
    <row r="955" ht="15.75" customHeight="1">
      <c r="E955" s="57"/>
      <c r="F955" s="57"/>
    </row>
    <row r="956" ht="15.75" customHeight="1">
      <c r="E956" s="57"/>
      <c r="F956" s="57"/>
    </row>
    <row r="957" ht="15.75" customHeight="1">
      <c r="E957" s="57"/>
      <c r="F957" s="57"/>
    </row>
    <row r="958" ht="15.75" customHeight="1">
      <c r="E958" s="57"/>
      <c r="F958" s="57"/>
    </row>
    <row r="959" ht="15.75" customHeight="1">
      <c r="E959" s="57"/>
      <c r="F959" s="57"/>
    </row>
    <row r="960" ht="15.75" customHeight="1">
      <c r="E960" s="57"/>
      <c r="F960" s="57"/>
    </row>
    <row r="961" ht="15.75" customHeight="1">
      <c r="E961" s="57"/>
      <c r="F961" s="57"/>
    </row>
    <row r="962" ht="15.75" customHeight="1">
      <c r="E962" s="57"/>
      <c r="F962" s="57"/>
    </row>
    <row r="963" ht="15.75" customHeight="1">
      <c r="E963" s="57"/>
      <c r="F963" s="57"/>
    </row>
    <row r="964" ht="15.75" customHeight="1">
      <c r="E964" s="57"/>
      <c r="F964" s="57"/>
    </row>
    <row r="965" ht="15.75" customHeight="1">
      <c r="E965" s="57"/>
      <c r="F965" s="57"/>
    </row>
    <row r="966" ht="15.75" customHeight="1">
      <c r="E966" s="57"/>
      <c r="F966" s="57"/>
    </row>
    <row r="967" ht="15.75" customHeight="1">
      <c r="E967" s="57"/>
      <c r="F967" s="57"/>
    </row>
    <row r="968" ht="15.75" customHeight="1">
      <c r="E968" s="57"/>
      <c r="F968" s="57"/>
    </row>
    <row r="969" ht="15.75" customHeight="1">
      <c r="E969" s="57"/>
      <c r="F969" s="57"/>
    </row>
    <row r="970" ht="15.75" customHeight="1">
      <c r="E970" s="57"/>
      <c r="F970" s="57"/>
    </row>
    <row r="971" ht="15.75" customHeight="1">
      <c r="E971" s="57"/>
      <c r="F971" s="57"/>
    </row>
    <row r="972" ht="15.75" customHeight="1">
      <c r="E972" s="57"/>
      <c r="F972" s="57"/>
    </row>
    <row r="973" ht="15.75" customHeight="1">
      <c r="E973" s="57"/>
      <c r="F973" s="57"/>
    </row>
    <row r="974" ht="15.75" customHeight="1">
      <c r="E974" s="57"/>
      <c r="F974" s="57"/>
    </row>
    <row r="975" ht="15.75" customHeight="1">
      <c r="E975" s="57"/>
      <c r="F975" s="57"/>
    </row>
    <row r="976" ht="15.75" customHeight="1">
      <c r="E976" s="57"/>
      <c r="F976" s="57"/>
    </row>
    <row r="977" ht="15.75" customHeight="1">
      <c r="E977" s="57"/>
      <c r="F977" s="57"/>
    </row>
    <row r="978" ht="15.75" customHeight="1">
      <c r="E978" s="57"/>
      <c r="F978" s="57"/>
    </row>
    <row r="979" ht="15.75" customHeight="1">
      <c r="E979" s="57"/>
      <c r="F979" s="57"/>
    </row>
    <row r="980" ht="15.75" customHeight="1">
      <c r="E980" s="57"/>
      <c r="F980" s="57"/>
    </row>
    <row r="981" ht="15.75" customHeight="1">
      <c r="E981" s="57"/>
      <c r="F981" s="57"/>
    </row>
    <row r="982" ht="15.75" customHeight="1">
      <c r="E982" s="57"/>
      <c r="F982" s="57"/>
    </row>
    <row r="983" ht="15.75" customHeight="1">
      <c r="E983" s="57"/>
      <c r="F983" s="57"/>
    </row>
    <row r="984" ht="15.75" customHeight="1">
      <c r="E984" s="57"/>
      <c r="F984" s="57"/>
    </row>
    <row r="985" ht="15.75" customHeight="1">
      <c r="E985" s="57"/>
      <c r="F985" s="57"/>
    </row>
    <row r="986" ht="15.75" customHeight="1">
      <c r="E986" s="57"/>
      <c r="F986" s="57"/>
    </row>
    <row r="987" ht="15.75" customHeight="1">
      <c r="E987" s="57"/>
      <c r="F987" s="57"/>
    </row>
    <row r="988" ht="15.75" customHeight="1">
      <c r="E988" s="57"/>
      <c r="F988" s="57"/>
    </row>
    <row r="989" ht="15.75" customHeight="1">
      <c r="E989" s="57"/>
      <c r="F989" s="57"/>
    </row>
    <row r="990" ht="15.75" customHeight="1">
      <c r="E990" s="57"/>
      <c r="F990" s="57"/>
    </row>
    <row r="991" ht="15.75" customHeight="1">
      <c r="E991" s="57"/>
      <c r="F991" s="57"/>
    </row>
    <row r="992" ht="15.75" customHeight="1">
      <c r="E992" s="57"/>
      <c r="F992" s="57"/>
    </row>
    <row r="993" ht="15.75" customHeight="1">
      <c r="E993" s="57"/>
      <c r="F993" s="57"/>
    </row>
    <row r="994" ht="15.75" customHeight="1">
      <c r="E994" s="57"/>
      <c r="F994" s="57"/>
    </row>
    <row r="995" ht="15.75" customHeight="1">
      <c r="E995" s="57"/>
      <c r="F995" s="57"/>
    </row>
    <row r="996" ht="15.75" customHeight="1">
      <c r="E996" s="57"/>
      <c r="F996" s="57"/>
    </row>
    <row r="997" ht="15.75" customHeight="1">
      <c r="E997" s="57"/>
      <c r="F997" s="57"/>
    </row>
    <row r="998" ht="15.75" customHeight="1">
      <c r="E998" s="57"/>
      <c r="F998" s="57"/>
    </row>
    <row r="999" ht="15.75" customHeight="1">
      <c r="E999" s="57"/>
      <c r="F999" s="57"/>
    </row>
    <row r="1000" ht="15.75" customHeight="1">
      <c r="E1000" s="57"/>
      <c r="F1000" s="57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15.75"/>
    <col customWidth="1" min="3" max="3" width="19.13"/>
    <col customWidth="1" min="4" max="4" width="93.38"/>
    <col customWidth="1" min="5" max="5" width="17.75"/>
    <col customWidth="1" min="6" max="26" width="8.63"/>
  </cols>
  <sheetData>
    <row r="1">
      <c r="A1" s="65" t="s">
        <v>533</v>
      </c>
      <c r="B1" s="1" t="s">
        <v>534</v>
      </c>
      <c r="C1" s="1" t="s">
        <v>519</v>
      </c>
      <c r="D1" s="1" t="s">
        <v>535</v>
      </c>
      <c r="E1" s="1" t="s">
        <v>536</v>
      </c>
    </row>
    <row r="2">
      <c r="A2" s="48" t="s">
        <v>537</v>
      </c>
      <c r="B2" s="48">
        <v>1.0</v>
      </c>
      <c r="C2" s="47">
        <v>45687.0</v>
      </c>
      <c r="D2" s="48" t="s">
        <v>538</v>
      </c>
      <c r="E2" s="66">
        <f>SUM(B2:B997)</f>
        <v>271</v>
      </c>
    </row>
    <row r="3">
      <c r="A3" s="48" t="s">
        <v>6</v>
      </c>
      <c r="B3" s="48">
        <v>3.0</v>
      </c>
      <c r="C3" s="47">
        <v>45689.0</v>
      </c>
      <c r="D3" s="48" t="s">
        <v>539</v>
      </c>
    </row>
    <row r="4">
      <c r="A4" s="48" t="s">
        <v>537</v>
      </c>
      <c r="B4" s="48">
        <v>2.0</v>
      </c>
      <c r="C4" s="47">
        <v>45695.0</v>
      </c>
      <c r="D4" s="48" t="s">
        <v>540</v>
      </c>
    </row>
    <row r="5">
      <c r="A5" s="48" t="s">
        <v>537</v>
      </c>
      <c r="B5" s="48">
        <v>1.0</v>
      </c>
      <c r="C5" s="47">
        <v>45703.0</v>
      </c>
      <c r="D5" s="48" t="s">
        <v>541</v>
      </c>
    </row>
    <row r="6">
      <c r="A6" s="48" t="s">
        <v>537</v>
      </c>
      <c r="B6" s="48">
        <v>2.0</v>
      </c>
      <c r="C6" s="47">
        <v>45704.0</v>
      </c>
      <c r="D6" s="48" t="s">
        <v>542</v>
      </c>
    </row>
    <row r="7">
      <c r="A7" s="48" t="s">
        <v>537</v>
      </c>
      <c r="B7" s="48">
        <v>1.0</v>
      </c>
      <c r="C7" s="47">
        <v>45719.0</v>
      </c>
      <c r="D7" s="48" t="s">
        <v>543</v>
      </c>
    </row>
    <row r="8">
      <c r="A8" s="48" t="s">
        <v>537</v>
      </c>
      <c r="B8" s="48">
        <v>1.0</v>
      </c>
      <c r="C8" s="47">
        <v>45724.0</v>
      </c>
      <c r="D8" s="48" t="s">
        <v>544</v>
      </c>
    </row>
    <row r="9">
      <c r="A9" s="48" t="s">
        <v>537</v>
      </c>
      <c r="B9" s="48">
        <v>2.0</v>
      </c>
      <c r="C9" s="47">
        <v>45733.0</v>
      </c>
      <c r="D9" s="48" t="s">
        <v>545</v>
      </c>
    </row>
    <row r="10">
      <c r="A10" s="48" t="s">
        <v>537</v>
      </c>
      <c r="B10" s="48">
        <v>1.0</v>
      </c>
      <c r="C10" s="47">
        <v>45739.0</v>
      </c>
      <c r="D10" s="48" t="s">
        <v>546</v>
      </c>
    </row>
    <row r="11">
      <c r="A11" s="48" t="s">
        <v>537</v>
      </c>
      <c r="B11" s="48">
        <v>2.0</v>
      </c>
      <c r="C11" s="47">
        <v>45741.0</v>
      </c>
      <c r="D11" s="48" t="s">
        <v>547</v>
      </c>
    </row>
    <row r="12">
      <c r="A12" s="48" t="s">
        <v>6</v>
      </c>
      <c r="B12" s="48">
        <v>6.0</v>
      </c>
      <c r="C12" s="47">
        <v>45741.0</v>
      </c>
      <c r="D12" s="48" t="s">
        <v>548</v>
      </c>
    </row>
    <row r="13">
      <c r="A13" s="48" t="s">
        <v>537</v>
      </c>
      <c r="B13" s="48">
        <v>6.0</v>
      </c>
      <c r="C13" s="47">
        <v>45741.0</v>
      </c>
      <c r="D13" s="48" t="s">
        <v>549</v>
      </c>
    </row>
    <row r="14">
      <c r="A14" s="48" t="s">
        <v>537</v>
      </c>
      <c r="B14" s="48">
        <v>2.0</v>
      </c>
      <c r="C14" s="47">
        <v>45757.0</v>
      </c>
      <c r="D14" s="48" t="s">
        <v>550</v>
      </c>
    </row>
    <row r="15">
      <c r="A15" s="48" t="s">
        <v>6</v>
      </c>
      <c r="B15" s="48">
        <v>2.0</v>
      </c>
      <c r="C15" s="47">
        <v>45757.0</v>
      </c>
      <c r="D15" s="48" t="s">
        <v>550</v>
      </c>
    </row>
    <row r="16">
      <c r="A16" s="48" t="s">
        <v>7</v>
      </c>
      <c r="B16" s="48">
        <v>2.0</v>
      </c>
      <c r="C16" s="47">
        <v>45757.0</v>
      </c>
      <c r="D16" s="48" t="s">
        <v>550</v>
      </c>
    </row>
    <row r="17">
      <c r="A17" s="48" t="s">
        <v>551</v>
      </c>
      <c r="B17" s="48">
        <v>1.0</v>
      </c>
      <c r="C17" s="47">
        <v>45757.0</v>
      </c>
      <c r="D17" s="48" t="s">
        <v>550</v>
      </c>
    </row>
    <row r="18">
      <c r="A18" s="48" t="s">
        <v>537</v>
      </c>
      <c r="B18" s="48">
        <v>1.0</v>
      </c>
      <c r="C18" s="47">
        <v>45765.0</v>
      </c>
      <c r="D18" s="48" t="s">
        <v>552</v>
      </c>
    </row>
    <row r="19">
      <c r="A19" s="48" t="s">
        <v>537</v>
      </c>
      <c r="B19" s="48">
        <v>1.0</v>
      </c>
      <c r="C19" s="47">
        <v>45767.0</v>
      </c>
      <c r="D19" s="48" t="s">
        <v>538</v>
      </c>
    </row>
    <row r="20">
      <c r="A20" s="48" t="s">
        <v>537</v>
      </c>
      <c r="B20" s="48">
        <v>1.0</v>
      </c>
      <c r="C20" s="47">
        <v>45782.0</v>
      </c>
      <c r="D20" s="48" t="s">
        <v>538</v>
      </c>
    </row>
    <row r="21" ht="15.75" customHeight="1">
      <c r="A21" s="48" t="s">
        <v>537</v>
      </c>
      <c r="B21" s="48">
        <v>1.0</v>
      </c>
      <c r="C21" s="47">
        <v>45788.0</v>
      </c>
      <c r="D21" s="48" t="s">
        <v>538</v>
      </c>
    </row>
    <row r="22" ht="15.75" customHeight="1">
      <c r="A22" s="48" t="s">
        <v>537</v>
      </c>
      <c r="B22" s="48">
        <v>1.0</v>
      </c>
      <c r="C22" s="47">
        <v>45795.0</v>
      </c>
      <c r="D22" s="48" t="s">
        <v>538</v>
      </c>
    </row>
    <row r="23" ht="15.75" customHeight="1">
      <c r="A23" s="48" t="s">
        <v>537</v>
      </c>
      <c r="B23" s="48">
        <v>1.0</v>
      </c>
      <c r="C23" s="47">
        <v>45804.0</v>
      </c>
      <c r="D23" s="48" t="s">
        <v>538</v>
      </c>
    </row>
    <row r="24" ht="15.75" customHeight="1">
      <c r="A24" s="48" t="s">
        <v>537</v>
      </c>
      <c r="B24" s="48">
        <v>1.0</v>
      </c>
      <c r="C24" s="47">
        <v>45809.0</v>
      </c>
      <c r="D24" s="48" t="s">
        <v>538</v>
      </c>
    </row>
    <row r="25" ht="15.75" customHeight="1">
      <c r="A25" s="48" t="s">
        <v>537</v>
      </c>
      <c r="B25" s="48">
        <v>1.0</v>
      </c>
      <c r="C25" s="47">
        <v>45817.0</v>
      </c>
      <c r="D25" s="48" t="s">
        <v>538</v>
      </c>
    </row>
    <row r="26" ht="15.75" customHeight="1">
      <c r="A26" s="48" t="s">
        <v>537</v>
      </c>
      <c r="B26" s="48">
        <v>1.0</v>
      </c>
      <c r="C26" s="47">
        <v>45826.0</v>
      </c>
      <c r="D26" s="48" t="s">
        <v>538</v>
      </c>
    </row>
    <row r="27" ht="15.75" customHeight="1">
      <c r="A27" s="48" t="s">
        <v>537</v>
      </c>
      <c r="B27" s="48">
        <v>1.0</v>
      </c>
      <c r="C27" s="47">
        <v>45838.0</v>
      </c>
      <c r="D27" s="48" t="s">
        <v>538</v>
      </c>
    </row>
    <row r="28" ht="15.75" customHeight="1">
      <c r="A28" s="48" t="s">
        <v>537</v>
      </c>
      <c r="B28" s="48">
        <v>1.0</v>
      </c>
      <c r="C28" s="47">
        <v>45845.0</v>
      </c>
      <c r="D28" s="48" t="s">
        <v>538</v>
      </c>
    </row>
    <row r="29" ht="15.75" customHeight="1">
      <c r="A29" s="48" t="s">
        <v>537</v>
      </c>
      <c r="B29" s="48">
        <v>5.0</v>
      </c>
      <c r="C29" s="47">
        <v>45849.0</v>
      </c>
      <c r="D29" s="48" t="s">
        <v>553</v>
      </c>
    </row>
    <row r="30" ht="15.75" customHeight="1">
      <c r="A30" s="48" t="s">
        <v>90</v>
      </c>
      <c r="B30" s="48">
        <v>5.0</v>
      </c>
      <c r="C30" s="47">
        <v>45849.0</v>
      </c>
      <c r="D30" s="48" t="s">
        <v>553</v>
      </c>
    </row>
    <row r="31" ht="15.75" customHeight="1">
      <c r="A31" s="48" t="s">
        <v>537</v>
      </c>
      <c r="B31" s="48">
        <v>2.0</v>
      </c>
      <c r="C31" s="47">
        <v>45854.0</v>
      </c>
      <c r="D31" s="48" t="s">
        <v>554</v>
      </c>
    </row>
    <row r="32" ht="15.75" customHeight="1">
      <c r="A32" s="48" t="s">
        <v>90</v>
      </c>
      <c r="B32" s="48">
        <v>2.0</v>
      </c>
      <c r="C32" s="47">
        <v>45854.0</v>
      </c>
      <c r="D32" s="48" t="s">
        <v>554</v>
      </c>
    </row>
    <row r="33" ht="15.75" customHeight="1">
      <c r="A33" s="48" t="s">
        <v>537</v>
      </c>
      <c r="B33" s="48">
        <v>1.0</v>
      </c>
      <c r="C33" s="47">
        <v>45858.0</v>
      </c>
      <c r="D33" s="48" t="s">
        <v>538</v>
      </c>
    </row>
    <row r="34" ht="15.75" customHeight="1">
      <c r="A34" s="48" t="s">
        <v>537</v>
      </c>
      <c r="B34" s="48">
        <v>4.0</v>
      </c>
      <c r="C34" s="47">
        <v>45863.0</v>
      </c>
      <c r="D34" s="48" t="s">
        <v>555</v>
      </c>
    </row>
    <row r="35" ht="15.75" customHeight="1">
      <c r="A35" s="48" t="s">
        <v>537</v>
      </c>
      <c r="B35" s="48">
        <v>2.0</v>
      </c>
      <c r="C35" s="47">
        <v>45865.0</v>
      </c>
      <c r="D35" s="48" t="s">
        <v>556</v>
      </c>
    </row>
    <row r="36" ht="15.75" customHeight="1">
      <c r="A36" s="48" t="s">
        <v>537</v>
      </c>
      <c r="B36" s="48">
        <v>1.0</v>
      </c>
      <c r="C36" s="47">
        <v>45872.0</v>
      </c>
      <c r="D36" s="48" t="s">
        <v>538</v>
      </c>
    </row>
    <row r="37" ht="15.75" customHeight="1">
      <c r="A37" s="48" t="s">
        <v>537</v>
      </c>
      <c r="B37" s="48">
        <v>2.0</v>
      </c>
      <c r="C37" s="47">
        <v>45875.0</v>
      </c>
      <c r="D37" s="48" t="s">
        <v>557</v>
      </c>
    </row>
    <row r="38" ht="15.75" customHeight="1">
      <c r="A38" s="48" t="s">
        <v>90</v>
      </c>
      <c r="B38" s="48">
        <v>2.0</v>
      </c>
      <c r="C38" s="47">
        <v>45875.0</v>
      </c>
      <c r="D38" s="48" t="s">
        <v>557</v>
      </c>
    </row>
    <row r="39" ht="15.75" customHeight="1">
      <c r="A39" s="48" t="s">
        <v>537</v>
      </c>
      <c r="B39" s="48">
        <v>1.0</v>
      </c>
      <c r="C39" s="47">
        <v>45881.0</v>
      </c>
      <c r="D39" s="48" t="s">
        <v>538</v>
      </c>
    </row>
    <row r="40" ht="15.75" customHeight="1">
      <c r="A40" s="48" t="s">
        <v>537</v>
      </c>
      <c r="B40" s="48">
        <v>1.0</v>
      </c>
      <c r="C40" s="47">
        <v>45886.0</v>
      </c>
      <c r="D40" s="48" t="s">
        <v>538</v>
      </c>
    </row>
    <row r="41" ht="15.75" customHeight="1">
      <c r="A41" s="48" t="s">
        <v>537</v>
      </c>
      <c r="B41" s="48">
        <v>1.0</v>
      </c>
      <c r="C41" s="47">
        <v>45894.0</v>
      </c>
      <c r="D41" s="48" t="s">
        <v>538</v>
      </c>
    </row>
    <row r="42" ht="15.75" customHeight="1">
      <c r="A42" s="48" t="s">
        <v>537</v>
      </c>
      <c r="B42" s="48">
        <v>1.0</v>
      </c>
      <c r="C42" s="47">
        <v>45902.0</v>
      </c>
      <c r="D42" s="48" t="s">
        <v>538</v>
      </c>
    </row>
    <row r="43" ht="15.75" customHeight="1">
      <c r="A43" s="48" t="s">
        <v>537</v>
      </c>
      <c r="B43" s="48">
        <v>1.0</v>
      </c>
      <c r="C43" s="47">
        <v>45909.0</v>
      </c>
      <c r="D43" s="48" t="s">
        <v>538</v>
      </c>
    </row>
    <row r="44" ht="15.75" customHeight="1">
      <c r="A44" s="48" t="s">
        <v>537</v>
      </c>
      <c r="B44" s="48">
        <v>1.0</v>
      </c>
      <c r="C44" s="47">
        <v>45915.0</v>
      </c>
      <c r="D44" s="48" t="s">
        <v>538</v>
      </c>
    </row>
    <row r="45" ht="15.75" customHeight="1">
      <c r="A45" s="48" t="s">
        <v>537</v>
      </c>
      <c r="B45" s="48">
        <v>1.0</v>
      </c>
      <c r="C45" s="47">
        <v>45922.0</v>
      </c>
      <c r="D45" s="48" t="s">
        <v>538</v>
      </c>
    </row>
    <row r="46" ht="15.75" customHeight="1">
      <c r="A46" s="48" t="s">
        <v>537</v>
      </c>
      <c r="B46" s="48">
        <v>6.0</v>
      </c>
      <c r="C46" s="47">
        <v>45926.0</v>
      </c>
      <c r="D46" s="48" t="s">
        <v>558</v>
      </c>
    </row>
    <row r="47" ht="15.75" customHeight="1">
      <c r="A47" s="48" t="s">
        <v>537</v>
      </c>
      <c r="B47" s="48">
        <v>1.0</v>
      </c>
      <c r="C47" s="47">
        <v>45929.0</v>
      </c>
      <c r="D47" s="48" t="s">
        <v>538</v>
      </c>
    </row>
    <row r="48" ht="15.75" customHeight="1">
      <c r="A48" s="48" t="s">
        <v>537</v>
      </c>
      <c r="B48" s="48">
        <v>3.0</v>
      </c>
      <c r="C48" s="47">
        <v>45932.0</v>
      </c>
      <c r="D48" s="48" t="s">
        <v>559</v>
      </c>
    </row>
    <row r="49" ht="15.75" customHeight="1">
      <c r="A49" s="48" t="s">
        <v>537</v>
      </c>
      <c r="B49" s="48">
        <v>1.0</v>
      </c>
      <c r="C49" s="47">
        <v>45938.0</v>
      </c>
      <c r="D49" s="48" t="s">
        <v>538</v>
      </c>
    </row>
    <row r="50" ht="15.75" customHeight="1">
      <c r="A50" s="48" t="s">
        <v>537</v>
      </c>
      <c r="B50" s="48">
        <v>8.0</v>
      </c>
      <c r="C50" s="47">
        <v>45933.0</v>
      </c>
      <c r="D50" s="48" t="s">
        <v>560</v>
      </c>
    </row>
    <row r="51" ht="15.75" customHeight="1">
      <c r="A51" s="48" t="s">
        <v>149</v>
      </c>
      <c r="B51" s="48">
        <v>8.0</v>
      </c>
      <c r="C51" s="47">
        <v>45933.0</v>
      </c>
      <c r="D51" s="48" t="s">
        <v>560</v>
      </c>
    </row>
    <row r="52" ht="15.75" customHeight="1">
      <c r="A52" s="48" t="s">
        <v>6</v>
      </c>
      <c r="B52" s="48">
        <v>4.0</v>
      </c>
      <c r="C52" s="47">
        <v>45933.0</v>
      </c>
      <c r="D52" s="48" t="s">
        <v>560</v>
      </c>
    </row>
    <row r="53" ht="15.75" customHeight="1">
      <c r="A53" s="48" t="s">
        <v>7</v>
      </c>
      <c r="B53" s="48">
        <v>4.0</v>
      </c>
      <c r="C53" s="47">
        <v>45933.0</v>
      </c>
      <c r="D53" s="48" t="s">
        <v>560</v>
      </c>
    </row>
    <row r="54" ht="15.75" customHeight="1">
      <c r="A54" s="48" t="s">
        <v>257</v>
      </c>
      <c r="B54" s="48">
        <v>4.0</v>
      </c>
      <c r="C54" s="47">
        <v>45933.0</v>
      </c>
      <c r="D54" s="48" t="s">
        <v>560</v>
      </c>
    </row>
    <row r="55" ht="15.75" customHeight="1">
      <c r="A55" s="48" t="s">
        <v>537</v>
      </c>
      <c r="B55" s="48">
        <v>2.0</v>
      </c>
      <c r="C55" s="47">
        <v>45934.0</v>
      </c>
      <c r="D55" s="48" t="s">
        <v>560</v>
      </c>
    </row>
    <row r="56" ht="15.75" customHeight="1">
      <c r="A56" s="48" t="s">
        <v>149</v>
      </c>
      <c r="B56" s="48">
        <v>2.0</v>
      </c>
      <c r="C56" s="47">
        <v>45934.0</v>
      </c>
      <c r="D56" s="48" t="s">
        <v>560</v>
      </c>
    </row>
    <row r="57" ht="15.75" customHeight="1">
      <c r="A57" s="48" t="s">
        <v>23</v>
      </c>
      <c r="B57" s="48">
        <v>2.5</v>
      </c>
      <c r="C57" s="47">
        <v>45934.0</v>
      </c>
      <c r="D57" s="48" t="s">
        <v>560</v>
      </c>
    </row>
    <row r="58" ht="15.75" customHeight="1">
      <c r="A58" s="48" t="s">
        <v>109</v>
      </c>
      <c r="B58" s="48">
        <v>2.5</v>
      </c>
      <c r="C58" s="47">
        <v>45934.0</v>
      </c>
      <c r="D58" s="48" t="s">
        <v>560</v>
      </c>
    </row>
    <row r="59" ht="15.75" customHeight="1">
      <c r="A59" s="51" t="s">
        <v>537</v>
      </c>
      <c r="B59" s="51">
        <v>2.0</v>
      </c>
      <c r="C59" s="67">
        <v>45934.0</v>
      </c>
      <c r="D59" s="51" t="s">
        <v>561</v>
      </c>
    </row>
    <row r="60" ht="15.75" customHeight="1">
      <c r="A60" s="51" t="s">
        <v>257</v>
      </c>
      <c r="B60" s="51">
        <v>2.0</v>
      </c>
      <c r="C60" s="67">
        <v>45934.0</v>
      </c>
      <c r="D60" s="51" t="s">
        <v>561</v>
      </c>
    </row>
    <row r="61" ht="15.75" customHeight="1">
      <c r="A61" s="51" t="s">
        <v>209</v>
      </c>
      <c r="B61" s="51">
        <v>2.0</v>
      </c>
      <c r="C61" s="67">
        <v>45934.0</v>
      </c>
      <c r="D61" s="51" t="s">
        <v>561</v>
      </c>
    </row>
    <row r="62" ht="15.75" customHeight="1">
      <c r="A62" s="48" t="s">
        <v>537</v>
      </c>
      <c r="B62" s="51">
        <v>2.0</v>
      </c>
      <c r="C62" s="63">
        <v>45938.0</v>
      </c>
      <c r="D62" s="51" t="s">
        <v>562</v>
      </c>
    </row>
    <row r="63" ht="15.75" customHeight="1">
      <c r="A63" s="51" t="s">
        <v>563</v>
      </c>
      <c r="B63" s="51">
        <v>2.0</v>
      </c>
      <c r="C63" s="63">
        <v>45938.0</v>
      </c>
      <c r="D63" s="51" t="s">
        <v>562</v>
      </c>
    </row>
    <row r="64" ht="15.75" customHeight="1">
      <c r="A64" s="48" t="s">
        <v>537</v>
      </c>
      <c r="B64" s="48">
        <v>1.0</v>
      </c>
      <c r="C64" s="50">
        <v>45942.0</v>
      </c>
      <c r="D64" s="48" t="s">
        <v>538</v>
      </c>
    </row>
    <row r="65" ht="15.75" customHeight="1">
      <c r="A65" s="48" t="s">
        <v>537</v>
      </c>
      <c r="B65" s="48">
        <v>1.0</v>
      </c>
      <c r="C65" s="50">
        <v>45950.0</v>
      </c>
      <c r="D65" s="48" t="s">
        <v>538</v>
      </c>
    </row>
    <row r="66" ht="15.75" customHeight="1">
      <c r="A66" s="48" t="s">
        <v>537</v>
      </c>
      <c r="B66" s="48">
        <v>1.0</v>
      </c>
      <c r="C66" s="50">
        <v>45957.0</v>
      </c>
      <c r="D66" s="48" t="s">
        <v>538</v>
      </c>
    </row>
    <row r="67" ht="15.75" customHeight="1">
      <c r="A67" s="51" t="s">
        <v>537</v>
      </c>
      <c r="B67" s="51">
        <v>1.5</v>
      </c>
      <c r="C67" s="63">
        <v>45957.0</v>
      </c>
      <c r="D67" s="51" t="s">
        <v>564</v>
      </c>
    </row>
    <row r="68" ht="15.75" customHeight="1">
      <c r="A68" s="51" t="s">
        <v>6</v>
      </c>
      <c r="B68" s="51">
        <v>1.5</v>
      </c>
      <c r="C68" s="63">
        <v>45957.0</v>
      </c>
      <c r="D68" s="51" t="s">
        <v>564</v>
      </c>
    </row>
    <row r="69" ht="15.75" customHeight="1">
      <c r="A69" s="51" t="s">
        <v>7</v>
      </c>
      <c r="B69" s="51">
        <v>1.5</v>
      </c>
      <c r="C69" s="63">
        <v>45957.0</v>
      </c>
      <c r="D69" s="51" t="s">
        <v>564</v>
      </c>
    </row>
    <row r="70" ht="15.75" customHeight="1">
      <c r="A70" s="51" t="s">
        <v>23</v>
      </c>
      <c r="B70" s="51">
        <v>1.5</v>
      </c>
      <c r="C70" s="63">
        <v>45957.0</v>
      </c>
      <c r="D70" s="51" t="s">
        <v>564</v>
      </c>
    </row>
    <row r="71" ht="15.75" customHeight="1">
      <c r="A71" s="51" t="s">
        <v>257</v>
      </c>
      <c r="B71" s="51">
        <v>1.5</v>
      </c>
      <c r="C71" s="63">
        <v>45957.0</v>
      </c>
      <c r="D71" s="51" t="s">
        <v>564</v>
      </c>
    </row>
    <row r="72" ht="15.75" customHeight="1">
      <c r="A72" s="51" t="s">
        <v>209</v>
      </c>
      <c r="B72" s="51">
        <v>1.5</v>
      </c>
      <c r="C72" s="63">
        <v>45957.0</v>
      </c>
      <c r="D72" s="51" t="s">
        <v>564</v>
      </c>
    </row>
    <row r="73" ht="15.75" customHeight="1">
      <c r="A73" s="51" t="s">
        <v>109</v>
      </c>
      <c r="B73" s="51">
        <v>1.5</v>
      </c>
      <c r="C73" s="63">
        <v>45957.0</v>
      </c>
      <c r="D73" s="51" t="s">
        <v>564</v>
      </c>
    </row>
    <row r="74" ht="15.75" customHeight="1">
      <c r="A74" s="51" t="s">
        <v>15</v>
      </c>
      <c r="B74" s="51">
        <v>1.5</v>
      </c>
      <c r="C74" s="63">
        <v>45957.0</v>
      </c>
      <c r="D74" s="51" t="s">
        <v>564</v>
      </c>
    </row>
    <row r="75" ht="15.75" customHeight="1">
      <c r="A75" s="51" t="s">
        <v>257</v>
      </c>
      <c r="B75" s="51">
        <v>1.0</v>
      </c>
      <c r="C75" s="63">
        <v>45958.0</v>
      </c>
      <c r="D75" s="51" t="s">
        <v>565</v>
      </c>
    </row>
    <row r="76" ht="15.75" customHeight="1">
      <c r="A76" s="51" t="s">
        <v>109</v>
      </c>
      <c r="B76" s="51">
        <v>1.0</v>
      </c>
      <c r="C76" s="63">
        <v>45958.0</v>
      </c>
      <c r="D76" s="51" t="s">
        <v>565</v>
      </c>
    </row>
    <row r="77" ht="15.75" customHeight="1">
      <c r="A77" s="51" t="s">
        <v>6</v>
      </c>
      <c r="B77" s="51">
        <v>1.0</v>
      </c>
      <c r="C77" s="63">
        <v>45958.0</v>
      </c>
      <c r="D77" s="51" t="s">
        <v>565</v>
      </c>
    </row>
    <row r="78" ht="15.75" customHeight="1">
      <c r="A78" s="51" t="s">
        <v>48</v>
      </c>
      <c r="B78" s="51">
        <v>1.0</v>
      </c>
      <c r="C78" s="63">
        <v>45958.0</v>
      </c>
      <c r="D78" s="51" t="s">
        <v>565</v>
      </c>
    </row>
    <row r="79" ht="15.75" customHeight="1">
      <c r="A79" s="51" t="s">
        <v>537</v>
      </c>
      <c r="B79" s="51">
        <v>1.0</v>
      </c>
      <c r="C79" s="63">
        <v>45958.0</v>
      </c>
      <c r="D79" s="51" t="s">
        <v>565</v>
      </c>
    </row>
    <row r="80" ht="15.75" customHeight="1">
      <c r="A80" s="51" t="s">
        <v>537</v>
      </c>
      <c r="B80" s="51">
        <v>1.0</v>
      </c>
      <c r="C80" s="63">
        <v>45964.0</v>
      </c>
      <c r="D80" s="48" t="s">
        <v>538</v>
      </c>
    </row>
    <row r="81" ht="15.75" customHeight="1">
      <c r="A81" s="51" t="s">
        <v>537</v>
      </c>
      <c r="B81" s="51">
        <v>1.0</v>
      </c>
      <c r="C81" s="63">
        <v>45971.0</v>
      </c>
      <c r="D81" s="48" t="s">
        <v>538</v>
      </c>
    </row>
    <row r="82" ht="15.75" customHeight="1">
      <c r="A82" s="51" t="s">
        <v>10</v>
      </c>
      <c r="B82" s="51">
        <v>2.0</v>
      </c>
      <c r="C82" s="63">
        <v>45976.0</v>
      </c>
      <c r="D82" s="51" t="s">
        <v>566</v>
      </c>
    </row>
    <row r="83" ht="15.75" customHeight="1">
      <c r="A83" s="51" t="s">
        <v>257</v>
      </c>
      <c r="B83" s="51">
        <v>4.0</v>
      </c>
      <c r="C83" s="63">
        <v>45976.0</v>
      </c>
      <c r="D83" s="51" t="s">
        <v>566</v>
      </c>
    </row>
    <row r="84" ht="15.75" customHeight="1">
      <c r="A84" s="51" t="s">
        <v>567</v>
      </c>
      <c r="B84" s="51">
        <v>2.0</v>
      </c>
      <c r="C84" s="63">
        <v>45976.0</v>
      </c>
      <c r="D84" s="51" t="s">
        <v>566</v>
      </c>
    </row>
    <row r="85" ht="15.75" customHeight="1">
      <c r="A85" s="51" t="s">
        <v>113</v>
      </c>
      <c r="B85" s="51">
        <v>2.0</v>
      </c>
      <c r="C85" s="63">
        <v>45976.0</v>
      </c>
      <c r="D85" s="51" t="s">
        <v>566</v>
      </c>
    </row>
    <row r="86" ht="15.75" customHeight="1">
      <c r="A86" s="51" t="s">
        <v>113</v>
      </c>
      <c r="B86" s="51">
        <v>3.0</v>
      </c>
      <c r="C86" s="63">
        <v>45983.0</v>
      </c>
      <c r="D86" s="51" t="s">
        <v>568</v>
      </c>
    </row>
    <row r="87" ht="15.75" customHeight="1">
      <c r="A87" s="51" t="s">
        <v>7</v>
      </c>
      <c r="B87" s="51">
        <v>3.0</v>
      </c>
      <c r="C87" s="63">
        <v>45983.0</v>
      </c>
      <c r="D87" s="51" t="s">
        <v>568</v>
      </c>
    </row>
    <row r="88" ht="15.75" customHeight="1">
      <c r="A88" s="51" t="s">
        <v>249</v>
      </c>
      <c r="B88" s="51">
        <v>3.0</v>
      </c>
      <c r="C88" s="63">
        <v>45983.0</v>
      </c>
      <c r="D88" s="51" t="s">
        <v>568</v>
      </c>
    </row>
    <row r="89" ht="15.75" customHeight="1">
      <c r="A89" s="51" t="s">
        <v>6</v>
      </c>
      <c r="B89" s="51">
        <v>3.0</v>
      </c>
      <c r="C89" s="63">
        <v>45983.0</v>
      </c>
      <c r="D89" s="51" t="s">
        <v>568</v>
      </c>
    </row>
    <row r="90" ht="15.75" customHeight="1">
      <c r="A90" s="51" t="s">
        <v>150</v>
      </c>
      <c r="B90" s="51">
        <v>3.0</v>
      </c>
      <c r="C90" s="63">
        <v>45983.0</v>
      </c>
      <c r="D90" s="51" t="s">
        <v>568</v>
      </c>
    </row>
    <row r="91" ht="15.75" customHeight="1">
      <c r="A91" s="51" t="s">
        <v>569</v>
      </c>
      <c r="B91" s="51">
        <v>3.0</v>
      </c>
      <c r="C91" s="63">
        <v>45983.0</v>
      </c>
      <c r="D91" s="51" t="s">
        <v>568</v>
      </c>
    </row>
    <row r="92" ht="15.75" customHeight="1">
      <c r="A92" s="51" t="s">
        <v>347</v>
      </c>
      <c r="B92" s="51">
        <v>3.0</v>
      </c>
      <c r="C92" s="63">
        <v>45983.0</v>
      </c>
      <c r="D92" s="51" t="s">
        <v>568</v>
      </c>
    </row>
    <row r="93" ht="15.75" customHeight="1">
      <c r="A93" s="51" t="s">
        <v>257</v>
      </c>
      <c r="B93" s="51">
        <v>3.0</v>
      </c>
      <c r="C93" s="63">
        <v>45983.0</v>
      </c>
      <c r="D93" s="51" t="s">
        <v>568</v>
      </c>
    </row>
    <row r="94" ht="15.75" customHeight="1">
      <c r="A94" s="51" t="s">
        <v>164</v>
      </c>
      <c r="B94" s="51">
        <v>3.0</v>
      </c>
      <c r="C94" s="63">
        <v>45983.0</v>
      </c>
      <c r="D94" s="51" t="s">
        <v>568</v>
      </c>
    </row>
    <row r="95" ht="15.75" customHeight="1">
      <c r="A95" s="51" t="s">
        <v>147</v>
      </c>
      <c r="B95" s="51">
        <v>3.0</v>
      </c>
      <c r="C95" s="63">
        <v>45983.0</v>
      </c>
      <c r="D95" s="51" t="s">
        <v>568</v>
      </c>
    </row>
    <row r="96" ht="15.75" customHeight="1">
      <c r="A96" s="51" t="s">
        <v>289</v>
      </c>
      <c r="B96" s="51">
        <v>3.0</v>
      </c>
      <c r="C96" s="63">
        <v>45983.0</v>
      </c>
      <c r="D96" s="51" t="s">
        <v>568</v>
      </c>
    </row>
    <row r="97" ht="15.75" customHeight="1">
      <c r="A97" s="51" t="s">
        <v>570</v>
      </c>
      <c r="B97" s="51">
        <v>3.0</v>
      </c>
      <c r="C97" s="63">
        <v>45983.0</v>
      </c>
      <c r="D97" s="51" t="s">
        <v>568</v>
      </c>
    </row>
    <row r="98" ht="15.75" customHeight="1">
      <c r="A98" s="51" t="s">
        <v>245</v>
      </c>
      <c r="B98" s="51">
        <v>3.0</v>
      </c>
      <c r="C98" s="63">
        <v>45983.0</v>
      </c>
      <c r="D98" s="51" t="s">
        <v>568</v>
      </c>
    </row>
    <row r="99" ht="15.75" customHeight="1">
      <c r="A99" s="51" t="s">
        <v>571</v>
      </c>
      <c r="B99" s="51">
        <v>3.0</v>
      </c>
      <c r="C99" s="63">
        <v>45983.0</v>
      </c>
      <c r="D99" s="51" t="s">
        <v>568</v>
      </c>
    </row>
    <row r="100" ht="15.75" customHeight="1">
      <c r="A100" s="51" t="s">
        <v>149</v>
      </c>
      <c r="B100" s="51">
        <v>3.0</v>
      </c>
      <c r="C100" s="63">
        <v>45983.0</v>
      </c>
      <c r="D100" s="51" t="s">
        <v>568</v>
      </c>
    </row>
    <row r="101" ht="15.75" customHeight="1">
      <c r="A101" s="51" t="s">
        <v>572</v>
      </c>
      <c r="B101" s="51">
        <v>3.0</v>
      </c>
      <c r="C101" s="63">
        <v>45983.0</v>
      </c>
      <c r="D101" s="51" t="s">
        <v>568</v>
      </c>
    </row>
    <row r="102" ht="15.75" customHeight="1">
      <c r="A102" s="51" t="s">
        <v>144</v>
      </c>
      <c r="B102" s="51">
        <v>3.0</v>
      </c>
      <c r="C102" s="63">
        <v>45983.0</v>
      </c>
      <c r="D102" s="51" t="s">
        <v>568</v>
      </c>
    </row>
    <row r="103" ht="15.75" customHeight="1">
      <c r="A103" s="51" t="s">
        <v>573</v>
      </c>
      <c r="B103" s="51">
        <v>3.0</v>
      </c>
      <c r="C103" s="63">
        <v>45983.0</v>
      </c>
      <c r="D103" s="51" t="s">
        <v>568</v>
      </c>
    </row>
    <row r="104" ht="15.75" customHeight="1">
      <c r="A104" s="51" t="s">
        <v>574</v>
      </c>
      <c r="B104" s="51">
        <v>3.0</v>
      </c>
      <c r="C104" s="63">
        <v>45983.0</v>
      </c>
      <c r="D104" s="51" t="s">
        <v>568</v>
      </c>
    </row>
    <row r="105" ht="15.75" customHeight="1">
      <c r="A105" s="51" t="s">
        <v>575</v>
      </c>
      <c r="B105" s="51">
        <v>3.0</v>
      </c>
      <c r="C105" s="63">
        <v>45983.0</v>
      </c>
      <c r="D105" s="51" t="s">
        <v>568</v>
      </c>
    </row>
    <row r="106" ht="15.75" customHeight="1">
      <c r="A106" s="51" t="s">
        <v>576</v>
      </c>
      <c r="B106" s="51">
        <v>3.0</v>
      </c>
      <c r="C106" s="63">
        <v>45983.0</v>
      </c>
      <c r="D106" s="51" t="s">
        <v>568</v>
      </c>
    </row>
    <row r="107" ht="15.75" customHeight="1">
      <c r="A107" s="51" t="s">
        <v>577</v>
      </c>
      <c r="B107" s="51">
        <v>3.0</v>
      </c>
      <c r="C107" s="63">
        <v>45983.0</v>
      </c>
      <c r="D107" s="51" t="s">
        <v>568</v>
      </c>
    </row>
    <row r="108" ht="15.75" customHeight="1">
      <c r="A108" s="51" t="s">
        <v>578</v>
      </c>
      <c r="B108" s="51">
        <v>3.0</v>
      </c>
      <c r="C108" s="63">
        <v>45983.0</v>
      </c>
      <c r="D108" s="51" t="s">
        <v>568</v>
      </c>
    </row>
    <row r="109" ht="15.75" customHeight="1">
      <c r="A109" s="51" t="s">
        <v>579</v>
      </c>
      <c r="B109" s="51">
        <v>3.0</v>
      </c>
      <c r="C109" s="63">
        <v>45983.0</v>
      </c>
      <c r="D109" s="51" t="s">
        <v>568</v>
      </c>
    </row>
    <row r="110" ht="15.75" customHeight="1">
      <c r="A110" s="51" t="s">
        <v>580</v>
      </c>
      <c r="B110" s="51">
        <v>3.0</v>
      </c>
      <c r="C110" s="63">
        <v>45983.0</v>
      </c>
      <c r="D110" s="51" t="s">
        <v>568</v>
      </c>
    </row>
    <row r="111" ht="15.75" customHeight="1">
      <c r="A111" s="51" t="s">
        <v>142</v>
      </c>
      <c r="B111" s="51">
        <v>3.0</v>
      </c>
      <c r="C111" s="63">
        <v>45983.0</v>
      </c>
      <c r="D111" s="51" t="s">
        <v>568</v>
      </c>
    </row>
    <row r="112" ht="15.75" customHeight="1">
      <c r="A112" s="51" t="s">
        <v>356</v>
      </c>
      <c r="B112" s="51">
        <v>3.0</v>
      </c>
      <c r="C112" s="63">
        <v>45983.0</v>
      </c>
      <c r="D112" s="51" t="s">
        <v>568</v>
      </c>
    </row>
    <row r="113" ht="15.75" customHeight="1">
      <c r="A113" s="51" t="s">
        <v>167</v>
      </c>
      <c r="B113" s="51">
        <v>3.0</v>
      </c>
      <c r="C113" s="63">
        <v>45983.0</v>
      </c>
      <c r="D113" s="51" t="s">
        <v>568</v>
      </c>
    </row>
    <row r="114" ht="15.75" customHeight="1">
      <c r="A114" s="51" t="s">
        <v>537</v>
      </c>
      <c r="B114" s="51">
        <v>3.0</v>
      </c>
      <c r="C114" s="63">
        <v>45983.0</v>
      </c>
      <c r="D114" s="51" t="s">
        <v>568</v>
      </c>
    </row>
    <row r="115" ht="15.75" customHeight="1">
      <c r="A115" s="51" t="s">
        <v>537</v>
      </c>
      <c r="B115" s="51">
        <v>2.0</v>
      </c>
      <c r="C115" s="63">
        <v>45984.0</v>
      </c>
      <c r="D115" s="51" t="s">
        <v>581</v>
      </c>
    </row>
    <row r="116" ht="15.75" customHeight="1">
      <c r="A116" s="51" t="s">
        <v>347</v>
      </c>
      <c r="B116" s="51">
        <v>2.0</v>
      </c>
      <c r="C116" s="63">
        <v>45984.0</v>
      </c>
      <c r="D116" s="51" t="s">
        <v>581</v>
      </c>
    </row>
    <row r="117" ht="15.75" customHeight="1">
      <c r="A117" s="51" t="s">
        <v>257</v>
      </c>
      <c r="B117" s="51">
        <v>2.0</v>
      </c>
      <c r="C117" s="63">
        <v>45984.0</v>
      </c>
      <c r="D117" s="51" t="s">
        <v>581</v>
      </c>
    </row>
    <row r="118" ht="15.75" customHeight="1">
      <c r="A118" s="51" t="s">
        <v>537</v>
      </c>
      <c r="B118" s="51">
        <v>1.0</v>
      </c>
      <c r="C118" s="63">
        <v>45991.0</v>
      </c>
      <c r="D118" s="48" t="s">
        <v>538</v>
      </c>
    </row>
    <row r="119" ht="15.75" customHeight="1">
      <c r="A119" s="51" t="s">
        <v>209</v>
      </c>
      <c r="B119" s="51">
        <v>2.0</v>
      </c>
      <c r="C119" s="63">
        <v>45998.0</v>
      </c>
      <c r="D119" s="51" t="s">
        <v>581</v>
      </c>
    </row>
    <row r="120" ht="15.75" customHeight="1">
      <c r="A120" s="51" t="s">
        <v>347</v>
      </c>
      <c r="B120" s="51">
        <v>2.0</v>
      </c>
      <c r="C120" s="63">
        <v>45998.0</v>
      </c>
      <c r="D120" s="51" t="s">
        <v>581</v>
      </c>
    </row>
    <row r="121" ht="15.75" customHeight="1">
      <c r="A121" s="51" t="s">
        <v>257</v>
      </c>
      <c r="B121" s="51">
        <v>2.0</v>
      </c>
      <c r="C121" s="63">
        <v>45998.0</v>
      </c>
      <c r="D121" s="51" t="s">
        <v>581</v>
      </c>
    </row>
    <row r="122" ht="15.75" customHeight="1">
      <c r="A122" s="51" t="s">
        <v>216</v>
      </c>
      <c r="B122" s="51">
        <v>2.0</v>
      </c>
      <c r="C122" s="63">
        <v>45998.0</v>
      </c>
      <c r="D122" s="51" t="s">
        <v>581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47.38"/>
    <col customWidth="1" min="3" max="3" width="38.38"/>
    <col customWidth="1" min="4" max="4" width="32.0"/>
    <col customWidth="1" min="5" max="5" width="18.63"/>
    <col customWidth="1" min="6" max="6" width="18.0"/>
    <col customWidth="1" min="7" max="26" width="8.63"/>
  </cols>
  <sheetData>
    <row r="1" ht="60.0" customHeight="1">
      <c r="A1" s="68" t="s">
        <v>582</v>
      </c>
      <c r="B1" s="68" t="s">
        <v>583</v>
      </c>
      <c r="C1" s="69" t="s">
        <v>584</v>
      </c>
      <c r="D1" s="68" t="s">
        <v>585</v>
      </c>
    </row>
    <row r="2" ht="37.5" customHeight="1">
      <c r="A2" s="70" t="s">
        <v>586</v>
      </c>
      <c r="B2" s="70" t="s">
        <v>587</v>
      </c>
      <c r="C2" s="71">
        <v>1.8563186253E10</v>
      </c>
      <c r="D2" s="72">
        <v>466.0</v>
      </c>
    </row>
    <row r="3">
      <c r="A3" s="70" t="s">
        <v>6</v>
      </c>
      <c r="B3" s="70" t="s">
        <v>588</v>
      </c>
      <c r="C3" s="71">
        <v>1.8587357727E10</v>
      </c>
    </row>
    <row r="4">
      <c r="A4" s="70" t="s">
        <v>589</v>
      </c>
      <c r="B4" s="70" t="s">
        <v>590</v>
      </c>
      <c r="C4" s="71">
        <v>1.5129157415E10</v>
      </c>
    </row>
    <row r="5">
      <c r="A5" s="70" t="s">
        <v>15</v>
      </c>
      <c r="B5" s="70" t="s">
        <v>591</v>
      </c>
      <c r="C5" s="71">
        <v>1.5126769067E10</v>
      </c>
    </row>
    <row r="6">
      <c r="A6" s="70" t="s">
        <v>7</v>
      </c>
      <c r="B6" s="70" t="s">
        <v>592</v>
      </c>
      <c r="C6" s="71">
        <v>1.7373461731E10</v>
      </c>
    </row>
    <row r="7">
      <c r="A7" s="70" t="s">
        <v>8</v>
      </c>
      <c r="B7" s="70" t="s">
        <v>593</v>
      </c>
      <c r="C7" s="71">
        <v>1.7373561332E10</v>
      </c>
    </row>
    <row r="8">
      <c r="A8" s="70" t="s">
        <v>594</v>
      </c>
      <c r="B8" s="70" t="s">
        <v>595</v>
      </c>
      <c r="C8" s="71">
        <v>1.8562719805E10</v>
      </c>
    </row>
    <row r="9">
      <c r="A9" s="70" t="s">
        <v>596</v>
      </c>
      <c r="B9" s="70" t="s">
        <v>597</v>
      </c>
      <c r="C9" s="71">
        <v>1.8063355047E10</v>
      </c>
    </row>
    <row r="10">
      <c r="A10" s="70" t="s">
        <v>598</v>
      </c>
      <c r="B10" s="70" t="s">
        <v>599</v>
      </c>
      <c r="C10" s="71">
        <v>1.2106064786E10</v>
      </c>
    </row>
    <row r="11">
      <c r="A11" s="70" t="s">
        <v>20</v>
      </c>
      <c r="B11" s="70" t="s">
        <v>600</v>
      </c>
      <c r="C11" s="71">
        <v>1.2104105831E10</v>
      </c>
    </row>
    <row r="12">
      <c r="A12" s="70" t="s">
        <v>16</v>
      </c>
      <c r="B12" s="70" t="s">
        <v>601</v>
      </c>
      <c r="C12" s="71">
        <v>1.5129758207E10</v>
      </c>
    </row>
    <row r="13">
      <c r="A13" s="70" t="s">
        <v>46</v>
      </c>
      <c r="B13" s="70" t="s">
        <v>602</v>
      </c>
      <c r="C13" s="71">
        <v>1.2063709043E10</v>
      </c>
    </row>
    <row r="14">
      <c r="A14" s="70" t="s">
        <v>19</v>
      </c>
      <c r="B14" s="70" t="s">
        <v>603</v>
      </c>
      <c r="C14" s="71">
        <v>1.40933039E10</v>
      </c>
    </row>
    <row r="15">
      <c r="A15" s="70" t="s">
        <v>21</v>
      </c>
      <c r="B15" s="70" t="s">
        <v>604</v>
      </c>
      <c r="C15" s="71">
        <v>1.5129442462E10</v>
      </c>
    </row>
    <row r="16">
      <c r="A16" s="70" t="s">
        <v>598</v>
      </c>
      <c r="B16" s="70" t="s">
        <v>599</v>
      </c>
      <c r="C16" s="71">
        <v>1.2106064786E10</v>
      </c>
    </row>
    <row r="17">
      <c r="A17" s="70" t="s">
        <v>605</v>
      </c>
      <c r="B17" s="70" t="s">
        <v>606</v>
      </c>
      <c r="C17" s="71">
        <v>1.2818583566E10</v>
      </c>
    </row>
    <row r="18">
      <c r="A18" s="70" t="s">
        <v>10</v>
      </c>
      <c r="B18" s="70" t="s">
        <v>607</v>
      </c>
      <c r="C18" s="71">
        <v>1.512921342E10</v>
      </c>
    </row>
    <row r="19">
      <c r="A19" s="70" t="s">
        <v>24</v>
      </c>
      <c r="B19" s="70" t="s">
        <v>608</v>
      </c>
      <c r="C19" s="71">
        <v>1.5129641588E10</v>
      </c>
    </row>
    <row r="20">
      <c r="A20" s="70" t="s">
        <v>609</v>
      </c>
      <c r="B20" s="70" t="s">
        <v>610</v>
      </c>
      <c r="C20" s="71">
        <v>1.6508239535E10</v>
      </c>
    </row>
    <row r="21" ht="15.75" customHeight="1">
      <c r="A21" s="70" t="s">
        <v>47</v>
      </c>
      <c r="B21" s="70" t="s">
        <v>611</v>
      </c>
      <c r="C21" s="71">
        <v>1.2068397311E10</v>
      </c>
    </row>
    <row r="22" ht="15.75" customHeight="1">
      <c r="A22" s="70" t="s">
        <v>48</v>
      </c>
      <c r="B22" s="70" t="s">
        <v>612</v>
      </c>
      <c r="C22" s="71">
        <v>1.9045882958E10</v>
      </c>
    </row>
    <row r="23" ht="15.75" customHeight="1">
      <c r="A23" s="70" t="s">
        <v>52</v>
      </c>
      <c r="B23" s="70" t="s">
        <v>613</v>
      </c>
      <c r="C23" s="71">
        <v>1.5304880965E10</v>
      </c>
    </row>
    <row r="24" ht="15.75" customHeight="1">
      <c r="A24" s="70" t="s">
        <v>50</v>
      </c>
      <c r="B24" s="70" t="s">
        <v>614</v>
      </c>
      <c r="C24" s="71">
        <v>1.5128278022E10</v>
      </c>
    </row>
    <row r="25" ht="15.75" customHeight="1">
      <c r="A25" s="70" t="s">
        <v>49</v>
      </c>
      <c r="B25" s="70" t="s">
        <v>615</v>
      </c>
      <c r="C25" s="71">
        <v>1.323533077E10</v>
      </c>
    </row>
    <row r="26" ht="15.75" customHeight="1">
      <c r="A26" s="70" t="s">
        <v>39</v>
      </c>
      <c r="B26" s="70" t="s">
        <v>616</v>
      </c>
      <c r="C26" s="71">
        <v>1.512660331E10</v>
      </c>
    </row>
    <row r="27" ht="15.75" customHeight="1">
      <c r="A27" s="70" t="s">
        <v>64</v>
      </c>
      <c r="B27" s="70" t="s">
        <v>617</v>
      </c>
      <c r="C27" s="71">
        <v>1.9035306003E10</v>
      </c>
    </row>
    <row r="28" ht="15.75" customHeight="1">
      <c r="A28" s="70" t="s">
        <v>618</v>
      </c>
      <c r="B28" s="70" t="s">
        <v>619</v>
      </c>
      <c r="C28" s="71">
        <v>1.5127813239E10</v>
      </c>
    </row>
    <row r="29" ht="15.75" customHeight="1">
      <c r="A29" s="70" t="s">
        <v>66</v>
      </c>
      <c r="B29" s="70" t="s">
        <v>620</v>
      </c>
      <c r="C29" s="71">
        <v>1.5124968437E10</v>
      </c>
    </row>
    <row r="30" ht="15.75" customHeight="1">
      <c r="A30" s="70" t="s">
        <v>621</v>
      </c>
      <c r="B30" s="70" t="s">
        <v>622</v>
      </c>
      <c r="C30" s="71">
        <v>1.5125501282E10</v>
      </c>
    </row>
    <row r="31" ht="15.75" customHeight="1">
      <c r="A31" s="70" t="s">
        <v>551</v>
      </c>
      <c r="B31" s="70" t="s">
        <v>623</v>
      </c>
      <c r="C31" s="71">
        <v>1.95656629E10</v>
      </c>
    </row>
    <row r="32" ht="15.75" customHeight="1">
      <c r="A32" s="70" t="s">
        <v>68</v>
      </c>
      <c r="B32" s="70" t="s">
        <v>624</v>
      </c>
      <c r="C32" s="71">
        <v>1.2819794212E10</v>
      </c>
    </row>
    <row r="33" ht="15.75" customHeight="1">
      <c r="A33" s="70" t="s">
        <v>67</v>
      </c>
      <c r="B33" s="70" t="s">
        <v>625</v>
      </c>
      <c r="C33" s="71">
        <v>1.5122141201E10</v>
      </c>
    </row>
    <row r="34" ht="15.75" customHeight="1">
      <c r="A34" s="70" t="s">
        <v>51</v>
      </c>
      <c r="B34" s="70"/>
      <c r="C34" s="73">
        <v>1.2064840233E10</v>
      </c>
    </row>
    <row r="35" ht="15.75" customHeight="1">
      <c r="A35" s="70" t="s">
        <v>54</v>
      </c>
      <c r="B35" s="70"/>
      <c r="C35" s="73">
        <v>1.5129138331E10</v>
      </c>
    </row>
    <row r="36" ht="15.75" customHeight="1">
      <c r="A36" s="70" t="s">
        <v>9</v>
      </c>
      <c r="B36" s="70"/>
      <c r="C36" s="73">
        <v>1.5122968385E10</v>
      </c>
    </row>
    <row r="37" ht="15.75" customHeight="1">
      <c r="A37" s="70" t="s">
        <v>11</v>
      </c>
      <c r="B37" s="70"/>
      <c r="C37" s="73">
        <v>1.5124017213E10</v>
      </c>
    </row>
    <row r="38" ht="15.75" customHeight="1">
      <c r="A38" s="70" t="s">
        <v>12</v>
      </c>
      <c r="B38" s="70" t="s">
        <v>626</v>
      </c>
      <c r="C38" s="71">
        <v>1.9125470536E10</v>
      </c>
    </row>
    <row r="39" ht="15.75" customHeight="1">
      <c r="A39" s="70" t="s">
        <v>56</v>
      </c>
      <c r="B39" s="70"/>
      <c r="C39" s="73">
        <v>1.5593339957E10</v>
      </c>
    </row>
    <row r="40" ht="15.75" customHeight="1">
      <c r="A40" s="70" t="s">
        <v>75</v>
      </c>
      <c r="B40" s="70"/>
      <c r="C40" s="73">
        <v>1.5129529994E10</v>
      </c>
    </row>
    <row r="41" ht="15.75" customHeight="1">
      <c r="A41" s="70" t="s">
        <v>58</v>
      </c>
      <c r="B41" s="70"/>
      <c r="C41" s="73">
        <v>1.3126199668E10</v>
      </c>
    </row>
    <row r="42" ht="15.75" customHeight="1">
      <c r="A42" s="70" t="s">
        <v>59</v>
      </c>
      <c r="B42" s="70"/>
      <c r="C42" s="73">
        <v>1.2108379296E10</v>
      </c>
    </row>
    <row r="43" ht="15.75" customHeight="1">
      <c r="A43" s="70" t="s">
        <v>61</v>
      </c>
      <c r="B43" s="70"/>
      <c r="C43" s="73">
        <v>1.2104626499E10</v>
      </c>
    </row>
    <row r="44" ht="15.75" customHeight="1">
      <c r="A44" s="70" t="s">
        <v>14</v>
      </c>
      <c r="B44" s="70"/>
      <c r="C44" s="71"/>
    </row>
    <row r="45" ht="15.75" customHeight="1">
      <c r="A45" s="70" t="s">
        <v>22</v>
      </c>
      <c r="B45" s="70"/>
      <c r="C45" s="71"/>
    </row>
    <row r="46" ht="15.75" customHeight="1">
      <c r="A46" s="70" t="s">
        <v>25</v>
      </c>
      <c r="B46" s="70"/>
      <c r="C46" s="73">
        <v>1.8317139105E10</v>
      </c>
    </row>
    <row r="47" ht="15.75" customHeight="1">
      <c r="A47" s="70" t="s">
        <v>26</v>
      </c>
      <c r="B47" s="70"/>
      <c r="C47" s="73">
        <v>1.8046613004E10</v>
      </c>
    </row>
    <row r="48" ht="15.75" customHeight="1">
      <c r="A48" s="70" t="s">
        <v>27</v>
      </c>
      <c r="B48" s="70"/>
      <c r="C48" s="71"/>
    </row>
    <row r="49" ht="15.75" customHeight="1">
      <c r="A49" s="70" t="s">
        <v>28</v>
      </c>
      <c r="B49" s="70"/>
      <c r="C49" s="73">
        <v>1.8622502326E10</v>
      </c>
    </row>
    <row r="50" ht="15.75" customHeight="1">
      <c r="A50" s="70" t="s">
        <v>627</v>
      </c>
      <c r="B50" s="70"/>
      <c r="C50" s="73">
        <v>1.512701007E10</v>
      </c>
    </row>
    <row r="51" ht="15.75" customHeight="1">
      <c r="A51" s="70" t="s">
        <v>30</v>
      </c>
      <c r="B51" s="70"/>
      <c r="C51" s="73">
        <v>1.7323977299E10</v>
      </c>
    </row>
    <row r="52" ht="15.75" customHeight="1">
      <c r="A52" s="70" t="s">
        <v>31</v>
      </c>
      <c r="B52" s="70"/>
      <c r="C52" s="73">
        <v>1.5126941754E10</v>
      </c>
    </row>
    <row r="53" ht="15.75" customHeight="1">
      <c r="A53" s="70" t="s">
        <v>32</v>
      </c>
      <c r="B53" s="70"/>
      <c r="C53" s="73">
        <v>1.6823479581E10</v>
      </c>
    </row>
    <row r="54" ht="15.75" customHeight="1">
      <c r="A54" s="70" t="s">
        <v>34</v>
      </c>
      <c r="B54" s="70"/>
      <c r="C54" s="73">
        <v>1.8068318487E10</v>
      </c>
    </row>
    <row r="55" ht="15.75" customHeight="1">
      <c r="A55" s="74" t="s">
        <v>35</v>
      </c>
      <c r="B55" s="70"/>
      <c r="C55" s="71"/>
    </row>
    <row r="56" ht="15.75" customHeight="1">
      <c r="A56" s="74" t="s">
        <v>628</v>
      </c>
      <c r="B56" s="70"/>
      <c r="C56" s="73">
        <v>1.6192084116E10</v>
      </c>
    </row>
    <row r="57" ht="15.75" customHeight="1">
      <c r="A57" s="70" t="s">
        <v>37</v>
      </c>
      <c r="B57" s="70"/>
      <c r="C57" s="73">
        <v>1.8287817136E10</v>
      </c>
    </row>
    <row r="58" ht="15.75" customHeight="1">
      <c r="A58" s="70" t="s">
        <v>38</v>
      </c>
      <c r="B58" s="70"/>
      <c r="C58" s="73">
        <v>1.3176252028E10</v>
      </c>
    </row>
    <row r="59" ht="15.75" customHeight="1">
      <c r="A59" s="70" t="s">
        <v>40</v>
      </c>
      <c r="B59" s="70"/>
      <c r="C59" s="73">
        <v>1.8587354034E10</v>
      </c>
    </row>
    <row r="60" ht="15.75" customHeight="1">
      <c r="A60" s="70" t="s">
        <v>41</v>
      </c>
      <c r="B60" s="70" t="s">
        <v>629</v>
      </c>
      <c r="C60" s="71">
        <v>1.8046908858E10</v>
      </c>
    </row>
    <row r="61" ht="15.75" customHeight="1">
      <c r="A61" s="70" t="s">
        <v>42</v>
      </c>
      <c r="B61" s="70"/>
      <c r="C61" s="73">
        <v>1.5126987067E10</v>
      </c>
    </row>
    <row r="62" ht="15.75" customHeight="1">
      <c r="A62" s="70" t="s">
        <v>43</v>
      </c>
      <c r="B62" s="70"/>
      <c r="C62" s="73">
        <v>1.8033175923E10</v>
      </c>
    </row>
    <row r="63" ht="15.75" customHeight="1">
      <c r="A63" s="70" t="s">
        <v>44</v>
      </c>
      <c r="B63" s="70"/>
      <c r="C63" s="73">
        <v>1.3854553226E10</v>
      </c>
    </row>
    <row r="64" ht="15.75" customHeight="1">
      <c r="A64" s="70" t="s">
        <v>45</v>
      </c>
      <c r="B64" s="70"/>
      <c r="C64" s="73">
        <v>1.5127863489E10</v>
      </c>
    </row>
    <row r="65" ht="15.75" customHeight="1">
      <c r="A65" s="70" t="s">
        <v>53</v>
      </c>
      <c r="B65" s="70"/>
      <c r="C65" s="73">
        <v>1.8566937437E10</v>
      </c>
    </row>
    <row r="66" ht="15.75" customHeight="1">
      <c r="A66" s="70" t="s">
        <v>70</v>
      </c>
      <c r="B66" s="70" t="s">
        <v>630</v>
      </c>
      <c r="C66" s="71">
        <v>1.512739931E10</v>
      </c>
    </row>
    <row r="67" ht="15.75" customHeight="1">
      <c r="A67" s="70" t="s">
        <v>69</v>
      </c>
      <c r="B67" s="70" t="s">
        <v>631</v>
      </c>
      <c r="C67" s="71">
        <v>1.8327732246E10</v>
      </c>
    </row>
    <row r="68" ht="15.75" customHeight="1">
      <c r="A68" s="70" t="s">
        <v>72</v>
      </c>
      <c r="B68" s="70" t="s">
        <v>632</v>
      </c>
      <c r="C68" s="71">
        <v>1.9714134351E10</v>
      </c>
    </row>
    <row r="69" ht="15.75" customHeight="1">
      <c r="A69" s="70" t="s">
        <v>71</v>
      </c>
      <c r="B69" s="70" t="s">
        <v>633</v>
      </c>
      <c r="C69" s="71">
        <v>1.8587353434E10</v>
      </c>
    </row>
    <row r="70" ht="15.75" customHeight="1">
      <c r="A70" s="70" t="s">
        <v>634</v>
      </c>
      <c r="B70" s="70"/>
      <c r="C70" s="73">
        <v>1.83253552E10</v>
      </c>
    </row>
    <row r="71" ht="15.75" customHeight="1">
      <c r="A71" s="70" t="s">
        <v>74</v>
      </c>
      <c r="B71" s="70"/>
      <c r="C71" s="73">
        <v>1.9798204981E10</v>
      </c>
    </row>
    <row r="72" ht="15.75" customHeight="1">
      <c r="A72" s="70" t="s">
        <v>313</v>
      </c>
      <c r="B72" s="70" t="s">
        <v>635</v>
      </c>
      <c r="C72" s="71">
        <v>1.5129249279E10</v>
      </c>
    </row>
    <row r="73" ht="15.75" customHeight="1">
      <c r="A73" s="70" t="s">
        <v>73</v>
      </c>
      <c r="B73" s="70" t="s">
        <v>636</v>
      </c>
      <c r="C73" s="71">
        <v>1.73748465E10</v>
      </c>
    </row>
    <row r="74" ht="15.75" customHeight="1">
      <c r="A74" s="70" t="s">
        <v>77</v>
      </c>
      <c r="B74" s="70" t="s">
        <v>637</v>
      </c>
      <c r="C74" s="71">
        <v>1.5127209164E10</v>
      </c>
    </row>
    <row r="75" ht="15.75" customHeight="1">
      <c r="A75" s="70" t="s">
        <v>79</v>
      </c>
      <c r="B75" s="70" t="s">
        <v>638</v>
      </c>
      <c r="C75" s="71">
        <v>1.8326225548E10</v>
      </c>
    </row>
    <row r="76" ht="15.75" customHeight="1">
      <c r="A76" s="70" t="s">
        <v>78</v>
      </c>
      <c r="B76" s="70" t="s">
        <v>639</v>
      </c>
      <c r="C76" s="71">
        <v>1.8303513205E10</v>
      </c>
    </row>
    <row r="77" ht="15.75" customHeight="1">
      <c r="A77" s="70" t="s">
        <v>76</v>
      </c>
      <c r="B77" s="70" t="s">
        <v>640</v>
      </c>
      <c r="C77" s="71">
        <v>1.8503466135E10</v>
      </c>
    </row>
    <row r="78" ht="15.75" customHeight="1">
      <c r="A78" s="70" t="s">
        <v>80</v>
      </c>
      <c r="B78" s="70" t="s">
        <v>641</v>
      </c>
      <c r="C78" s="71">
        <v>1.5405323943E10</v>
      </c>
    </row>
    <row r="79" ht="15.75" customHeight="1">
      <c r="A79" s="70" t="s">
        <v>81</v>
      </c>
      <c r="B79" s="70" t="s">
        <v>642</v>
      </c>
      <c r="C79" s="71">
        <v>1.5129445335E10</v>
      </c>
    </row>
    <row r="80" ht="15.75" customHeight="1">
      <c r="A80" s="70" t="s">
        <v>82</v>
      </c>
      <c r="B80" s="70" t="s">
        <v>643</v>
      </c>
      <c r="C80" s="71">
        <v>1.5129939123E10</v>
      </c>
    </row>
    <row r="81" ht="15.75" customHeight="1">
      <c r="A81" s="70" t="s">
        <v>237</v>
      </c>
      <c r="B81" s="70" t="s">
        <v>644</v>
      </c>
      <c r="C81" s="71">
        <v>1.2108571487E10</v>
      </c>
    </row>
    <row r="82" ht="15.75" customHeight="1">
      <c r="A82" s="70" t="s">
        <v>117</v>
      </c>
      <c r="B82" s="70" t="s">
        <v>645</v>
      </c>
      <c r="C82" s="71">
        <v>1.9727033032E10</v>
      </c>
    </row>
    <row r="83" ht="15.75" customHeight="1">
      <c r="A83" s="70" t="s">
        <v>85</v>
      </c>
      <c r="B83" s="70" t="s">
        <v>646</v>
      </c>
      <c r="C83" s="71">
        <v>1.8124561321E10</v>
      </c>
    </row>
    <row r="84" ht="15.75" customHeight="1">
      <c r="A84" s="70" t="s">
        <v>83</v>
      </c>
      <c r="B84" s="70" t="s">
        <v>647</v>
      </c>
      <c r="C84" s="71">
        <v>1.2105699512E10</v>
      </c>
    </row>
    <row r="85" ht="15.75" customHeight="1">
      <c r="A85" s="70" t="s">
        <v>84</v>
      </c>
      <c r="B85" s="70" t="s">
        <v>648</v>
      </c>
      <c r="C85" s="71">
        <v>1.5129697317E10</v>
      </c>
    </row>
    <row r="86" ht="15.75" customHeight="1">
      <c r="A86" s="70" t="s">
        <v>238</v>
      </c>
      <c r="B86" s="70" t="s">
        <v>649</v>
      </c>
      <c r="C86" s="71">
        <v>1.2623323559E10</v>
      </c>
    </row>
    <row r="87" ht="15.75" customHeight="1">
      <c r="A87" s="70" t="s">
        <v>96</v>
      </c>
      <c r="B87" s="70" t="s">
        <v>650</v>
      </c>
      <c r="C87" s="71">
        <v>1.2232211018E10</v>
      </c>
    </row>
    <row r="88" ht="15.75" customHeight="1">
      <c r="A88" s="70" t="s">
        <v>257</v>
      </c>
      <c r="B88" s="70" t="s">
        <v>651</v>
      </c>
      <c r="C88" s="71">
        <v>1.956862023E10</v>
      </c>
    </row>
    <row r="89" ht="15.75" customHeight="1">
      <c r="A89" s="70" t="s">
        <v>113</v>
      </c>
      <c r="B89" s="70" t="s">
        <v>652</v>
      </c>
      <c r="C89" s="71">
        <v>1.5129715221E10</v>
      </c>
    </row>
    <row r="90" ht="15.75" customHeight="1">
      <c r="A90" s="70" t="s">
        <v>98</v>
      </c>
      <c r="B90" s="70" t="s">
        <v>653</v>
      </c>
      <c r="C90" s="71">
        <v>1.6306965048E10</v>
      </c>
    </row>
    <row r="91" ht="15.75" customHeight="1">
      <c r="A91" s="70" t="s">
        <v>239</v>
      </c>
      <c r="B91" s="74" t="s">
        <v>654</v>
      </c>
      <c r="C91" s="73">
        <v>1.9703673554E10</v>
      </c>
    </row>
    <row r="92" ht="15.75" customHeight="1">
      <c r="A92" s="70" t="s">
        <v>105</v>
      </c>
      <c r="B92" s="70" t="s">
        <v>655</v>
      </c>
      <c r="C92" s="71">
        <v>1.6508618221E10</v>
      </c>
    </row>
    <row r="93" ht="15.75" customHeight="1">
      <c r="A93" s="70" t="s">
        <v>16</v>
      </c>
      <c r="B93" s="75" t="s">
        <v>601</v>
      </c>
      <c r="C93" s="71">
        <v>1.5129758207E10</v>
      </c>
    </row>
    <row r="94" ht="15.75" customHeight="1">
      <c r="A94" s="70" t="s">
        <v>240</v>
      </c>
      <c r="B94" s="75" t="s">
        <v>656</v>
      </c>
      <c r="C94" s="71">
        <v>1.7657671639E10</v>
      </c>
    </row>
    <row r="95" ht="15.75" customHeight="1">
      <c r="A95" s="70" t="s">
        <v>87</v>
      </c>
      <c r="B95" s="70" t="s">
        <v>657</v>
      </c>
      <c r="C95" s="71">
        <v>1.4045098272E10</v>
      </c>
    </row>
    <row r="96" ht="15.75" customHeight="1">
      <c r="A96" s="70" t="s">
        <v>316</v>
      </c>
      <c r="B96" s="70" t="s">
        <v>658</v>
      </c>
      <c r="C96" s="71">
        <v>1.4438049772E10</v>
      </c>
    </row>
    <row r="97" ht="15.75" customHeight="1">
      <c r="A97" s="70" t="s">
        <v>659</v>
      </c>
      <c r="B97" s="75" t="s">
        <v>660</v>
      </c>
      <c r="C97" s="73">
        <v>1.7032680226E10</v>
      </c>
    </row>
    <row r="98" ht="15.75" customHeight="1">
      <c r="A98" s="74" t="s">
        <v>661</v>
      </c>
      <c r="B98" s="74" t="s">
        <v>654</v>
      </c>
      <c r="C98" s="73">
        <v>1.8582137722E10</v>
      </c>
    </row>
    <row r="99" ht="15.75" customHeight="1">
      <c r="A99" s="70" t="s">
        <v>89</v>
      </c>
      <c r="B99" s="74" t="s">
        <v>654</v>
      </c>
      <c r="C99" s="73">
        <v>1.8582131027E10</v>
      </c>
    </row>
    <row r="100" ht="15.75" customHeight="1">
      <c r="A100" s="70" t="s">
        <v>317</v>
      </c>
      <c r="B100" s="70" t="s">
        <v>662</v>
      </c>
      <c r="C100" s="71">
        <v>1.8303778148E10</v>
      </c>
    </row>
    <row r="101" ht="15.75" customHeight="1">
      <c r="A101" s="70" t="s">
        <v>109</v>
      </c>
      <c r="B101" s="70" t="s">
        <v>663</v>
      </c>
      <c r="C101" s="71">
        <v>1.5125690784E10</v>
      </c>
    </row>
    <row r="102" ht="15.75" customHeight="1">
      <c r="A102" s="70" t="s">
        <v>119</v>
      </c>
      <c r="B102" s="70" t="s">
        <v>664</v>
      </c>
      <c r="C102" s="71">
        <v>1.73735745E10</v>
      </c>
    </row>
    <row r="103" ht="15.75" customHeight="1">
      <c r="A103" s="70" t="s">
        <v>90</v>
      </c>
      <c r="B103" s="70" t="s">
        <v>665</v>
      </c>
      <c r="C103" s="71">
        <v>1.7167831417E10</v>
      </c>
    </row>
    <row r="104" ht="15.75" customHeight="1">
      <c r="A104" s="70" t="s">
        <v>241</v>
      </c>
      <c r="B104" s="70" t="s">
        <v>666</v>
      </c>
      <c r="C104" s="71">
        <v>1.6164434636E10</v>
      </c>
    </row>
    <row r="105" ht="15.75" customHeight="1">
      <c r="A105" s="70" t="s">
        <v>93</v>
      </c>
      <c r="B105" s="70" t="s">
        <v>667</v>
      </c>
      <c r="C105" s="71">
        <v>1.5126931453E10</v>
      </c>
    </row>
    <row r="106" ht="15.75" customHeight="1">
      <c r="A106" s="70" t="s">
        <v>91</v>
      </c>
      <c r="B106" s="70" t="s">
        <v>668</v>
      </c>
      <c r="C106" s="71">
        <v>1.7133977686E10</v>
      </c>
    </row>
    <row r="107" ht="15.75" customHeight="1">
      <c r="A107" s="70" t="s">
        <v>669</v>
      </c>
      <c r="B107" s="70" t="s">
        <v>670</v>
      </c>
      <c r="C107" s="71">
        <v>1.5126573685E10</v>
      </c>
    </row>
    <row r="108" ht="15.75" customHeight="1">
      <c r="A108" s="70" t="s">
        <v>135</v>
      </c>
      <c r="B108" s="70" t="s">
        <v>671</v>
      </c>
      <c r="C108" s="71">
        <v>1.5129548099E10</v>
      </c>
    </row>
    <row r="109" ht="15.75" customHeight="1">
      <c r="A109" s="70" t="s">
        <v>318</v>
      </c>
      <c r="B109" s="70" t="s">
        <v>672</v>
      </c>
      <c r="C109" s="71">
        <v>1.7377701606E10</v>
      </c>
    </row>
    <row r="110" ht="15.75" customHeight="1">
      <c r="A110" s="70" t="s">
        <v>264</v>
      </c>
      <c r="B110" s="70" t="s">
        <v>673</v>
      </c>
      <c r="C110" s="71">
        <v>1.7372889601E10</v>
      </c>
    </row>
    <row r="111" ht="15.75" customHeight="1">
      <c r="A111" s="70" t="s">
        <v>97</v>
      </c>
      <c r="B111" s="70" t="s">
        <v>674</v>
      </c>
      <c r="C111" s="71">
        <v>1.2026026799E10</v>
      </c>
    </row>
    <row r="112" ht="15.75" customHeight="1">
      <c r="A112" s="70" t="s">
        <v>319</v>
      </c>
      <c r="B112" s="70" t="s">
        <v>675</v>
      </c>
      <c r="C112" s="71">
        <v>1.5127991624E10</v>
      </c>
    </row>
    <row r="113" ht="15.75" customHeight="1">
      <c r="A113" s="70" t="s">
        <v>95</v>
      </c>
      <c r="B113" s="70" t="s">
        <v>676</v>
      </c>
      <c r="C113" s="71">
        <v>1.7179171485E10</v>
      </c>
    </row>
    <row r="114" ht="15.75" customHeight="1">
      <c r="A114" s="70" t="s">
        <v>94</v>
      </c>
      <c r="B114" s="74" t="s">
        <v>654</v>
      </c>
      <c r="C114" s="73">
        <v>1.5122998729E10</v>
      </c>
    </row>
    <row r="115" ht="15.75" customHeight="1">
      <c r="A115" s="70" t="s">
        <v>677</v>
      </c>
      <c r="B115" s="70" t="s">
        <v>678</v>
      </c>
      <c r="C115" s="71">
        <v>1.5122279859E10</v>
      </c>
    </row>
    <row r="116" ht="15.75" customHeight="1">
      <c r="A116" s="70" t="s">
        <v>320</v>
      </c>
      <c r="B116" s="70" t="s">
        <v>679</v>
      </c>
      <c r="C116" s="71">
        <v>1.3104035837E10</v>
      </c>
    </row>
    <row r="117" ht="15.75" customHeight="1">
      <c r="A117" s="70" t="s">
        <v>321</v>
      </c>
      <c r="B117" s="70" t="s">
        <v>680</v>
      </c>
      <c r="C117" s="71">
        <v>1.2144054774E10</v>
      </c>
    </row>
    <row r="118" ht="15.75" customHeight="1">
      <c r="A118" s="70" t="s">
        <v>99</v>
      </c>
      <c r="B118" s="70" t="s">
        <v>681</v>
      </c>
      <c r="C118" s="71">
        <v>1.5129937263E10</v>
      </c>
    </row>
    <row r="119" ht="15.75" customHeight="1">
      <c r="A119" s="70" t="s">
        <v>100</v>
      </c>
      <c r="B119" s="70" t="s">
        <v>682</v>
      </c>
      <c r="C119" s="71">
        <v>1.5127757156E10</v>
      </c>
    </row>
    <row r="120" ht="15.75" customHeight="1">
      <c r="A120" s="70" t="s">
        <v>242</v>
      </c>
      <c r="B120" s="70" t="s">
        <v>683</v>
      </c>
      <c r="C120" s="71">
        <v>1.5125543899E10</v>
      </c>
    </row>
    <row r="121" ht="15.75" customHeight="1">
      <c r="A121" s="70" t="s">
        <v>101</v>
      </c>
      <c r="B121" s="70" t="s">
        <v>684</v>
      </c>
      <c r="C121" s="71">
        <v>1.4085902908E10</v>
      </c>
    </row>
    <row r="122" ht="15.75" customHeight="1">
      <c r="A122" s="70" t="s">
        <v>243</v>
      </c>
      <c r="B122" s="70" t="s">
        <v>685</v>
      </c>
      <c r="C122" s="71">
        <v>1.7162259112E10</v>
      </c>
    </row>
    <row r="123" ht="15.75" customHeight="1">
      <c r="A123" s="70" t="s">
        <v>259</v>
      </c>
      <c r="B123" s="70" t="s">
        <v>654</v>
      </c>
      <c r="C123" s="73">
        <v>1.5129948247E10</v>
      </c>
    </row>
    <row r="124" ht="15.75" customHeight="1">
      <c r="A124" s="70" t="s">
        <v>686</v>
      </c>
      <c r="B124" s="70" t="s">
        <v>687</v>
      </c>
      <c r="C124" s="71">
        <v>1.512300812E10</v>
      </c>
    </row>
    <row r="125" ht="15.75" customHeight="1">
      <c r="A125" s="70" t="s">
        <v>103</v>
      </c>
      <c r="B125" s="70" t="s">
        <v>688</v>
      </c>
      <c r="C125" s="71">
        <v>1.9792576987E10</v>
      </c>
    </row>
    <row r="126" ht="15.75" customHeight="1">
      <c r="A126" s="70" t="s">
        <v>102</v>
      </c>
      <c r="B126" s="70" t="s">
        <v>689</v>
      </c>
      <c r="C126" s="71">
        <v>1.8172697663E10</v>
      </c>
    </row>
    <row r="127" ht="15.75" customHeight="1">
      <c r="A127" s="70" t="s">
        <v>110</v>
      </c>
      <c r="B127" s="70" t="s">
        <v>690</v>
      </c>
      <c r="C127" s="73">
        <v>1.5714042988E10</v>
      </c>
    </row>
    <row r="128" ht="15.75" customHeight="1">
      <c r="A128" s="70" t="s">
        <v>245</v>
      </c>
      <c r="B128" s="70" t="s">
        <v>691</v>
      </c>
      <c r="C128" s="71">
        <v>1.8323871786E10</v>
      </c>
    </row>
    <row r="129" ht="15.75" customHeight="1">
      <c r="A129" s="70" t="s">
        <v>106</v>
      </c>
      <c r="B129" s="70" t="s">
        <v>692</v>
      </c>
      <c r="C129" s="71">
        <v>1.4348518406E10</v>
      </c>
    </row>
    <row r="130" ht="15.75" customHeight="1">
      <c r="A130" s="70" t="s">
        <v>244</v>
      </c>
      <c r="B130" s="70" t="s">
        <v>693</v>
      </c>
      <c r="C130" s="71">
        <v>1.3057819565E10</v>
      </c>
    </row>
    <row r="131" ht="15.75" customHeight="1">
      <c r="A131" s="70" t="s">
        <v>694</v>
      </c>
      <c r="B131" s="70" t="s">
        <v>695</v>
      </c>
      <c r="C131" s="71">
        <v>1.7379001807E10</v>
      </c>
    </row>
    <row r="132" ht="15.75" customHeight="1">
      <c r="A132" s="70" t="s">
        <v>107</v>
      </c>
      <c r="B132" s="70" t="s">
        <v>696</v>
      </c>
      <c r="C132" s="71">
        <v>1.8325358811E10</v>
      </c>
    </row>
    <row r="133" ht="15.75" customHeight="1">
      <c r="A133" s="70" t="s">
        <v>108</v>
      </c>
      <c r="B133" s="70" t="s">
        <v>697</v>
      </c>
      <c r="C133" s="71">
        <v>1.8326146175E10</v>
      </c>
    </row>
    <row r="134" ht="15.75" customHeight="1">
      <c r="A134" s="70" t="s">
        <v>142</v>
      </c>
      <c r="B134" s="70" t="s">
        <v>698</v>
      </c>
      <c r="C134" s="71">
        <v>1.5124174412E10</v>
      </c>
    </row>
    <row r="135" ht="15.75" customHeight="1">
      <c r="A135" s="70" t="s">
        <v>247</v>
      </c>
      <c r="B135" s="70" t="s">
        <v>699</v>
      </c>
      <c r="C135" s="71">
        <v>1.5126058361E10</v>
      </c>
    </row>
    <row r="136" ht="15.75" customHeight="1">
      <c r="A136" s="70" t="s">
        <v>249</v>
      </c>
      <c r="B136" s="70" t="s">
        <v>700</v>
      </c>
      <c r="C136" s="71">
        <v>1.5049081826E10</v>
      </c>
    </row>
    <row r="137" ht="15.75" customHeight="1">
      <c r="A137" s="70" t="s">
        <v>248</v>
      </c>
      <c r="B137" s="70" t="s">
        <v>701</v>
      </c>
      <c r="C137" s="71">
        <v>1.5128089137E10</v>
      </c>
    </row>
    <row r="138" ht="15.75" customHeight="1">
      <c r="A138" s="70" t="s">
        <v>111</v>
      </c>
      <c r="B138" s="70" t="s">
        <v>702</v>
      </c>
      <c r="C138" s="71">
        <v>1.6208054024E10</v>
      </c>
    </row>
    <row r="139" ht="15.75" customHeight="1">
      <c r="A139" s="70" t="s">
        <v>251</v>
      </c>
      <c r="B139" s="70" t="s">
        <v>703</v>
      </c>
      <c r="C139" s="71">
        <v>1.7042076504E10</v>
      </c>
    </row>
    <row r="140" ht="15.75" customHeight="1">
      <c r="A140" s="70" t="s">
        <v>322</v>
      </c>
      <c r="B140" s="70" t="s">
        <v>704</v>
      </c>
      <c r="C140" s="71">
        <v>1.4043721058E10</v>
      </c>
    </row>
    <row r="141" ht="15.75" customHeight="1">
      <c r="A141" s="70" t="s">
        <v>705</v>
      </c>
      <c r="B141" s="70" t="s">
        <v>706</v>
      </c>
      <c r="C141" s="71">
        <v>1.3179102679E10</v>
      </c>
    </row>
    <row r="142" ht="15.75" customHeight="1">
      <c r="A142" s="70" t="s">
        <v>112</v>
      </c>
      <c r="B142" s="70" t="s">
        <v>707</v>
      </c>
      <c r="C142" s="71">
        <v>1.7135919484E10</v>
      </c>
    </row>
    <row r="143" ht="15.75" customHeight="1">
      <c r="A143" s="70" t="s">
        <v>325</v>
      </c>
      <c r="B143" s="70" t="s">
        <v>708</v>
      </c>
      <c r="C143" s="71">
        <v>1.6303330398E10</v>
      </c>
    </row>
    <row r="144" ht="15.75" customHeight="1">
      <c r="A144" s="70" t="s">
        <v>209</v>
      </c>
      <c r="B144" s="70" t="s">
        <v>709</v>
      </c>
      <c r="C144" s="71">
        <v>1.512497618E10</v>
      </c>
    </row>
    <row r="145" ht="15.75" customHeight="1">
      <c r="A145" s="70" t="s">
        <v>115</v>
      </c>
      <c r="B145" s="70" t="s">
        <v>710</v>
      </c>
      <c r="C145" s="71">
        <v>1.2246885988E10</v>
      </c>
    </row>
    <row r="146" ht="15.75" customHeight="1">
      <c r="A146" s="70" t="s">
        <v>711</v>
      </c>
      <c r="B146" s="70" t="s">
        <v>712</v>
      </c>
      <c r="C146" s="71">
        <v>1.4074627264E10</v>
      </c>
    </row>
    <row r="147" ht="15.75" customHeight="1">
      <c r="A147" s="70" t="s">
        <v>324</v>
      </c>
      <c r="B147" s="70" t="s">
        <v>713</v>
      </c>
      <c r="C147" s="71">
        <v>1.5742268013E10</v>
      </c>
    </row>
    <row r="148" ht="15.75" customHeight="1">
      <c r="A148" s="70" t="s">
        <v>118</v>
      </c>
      <c r="B148" s="75" t="s">
        <v>714</v>
      </c>
      <c r="C148" s="71">
        <v>1.8326335115E10</v>
      </c>
    </row>
    <row r="149" ht="15.75" customHeight="1">
      <c r="A149" s="70" t="s">
        <v>715</v>
      </c>
      <c r="B149" s="75" t="s">
        <v>716</v>
      </c>
      <c r="C149" s="71">
        <v>1.5129066371E10</v>
      </c>
    </row>
    <row r="150" ht="15.75" customHeight="1">
      <c r="A150" s="70" t="s">
        <v>326</v>
      </c>
      <c r="B150" s="75" t="s">
        <v>717</v>
      </c>
      <c r="C150" s="71">
        <v>1.5127887897E10</v>
      </c>
    </row>
    <row r="151" ht="15.75" customHeight="1">
      <c r="A151" s="70" t="s">
        <v>253</v>
      </c>
      <c r="B151" s="75" t="s">
        <v>718</v>
      </c>
      <c r="C151" s="71">
        <v>1.760851665E10</v>
      </c>
    </row>
    <row r="152" ht="15.75" customHeight="1">
      <c r="A152" s="70" t="s">
        <v>150</v>
      </c>
      <c r="B152" s="75" t="s">
        <v>719</v>
      </c>
      <c r="C152" s="71">
        <v>1.512379107E10</v>
      </c>
    </row>
    <row r="153" ht="15.75" customHeight="1">
      <c r="A153" s="70" t="s">
        <v>252</v>
      </c>
      <c r="B153" s="75" t="s">
        <v>720</v>
      </c>
      <c r="C153" s="71">
        <v>1.5124686475E10</v>
      </c>
    </row>
    <row r="154" ht="15.75" customHeight="1">
      <c r="A154" s="70" t="s">
        <v>254</v>
      </c>
      <c r="B154" s="75" t="s">
        <v>721</v>
      </c>
      <c r="C154" s="71">
        <v>1.9204896688E10</v>
      </c>
    </row>
    <row r="155" ht="15.75" customHeight="1">
      <c r="A155" s="70" t="s">
        <v>120</v>
      </c>
      <c r="B155" s="70" t="s">
        <v>722</v>
      </c>
      <c r="C155" s="71">
        <v>1.5125747085E10</v>
      </c>
    </row>
    <row r="156" ht="15.75" customHeight="1">
      <c r="A156" s="70" t="s">
        <v>255</v>
      </c>
      <c r="B156" s="70" t="s">
        <v>630</v>
      </c>
      <c r="C156" s="71">
        <v>1.512739931E10</v>
      </c>
    </row>
    <row r="157" ht="15.75" customHeight="1">
      <c r="A157" s="70" t="s">
        <v>327</v>
      </c>
      <c r="B157" s="70" t="s">
        <v>723</v>
      </c>
      <c r="C157" s="71">
        <v>1.6502136885E10</v>
      </c>
    </row>
    <row r="158" ht="15.75" customHeight="1">
      <c r="A158" s="70" t="s">
        <v>121</v>
      </c>
      <c r="B158" s="70" t="s">
        <v>724</v>
      </c>
      <c r="C158" s="71">
        <v>1.4348069086E10</v>
      </c>
    </row>
    <row r="159" ht="15.75" customHeight="1">
      <c r="A159" s="70" t="s">
        <v>123</v>
      </c>
      <c r="B159" s="70" t="s">
        <v>725</v>
      </c>
      <c r="C159" s="71">
        <v>1.7313347411E10</v>
      </c>
    </row>
    <row r="160" ht="15.75" customHeight="1">
      <c r="A160" s="70" t="s">
        <v>328</v>
      </c>
      <c r="B160" s="70" t="s">
        <v>726</v>
      </c>
      <c r="C160" s="71">
        <v>1.512969172E10</v>
      </c>
    </row>
    <row r="161" ht="15.75" customHeight="1">
      <c r="A161" s="70" t="s">
        <v>124</v>
      </c>
      <c r="B161" s="70" t="s">
        <v>727</v>
      </c>
      <c r="C161" s="71">
        <v>1.7379775508E10</v>
      </c>
    </row>
    <row r="162" ht="15.75" customHeight="1">
      <c r="A162" s="70" t="s">
        <v>122</v>
      </c>
      <c r="B162" s="75" t="s">
        <v>728</v>
      </c>
      <c r="C162" s="71">
        <v>1.6183830855E10</v>
      </c>
    </row>
    <row r="163" ht="15.75" customHeight="1">
      <c r="A163" s="70" t="s">
        <v>128</v>
      </c>
      <c r="B163" s="70" t="s">
        <v>729</v>
      </c>
      <c r="C163" s="71">
        <v>1.3617288757E10</v>
      </c>
    </row>
    <row r="164" ht="15.75" customHeight="1">
      <c r="A164" s="70" t="s">
        <v>133</v>
      </c>
      <c r="B164" s="70" t="s">
        <v>730</v>
      </c>
      <c r="C164" s="71">
        <v>1.2544213168E10</v>
      </c>
    </row>
    <row r="165" ht="15.75" customHeight="1">
      <c r="A165" s="70" t="s">
        <v>132</v>
      </c>
      <c r="B165" s="70" t="s">
        <v>731</v>
      </c>
      <c r="C165" s="71">
        <v>1.2818511461E10</v>
      </c>
    </row>
    <row r="166" ht="15.75" customHeight="1">
      <c r="A166" s="70" t="s">
        <v>126</v>
      </c>
      <c r="B166" s="70" t="s">
        <v>732</v>
      </c>
      <c r="C166" s="71">
        <v>1.8327668339E10</v>
      </c>
    </row>
    <row r="167" ht="15.75" customHeight="1">
      <c r="A167" s="70" t="s">
        <v>733</v>
      </c>
      <c r="B167" s="70" t="s">
        <v>734</v>
      </c>
      <c r="C167" s="71">
        <v>1.2522882683E10</v>
      </c>
    </row>
    <row r="168" ht="15.75" customHeight="1">
      <c r="A168" s="70" t="s">
        <v>134</v>
      </c>
      <c r="B168" s="70" t="s">
        <v>735</v>
      </c>
      <c r="C168" s="71">
        <v>1.5128222647E10</v>
      </c>
    </row>
    <row r="169" ht="15.75" customHeight="1">
      <c r="A169" s="70" t="s">
        <v>130</v>
      </c>
      <c r="B169" s="70" t="s">
        <v>736</v>
      </c>
      <c r="C169" s="71">
        <v>1.8322307866E10</v>
      </c>
    </row>
    <row r="170" ht="15.75" customHeight="1">
      <c r="A170" s="70" t="s">
        <v>129</v>
      </c>
      <c r="B170" s="70" t="s">
        <v>737</v>
      </c>
      <c r="C170" s="71">
        <v>1.8328678395E10</v>
      </c>
    </row>
    <row r="171" ht="15.75" customHeight="1">
      <c r="A171" s="70" t="s">
        <v>131</v>
      </c>
      <c r="B171" s="75" t="s">
        <v>738</v>
      </c>
      <c r="C171" s="71">
        <v>1.9407044414E10</v>
      </c>
    </row>
    <row r="172" ht="15.75" customHeight="1">
      <c r="A172" s="70" t="s">
        <v>125</v>
      </c>
      <c r="B172" s="70" t="s">
        <v>739</v>
      </c>
      <c r="C172" s="71">
        <v>1.9403903121E10</v>
      </c>
    </row>
    <row r="173" ht="15.75" customHeight="1">
      <c r="A173" s="70" t="s">
        <v>127</v>
      </c>
      <c r="B173" s="70" t="s">
        <v>740</v>
      </c>
      <c r="C173" s="71">
        <v>1.9197582272E10</v>
      </c>
    </row>
    <row r="174" ht="15.75" customHeight="1">
      <c r="A174" s="70" t="s">
        <v>329</v>
      </c>
      <c r="B174" s="74" t="s">
        <v>654</v>
      </c>
      <c r="C174" s="73" t="s">
        <v>654</v>
      </c>
    </row>
    <row r="175" ht="15.75" customHeight="1">
      <c r="A175" s="70" t="s">
        <v>137</v>
      </c>
      <c r="B175" s="70" t="s">
        <v>741</v>
      </c>
      <c r="C175" s="71">
        <v>1.9709486022E10</v>
      </c>
    </row>
    <row r="176" ht="15.75" customHeight="1">
      <c r="A176" s="70" t="s">
        <v>136</v>
      </c>
      <c r="B176" s="70" t="s">
        <v>742</v>
      </c>
      <c r="C176" s="71">
        <v>1.5128091138E10</v>
      </c>
    </row>
    <row r="177" ht="15.75" customHeight="1">
      <c r="A177" s="70" t="s">
        <v>138</v>
      </c>
      <c r="B177" s="70" t="s">
        <v>743</v>
      </c>
      <c r="C177" s="71">
        <v>1.7373891784E10</v>
      </c>
    </row>
    <row r="178" ht="15.75" customHeight="1">
      <c r="A178" s="70" t="s">
        <v>167</v>
      </c>
      <c r="B178" s="70"/>
      <c r="C178" s="73">
        <v>1.936346128E10</v>
      </c>
    </row>
    <row r="179" ht="15.75" customHeight="1">
      <c r="A179" s="70" t="s">
        <v>744</v>
      </c>
      <c r="B179" s="70" t="s">
        <v>745</v>
      </c>
      <c r="C179" s="71">
        <v>1.210464425E10</v>
      </c>
    </row>
    <row r="180" ht="15.75" customHeight="1">
      <c r="A180" s="70" t="s">
        <v>140</v>
      </c>
      <c r="B180" s="70" t="s">
        <v>746</v>
      </c>
      <c r="C180" s="71">
        <v>1.5127347434E10</v>
      </c>
    </row>
    <row r="181" ht="15.75" customHeight="1">
      <c r="A181" s="70" t="s">
        <v>141</v>
      </c>
      <c r="B181" s="70" t="s">
        <v>747</v>
      </c>
      <c r="C181" s="71">
        <v>1.3107172349E10</v>
      </c>
    </row>
    <row r="182" ht="15.75" customHeight="1">
      <c r="A182" s="70" t="s">
        <v>332</v>
      </c>
      <c r="B182" s="70" t="s">
        <v>748</v>
      </c>
      <c r="C182" s="71">
        <v>1.2022906461E10</v>
      </c>
    </row>
    <row r="183" ht="15.75" customHeight="1">
      <c r="A183" s="70" t="s">
        <v>139</v>
      </c>
      <c r="B183" s="70" t="s">
        <v>749</v>
      </c>
      <c r="C183" s="71">
        <v>1.5127884022E10</v>
      </c>
    </row>
    <row r="184" ht="15.75" customHeight="1">
      <c r="A184" s="70" t="s">
        <v>331</v>
      </c>
      <c r="B184" s="70" t="s">
        <v>750</v>
      </c>
      <c r="C184" s="71">
        <v>1.3058788911E10</v>
      </c>
    </row>
    <row r="185" ht="15.75" customHeight="1">
      <c r="A185" s="70" t="s">
        <v>334</v>
      </c>
      <c r="B185" s="70" t="s">
        <v>751</v>
      </c>
      <c r="C185" s="71">
        <v>1.5126957217E10</v>
      </c>
    </row>
    <row r="186" ht="15.75" customHeight="1">
      <c r="A186" s="70" t="s">
        <v>143</v>
      </c>
      <c r="B186" s="70" t="s">
        <v>752</v>
      </c>
      <c r="C186" s="71">
        <v>1.832289677E10</v>
      </c>
    </row>
    <row r="187" ht="15.75" customHeight="1">
      <c r="A187" s="70" t="s">
        <v>145</v>
      </c>
      <c r="B187" s="70" t="s">
        <v>753</v>
      </c>
      <c r="C187" s="71">
        <v>1.5122341587E10</v>
      </c>
    </row>
    <row r="188" ht="15.75" customHeight="1">
      <c r="A188" s="70" t="s">
        <v>144</v>
      </c>
      <c r="B188" s="70" t="s">
        <v>754</v>
      </c>
      <c r="C188" s="71">
        <v>1.5126980819E10</v>
      </c>
    </row>
    <row r="189" ht="15.75" customHeight="1">
      <c r="A189" s="70" t="s">
        <v>335</v>
      </c>
      <c r="B189" s="70" t="s">
        <v>755</v>
      </c>
      <c r="C189" s="71">
        <v>1.6823927358E10</v>
      </c>
    </row>
    <row r="190" ht="15.75" customHeight="1">
      <c r="A190" s="70" t="s">
        <v>756</v>
      </c>
      <c r="B190" s="70" t="s">
        <v>757</v>
      </c>
      <c r="C190" s="71">
        <v>1.5127390798E10</v>
      </c>
    </row>
    <row r="191" ht="15.75" customHeight="1">
      <c r="A191" s="70" t="s">
        <v>265</v>
      </c>
      <c r="B191" s="70" t="s">
        <v>758</v>
      </c>
      <c r="C191" s="71">
        <v>1.972975273E10</v>
      </c>
    </row>
    <row r="192" ht="15.75" customHeight="1">
      <c r="A192" s="70" t="s">
        <v>188</v>
      </c>
      <c r="B192" s="70" t="s">
        <v>759</v>
      </c>
      <c r="C192" s="71">
        <v>1.3368315262E10</v>
      </c>
    </row>
    <row r="193" ht="15.75" customHeight="1">
      <c r="A193" s="70" t="s">
        <v>449</v>
      </c>
      <c r="B193" s="70" t="s">
        <v>760</v>
      </c>
      <c r="C193" s="71">
        <v>1.5127345739E10</v>
      </c>
    </row>
    <row r="194" ht="15.75" customHeight="1">
      <c r="A194" s="70" t="s">
        <v>262</v>
      </c>
      <c r="B194" s="70" t="s">
        <v>761</v>
      </c>
      <c r="C194" s="71">
        <v>1.5756804796E10</v>
      </c>
    </row>
    <row r="195" ht="15.75" customHeight="1">
      <c r="A195" s="70" t="s">
        <v>149</v>
      </c>
      <c r="B195" s="70" t="s">
        <v>762</v>
      </c>
      <c r="C195" s="71">
        <v>1.6199202552E10</v>
      </c>
    </row>
    <row r="196" ht="15.75" customHeight="1">
      <c r="A196" s="70" t="s">
        <v>147</v>
      </c>
      <c r="B196" s="70" t="s">
        <v>763</v>
      </c>
      <c r="C196" s="71">
        <v>1.7372980882E10</v>
      </c>
    </row>
    <row r="197" ht="15.75" customHeight="1">
      <c r="A197" s="70" t="s">
        <v>148</v>
      </c>
      <c r="B197" s="70" t="s">
        <v>764</v>
      </c>
      <c r="C197" s="71">
        <v>1.8302218052E10</v>
      </c>
    </row>
    <row r="198" ht="15.75" customHeight="1">
      <c r="A198" s="70" t="s">
        <v>146</v>
      </c>
      <c r="B198" s="70" t="s">
        <v>765</v>
      </c>
      <c r="C198" s="71">
        <v>1.2102882134E10</v>
      </c>
    </row>
    <row r="199" ht="15.75" customHeight="1">
      <c r="A199" s="70" t="s">
        <v>269</v>
      </c>
      <c r="B199" s="70" t="s">
        <v>766</v>
      </c>
      <c r="C199" s="71">
        <v>1.7377420517E10</v>
      </c>
    </row>
    <row r="200" ht="15.75" customHeight="1">
      <c r="A200" s="70" t="s">
        <v>268</v>
      </c>
      <c r="B200" s="70" t="s">
        <v>767</v>
      </c>
      <c r="C200" s="71">
        <v>1.5124662753E10</v>
      </c>
    </row>
    <row r="201" ht="15.75" customHeight="1">
      <c r="A201" s="70" t="s">
        <v>768</v>
      </c>
      <c r="B201" s="70" t="s">
        <v>769</v>
      </c>
      <c r="C201" s="73">
        <v>1.5125501296E10</v>
      </c>
    </row>
    <row r="202" ht="15.75" customHeight="1">
      <c r="A202" s="70" t="s">
        <v>174</v>
      </c>
      <c r="B202" s="70" t="s">
        <v>770</v>
      </c>
      <c r="C202" s="73">
        <v>1.4127704457E10</v>
      </c>
    </row>
    <row r="203" ht="15.75" customHeight="1">
      <c r="A203" s="70" t="s">
        <v>270</v>
      </c>
      <c r="B203" s="70" t="s">
        <v>771</v>
      </c>
      <c r="C203" s="71">
        <v>1.5123045194E10</v>
      </c>
    </row>
    <row r="204" ht="15.75" customHeight="1">
      <c r="A204" s="70" t="s">
        <v>152</v>
      </c>
      <c r="B204" s="70" t="s">
        <v>772</v>
      </c>
      <c r="C204" s="71">
        <v>1.8155701294E10</v>
      </c>
    </row>
    <row r="205" ht="15.75" customHeight="1">
      <c r="A205" s="70" t="s">
        <v>773</v>
      </c>
      <c r="B205" s="70" t="s">
        <v>774</v>
      </c>
      <c r="C205" s="71">
        <v>1.860205978E10</v>
      </c>
    </row>
    <row r="206" ht="15.75" customHeight="1">
      <c r="A206" s="70" t="s">
        <v>271</v>
      </c>
      <c r="B206" s="70" t="s">
        <v>775</v>
      </c>
      <c r="C206" s="71">
        <v>1.5756805256E10</v>
      </c>
    </row>
    <row r="207" ht="15.75" customHeight="1">
      <c r="A207" s="70" t="s">
        <v>155</v>
      </c>
      <c r="B207" s="70" t="s">
        <v>776</v>
      </c>
      <c r="C207" s="76" t="s">
        <v>777</v>
      </c>
    </row>
    <row r="208" ht="15.75" customHeight="1">
      <c r="A208" s="70" t="s">
        <v>337</v>
      </c>
      <c r="B208" s="70" t="s">
        <v>778</v>
      </c>
      <c r="C208" s="76" t="s">
        <v>779</v>
      </c>
    </row>
    <row r="209" ht="15.75" customHeight="1">
      <c r="A209" s="70" t="s">
        <v>336</v>
      </c>
      <c r="B209" s="70" t="s">
        <v>780</v>
      </c>
      <c r="C209" s="76" t="s">
        <v>781</v>
      </c>
    </row>
    <row r="210" ht="15.75" customHeight="1">
      <c r="A210" s="70" t="s">
        <v>272</v>
      </c>
      <c r="B210" s="70" t="s">
        <v>782</v>
      </c>
      <c r="C210" s="76" t="s">
        <v>783</v>
      </c>
    </row>
    <row r="211" ht="15.75" customHeight="1">
      <c r="A211" s="70" t="s">
        <v>170</v>
      </c>
      <c r="B211" s="70" t="s">
        <v>784</v>
      </c>
      <c r="C211" s="76" t="s">
        <v>785</v>
      </c>
    </row>
    <row r="212" ht="15.75" customHeight="1">
      <c r="A212" s="70" t="s">
        <v>154</v>
      </c>
      <c r="B212" s="70" t="s">
        <v>786</v>
      </c>
      <c r="C212" s="76" t="s">
        <v>787</v>
      </c>
    </row>
    <row r="213" ht="15.75" customHeight="1">
      <c r="A213" s="70" t="s">
        <v>161</v>
      </c>
      <c r="B213" s="70" t="s">
        <v>788</v>
      </c>
      <c r="C213" s="76" t="s">
        <v>789</v>
      </c>
    </row>
    <row r="214" ht="15.75" customHeight="1">
      <c r="A214" s="70" t="s">
        <v>160</v>
      </c>
      <c r="B214" s="70" t="s">
        <v>790</v>
      </c>
      <c r="C214" s="76" t="s">
        <v>791</v>
      </c>
    </row>
    <row r="215" ht="15.75" customHeight="1">
      <c r="A215" s="70" t="s">
        <v>168</v>
      </c>
      <c r="B215" s="70" t="s">
        <v>792</v>
      </c>
      <c r="C215" s="76" t="s">
        <v>793</v>
      </c>
    </row>
    <row r="216" ht="15.75" customHeight="1">
      <c r="A216" s="70" t="s">
        <v>794</v>
      </c>
      <c r="B216" s="70" t="s">
        <v>795</v>
      </c>
      <c r="C216" s="76" t="s">
        <v>796</v>
      </c>
    </row>
    <row r="217" ht="15.75" customHeight="1">
      <c r="A217" s="70" t="s">
        <v>159</v>
      </c>
      <c r="B217" s="70" t="s">
        <v>797</v>
      </c>
      <c r="C217" s="76" t="s">
        <v>798</v>
      </c>
    </row>
    <row r="218" ht="15.75" customHeight="1">
      <c r="A218" s="70" t="s">
        <v>273</v>
      </c>
      <c r="B218" s="70" t="s">
        <v>799</v>
      </c>
      <c r="C218" s="76" t="s">
        <v>800</v>
      </c>
    </row>
    <row r="219" ht="15.75" customHeight="1">
      <c r="A219" s="70" t="s">
        <v>164</v>
      </c>
      <c r="B219" s="70" t="s">
        <v>801</v>
      </c>
      <c r="C219" s="76" t="s">
        <v>802</v>
      </c>
    </row>
    <row r="220" ht="15.75" customHeight="1">
      <c r="A220" s="70" t="s">
        <v>162</v>
      </c>
      <c r="B220" s="70" t="s">
        <v>803</v>
      </c>
      <c r="C220" s="76" t="s">
        <v>804</v>
      </c>
    </row>
    <row r="221" ht="15.75" customHeight="1">
      <c r="A221" s="70" t="s">
        <v>165</v>
      </c>
      <c r="B221" s="70" t="s">
        <v>805</v>
      </c>
      <c r="C221" s="76" t="s">
        <v>806</v>
      </c>
    </row>
    <row r="222" ht="15.75" customHeight="1">
      <c r="A222" s="70" t="s">
        <v>353</v>
      </c>
      <c r="B222" s="70" t="s">
        <v>807</v>
      </c>
      <c r="C222" s="76" t="s">
        <v>808</v>
      </c>
    </row>
    <row r="223" ht="15.75" customHeight="1">
      <c r="A223" s="70" t="s">
        <v>166</v>
      </c>
      <c r="B223" s="70" t="s">
        <v>809</v>
      </c>
      <c r="C223" s="76" t="s">
        <v>810</v>
      </c>
    </row>
    <row r="224" ht="15.75" customHeight="1">
      <c r="A224" s="70" t="s">
        <v>157</v>
      </c>
      <c r="B224" s="70" t="s">
        <v>811</v>
      </c>
      <c r="C224" s="76" t="s">
        <v>812</v>
      </c>
    </row>
    <row r="225" ht="15.75" customHeight="1">
      <c r="A225" s="70" t="s">
        <v>813</v>
      </c>
      <c r="B225" s="70" t="s">
        <v>814</v>
      </c>
      <c r="C225" s="71" t="s">
        <v>814</v>
      </c>
    </row>
    <row r="226" ht="15.75" customHeight="1">
      <c r="A226" s="70" t="s">
        <v>276</v>
      </c>
      <c r="B226" s="70" t="s">
        <v>815</v>
      </c>
      <c r="C226" s="76" t="s">
        <v>816</v>
      </c>
    </row>
    <row r="227" ht="15.75" customHeight="1">
      <c r="A227" s="70" t="s">
        <v>339</v>
      </c>
      <c r="B227" s="70" t="s">
        <v>817</v>
      </c>
      <c r="C227" s="76" t="s">
        <v>818</v>
      </c>
    </row>
    <row r="228" ht="15.75" customHeight="1">
      <c r="A228" s="70" t="s">
        <v>169</v>
      </c>
      <c r="B228" s="70" t="s">
        <v>819</v>
      </c>
      <c r="C228" s="76" t="s">
        <v>820</v>
      </c>
    </row>
    <row r="229" ht="15.75" customHeight="1">
      <c r="A229" s="70" t="s">
        <v>340</v>
      </c>
      <c r="B229" s="70" t="s">
        <v>821</v>
      </c>
      <c r="C229" s="76" t="s">
        <v>822</v>
      </c>
    </row>
    <row r="230" ht="15.75" customHeight="1">
      <c r="A230" s="70" t="s">
        <v>338</v>
      </c>
      <c r="B230" s="70" t="s">
        <v>823</v>
      </c>
      <c r="C230" s="76" t="s">
        <v>824</v>
      </c>
    </row>
    <row r="231" ht="15.75" customHeight="1">
      <c r="A231" s="70" t="s">
        <v>179</v>
      </c>
      <c r="B231" s="70" t="s">
        <v>825</v>
      </c>
      <c r="C231" s="76" t="s">
        <v>826</v>
      </c>
    </row>
    <row r="232" ht="15.75" customHeight="1">
      <c r="A232" s="70" t="s">
        <v>178</v>
      </c>
      <c r="B232" s="70" t="s">
        <v>827</v>
      </c>
      <c r="C232" s="76" t="s">
        <v>828</v>
      </c>
    </row>
    <row r="233" ht="15.75" customHeight="1">
      <c r="A233" s="70" t="s">
        <v>278</v>
      </c>
      <c r="B233" s="70" t="s">
        <v>829</v>
      </c>
      <c r="C233" s="76" t="s">
        <v>830</v>
      </c>
    </row>
    <row r="234" ht="15.75" customHeight="1">
      <c r="A234" s="70" t="s">
        <v>171</v>
      </c>
      <c r="B234" s="70" t="s">
        <v>831</v>
      </c>
      <c r="C234" s="76" t="s">
        <v>832</v>
      </c>
    </row>
    <row r="235" ht="15.75" customHeight="1">
      <c r="A235" s="70" t="s">
        <v>180</v>
      </c>
      <c r="B235" s="70" t="s">
        <v>833</v>
      </c>
      <c r="C235" s="76" t="s">
        <v>834</v>
      </c>
    </row>
    <row r="236" ht="15.75" customHeight="1">
      <c r="A236" s="70" t="s">
        <v>177</v>
      </c>
      <c r="B236" s="70" t="s">
        <v>835</v>
      </c>
      <c r="C236" s="76" t="s">
        <v>836</v>
      </c>
    </row>
    <row r="237" ht="15.75" customHeight="1">
      <c r="A237" s="70" t="s">
        <v>837</v>
      </c>
      <c r="B237" s="70" t="s">
        <v>838</v>
      </c>
      <c r="C237" s="76" t="s">
        <v>839</v>
      </c>
    </row>
    <row r="238" ht="15.75" customHeight="1">
      <c r="A238" s="70" t="s">
        <v>174</v>
      </c>
      <c r="B238" s="70" t="s">
        <v>770</v>
      </c>
      <c r="C238" s="76" t="s">
        <v>840</v>
      </c>
    </row>
    <row r="239" ht="15.75" customHeight="1">
      <c r="A239" s="70" t="s">
        <v>841</v>
      </c>
      <c r="B239" s="70" t="s">
        <v>842</v>
      </c>
      <c r="C239" s="76" t="s">
        <v>843</v>
      </c>
    </row>
    <row r="240" ht="15.75" customHeight="1">
      <c r="A240" s="70" t="s">
        <v>175</v>
      </c>
      <c r="B240" s="70" t="s">
        <v>844</v>
      </c>
      <c r="C240" s="76" t="s">
        <v>845</v>
      </c>
    </row>
    <row r="241" ht="15.75" customHeight="1">
      <c r="A241" s="70" t="s">
        <v>846</v>
      </c>
      <c r="B241" s="70" t="s">
        <v>847</v>
      </c>
      <c r="C241" s="76" t="s">
        <v>848</v>
      </c>
    </row>
    <row r="242" ht="15.75" customHeight="1">
      <c r="A242" s="70" t="s">
        <v>277</v>
      </c>
      <c r="B242" s="70" t="s">
        <v>849</v>
      </c>
      <c r="C242" s="76" t="s">
        <v>850</v>
      </c>
    </row>
    <row r="243" ht="15.75" customHeight="1">
      <c r="A243" s="70" t="s">
        <v>851</v>
      </c>
      <c r="B243" s="70" t="s">
        <v>852</v>
      </c>
      <c r="C243" s="76" t="s">
        <v>853</v>
      </c>
    </row>
    <row r="244" ht="15.75" customHeight="1">
      <c r="A244" s="70" t="s">
        <v>343</v>
      </c>
      <c r="B244" s="70" t="s">
        <v>854</v>
      </c>
      <c r="C244" s="76" t="s">
        <v>855</v>
      </c>
    </row>
    <row r="245" ht="15.75" customHeight="1">
      <c r="A245" s="70" t="s">
        <v>186</v>
      </c>
      <c r="B245" s="70" t="s">
        <v>856</v>
      </c>
      <c r="C245" s="76" t="s">
        <v>857</v>
      </c>
    </row>
    <row r="246" ht="15.75" customHeight="1">
      <c r="A246" s="70" t="s">
        <v>181</v>
      </c>
      <c r="B246" s="70" t="s">
        <v>858</v>
      </c>
      <c r="C246" s="76" t="s">
        <v>859</v>
      </c>
    </row>
    <row r="247" ht="15.75" customHeight="1">
      <c r="A247" s="70" t="s">
        <v>183</v>
      </c>
      <c r="B247" s="70" t="s">
        <v>860</v>
      </c>
      <c r="C247" s="76" t="s">
        <v>861</v>
      </c>
    </row>
    <row r="248" ht="15.75" customHeight="1">
      <c r="A248" s="70" t="s">
        <v>184</v>
      </c>
      <c r="B248" s="70" t="s">
        <v>862</v>
      </c>
      <c r="C248" s="76" t="s">
        <v>863</v>
      </c>
    </row>
    <row r="249" ht="15.75" customHeight="1">
      <c r="A249" s="70" t="s">
        <v>187</v>
      </c>
      <c r="B249" s="70" t="s">
        <v>864</v>
      </c>
      <c r="C249" s="76" t="s">
        <v>865</v>
      </c>
    </row>
    <row r="250" ht="15.75" customHeight="1">
      <c r="A250" s="70" t="s">
        <v>280</v>
      </c>
      <c r="B250" s="70" t="s">
        <v>866</v>
      </c>
      <c r="C250" s="76" t="s">
        <v>867</v>
      </c>
    </row>
    <row r="251" ht="15.75" customHeight="1">
      <c r="A251" s="70" t="s">
        <v>189</v>
      </c>
      <c r="B251" s="70" t="s">
        <v>868</v>
      </c>
      <c r="C251" s="76" t="s">
        <v>869</v>
      </c>
    </row>
    <row r="252" ht="15.75" customHeight="1">
      <c r="A252" s="70" t="s">
        <v>190</v>
      </c>
      <c r="B252" s="70" t="s">
        <v>654</v>
      </c>
      <c r="C252" s="73">
        <v>1.2198192003E10</v>
      </c>
    </row>
    <row r="253" ht="15.75" customHeight="1">
      <c r="A253" s="70" t="s">
        <v>870</v>
      </c>
      <c r="B253" s="70" t="s">
        <v>654</v>
      </c>
      <c r="C253" s="73">
        <v>1.512962559E10</v>
      </c>
    </row>
    <row r="254" ht="15.75" customHeight="1">
      <c r="A254" s="70" t="s">
        <v>185</v>
      </c>
      <c r="B254" s="70" t="s">
        <v>871</v>
      </c>
      <c r="C254" s="76" t="s">
        <v>872</v>
      </c>
    </row>
    <row r="255" ht="15.75" customHeight="1">
      <c r="A255" s="70" t="s">
        <v>281</v>
      </c>
      <c r="B255" s="70" t="s">
        <v>873</v>
      </c>
      <c r="C255" s="76" t="s">
        <v>874</v>
      </c>
    </row>
    <row r="256" ht="15.75" customHeight="1">
      <c r="A256" s="70" t="s">
        <v>342</v>
      </c>
      <c r="B256" s="70" t="s">
        <v>654</v>
      </c>
      <c r="C256" s="71" t="s">
        <v>654</v>
      </c>
    </row>
    <row r="257" ht="15.75" customHeight="1">
      <c r="A257" s="70" t="s">
        <v>345</v>
      </c>
      <c r="B257" s="70" t="s">
        <v>875</v>
      </c>
      <c r="C257" s="76" t="s">
        <v>876</v>
      </c>
    </row>
    <row r="258" ht="15.75" customHeight="1">
      <c r="A258" s="70" t="s">
        <v>199</v>
      </c>
      <c r="B258" s="70" t="s">
        <v>877</v>
      </c>
      <c r="C258" s="76" t="s">
        <v>878</v>
      </c>
    </row>
    <row r="259" ht="15.75" customHeight="1">
      <c r="A259" s="70" t="s">
        <v>193</v>
      </c>
      <c r="B259" s="70" t="s">
        <v>879</v>
      </c>
      <c r="C259" s="76" t="s">
        <v>880</v>
      </c>
    </row>
    <row r="260" ht="15.75" customHeight="1">
      <c r="A260" s="70" t="s">
        <v>881</v>
      </c>
      <c r="B260" s="70" t="s">
        <v>882</v>
      </c>
      <c r="C260" s="76" t="s">
        <v>883</v>
      </c>
    </row>
    <row r="261" ht="15.75" customHeight="1">
      <c r="A261" s="70" t="s">
        <v>283</v>
      </c>
      <c r="B261" s="70" t="s">
        <v>884</v>
      </c>
      <c r="C261" s="76" t="s">
        <v>885</v>
      </c>
    </row>
    <row r="262" ht="15.75" customHeight="1">
      <c r="A262" s="70" t="s">
        <v>289</v>
      </c>
      <c r="B262" s="70" t="s">
        <v>886</v>
      </c>
      <c r="C262" s="76" t="s">
        <v>887</v>
      </c>
    </row>
    <row r="263" ht="15.75" customHeight="1">
      <c r="A263" s="70" t="s">
        <v>570</v>
      </c>
      <c r="B263" s="70" t="s">
        <v>888</v>
      </c>
      <c r="C263" s="76" t="s">
        <v>889</v>
      </c>
    </row>
    <row r="264" ht="15.75" customHeight="1">
      <c r="A264" s="70" t="s">
        <v>890</v>
      </c>
      <c r="B264" s="70" t="s">
        <v>891</v>
      </c>
      <c r="C264" s="76" t="s">
        <v>892</v>
      </c>
    </row>
    <row r="265" ht="15.75" customHeight="1">
      <c r="A265" s="70" t="s">
        <v>285</v>
      </c>
      <c r="B265" s="70" t="s">
        <v>893</v>
      </c>
      <c r="C265" s="76" t="s">
        <v>894</v>
      </c>
    </row>
    <row r="266" ht="15.75" customHeight="1">
      <c r="A266" s="70" t="s">
        <v>191</v>
      </c>
      <c r="B266" s="70" t="s">
        <v>895</v>
      </c>
      <c r="C266" s="76" t="s">
        <v>896</v>
      </c>
    </row>
    <row r="267" ht="15.75" customHeight="1">
      <c r="A267" s="70" t="s">
        <v>897</v>
      </c>
      <c r="B267" s="70" t="s">
        <v>898</v>
      </c>
      <c r="C267" s="76" t="s">
        <v>899</v>
      </c>
    </row>
    <row r="268" ht="15.75" customHeight="1">
      <c r="A268" s="70" t="s">
        <v>900</v>
      </c>
      <c r="B268" s="70" t="s">
        <v>901</v>
      </c>
      <c r="C268" s="76" t="s">
        <v>902</v>
      </c>
    </row>
    <row r="269" ht="15.75" customHeight="1">
      <c r="A269" s="70" t="s">
        <v>196</v>
      </c>
      <c r="B269" s="70" t="s">
        <v>903</v>
      </c>
      <c r="C269" s="76" t="s">
        <v>904</v>
      </c>
    </row>
    <row r="270" ht="15.75" customHeight="1">
      <c r="A270" s="70" t="s">
        <v>198</v>
      </c>
      <c r="B270" s="70" t="s">
        <v>905</v>
      </c>
      <c r="C270" s="76" t="s">
        <v>906</v>
      </c>
    </row>
    <row r="271" ht="15.75" customHeight="1">
      <c r="A271" s="70" t="s">
        <v>195</v>
      </c>
      <c r="B271" s="70" t="s">
        <v>907</v>
      </c>
      <c r="C271" s="76" t="s">
        <v>908</v>
      </c>
    </row>
    <row r="272" ht="15.75" customHeight="1">
      <c r="A272" s="70" t="s">
        <v>194</v>
      </c>
      <c r="B272" s="70" t="s">
        <v>909</v>
      </c>
      <c r="C272" s="76" t="s">
        <v>910</v>
      </c>
    </row>
    <row r="273" ht="15.75" customHeight="1">
      <c r="A273" s="70" t="s">
        <v>284</v>
      </c>
      <c r="B273" s="70" t="s">
        <v>911</v>
      </c>
      <c r="C273" s="76" t="s">
        <v>912</v>
      </c>
    </row>
    <row r="274" ht="15.75" customHeight="1">
      <c r="A274" s="70" t="s">
        <v>287</v>
      </c>
      <c r="B274" s="70" t="s">
        <v>913</v>
      </c>
      <c r="C274" s="76" t="s">
        <v>914</v>
      </c>
    </row>
    <row r="275" ht="15.75" customHeight="1">
      <c r="A275" s="70" t="s">
        <v>282</v>
      </c>
      <c r="B275" s="70" t="s">
        <v>915</v>
      </c>
      <c r="C275" s="76" t="s">
        <v>916</v>
      </c>
    </row>
    <row r="276" ht="15.75" customHeight="1">
      <c r="A276" s="70" t="s">
        <v>286</v>
      </c>
      <c r="B276" s="70" t="s">
        <v>917</v>
      </c>
      <c r="C276" s="76" t="s">
        <v>918</v>
      </c>
    </row>
    <row r="277" ht="15.75" customHeight="1">
      <c r="A277" s="70" t="s">
        <v>288</v>
      </c>
      <c r="B277" s="70" t="s">
        <v>919</v>
      </c>
      <c r="C277" s="76" t="s">
        <v>920</v>
      </c>
    </row>
    <row r="278" ht="15.75" customHeight="1">
      <c r="A278" s="70" t="s">
        <v>200</v>
      </c>
      <c r="B278" s="70" t="s">
        <v>921</v>
      </c>
      <c r="C278" s="76" t="s">
        <v>922</v>
      </c>
    </row>
    <row r="279" ht="15.75" customHeight="1">
      <c r="A279" s="70" t="s">
        <v>201</v>
      </c>
      <c r="B279" s="70" t="s">
        <v>923</v>
      </c>
      <c r="C279" s="76" t="s">
        <v>924</v>
      </c>
    </row>
    <row r="280" ht="15.75" customHeight="1">
      <c r="A280" s="70" t="s">
        <v>347</v>
      </c>
      <c r="B280" s="70" t="s">
        <v>925</v>
      </c>
      <c r="C280" s="76" t="s">
        <v>926</v>
      </c>
    </row>
    <row r="281" ht="15.75" customHeight="1">
      <c r="A281" s="70" t="s">
        <v>206</v>
      </c>
      <c r="B281" s="70" t="s">
        <v>927</v>
      </c>
      <c r="C281" s="76" t="s">
        <v>928</v>
      </c>
    </row>
    <row r="282" ht="15.75" customHeight="1">
      <c r="A282" s="70" t="s">
        <v>929</v>
      </c>
      <c r="B282" s="70" t="s">
        <v>930</v>
      </c>
      <c r="C282" s="76" t="s">
        <v>931</v>
      </c>
    </row>
    <row r="283" ht="15.75" customHeight="1">
      <c r="A283" s="70" t="s">
        <v>204</v>
      </c>
      <c r="B283" s="70" t="s">
        <v>932</v>
      </c>
      <c r="C283" s="76" t="s">
        <v>933</v>
      </c>
    </row>
    <row r="284" ht="15.75" customHeight="1">
      <c r="A284" s="70" t="s">
        <v>202</v>
      </c>
      <c r="B284" s="70" t="s">
        <v>934</v>
      </c>
      <c r="C284" s="76" t="s">
        <v>935</v>
      </c>
    </row>
    <row r="285" ht="15.75" customHeight="1">
      <c r="A285" s="70" t="s">
        <v>203</v>
      </c>
      <c r="B285" s="70" t="s">
        <v>936</v>
      </c>
      <c r="C285" s="76" t="s">
        <v>937</v>
      </c>
    </row>
    <row r="286" ht="15.75" customHeight="1">
      <c r="A286" s="70" t="s">
        <v>292</v>
      </c>
      <c r="B286" s="70" t="s">
        <v>938</v>
      </c>
      <c r="C286" s="76" t="s">
        <v>939</v>
      </c>
    </row>
    <row r="287" ht="15.75" customHeight="1">
      <c r="A287" s="70" t="s">
        <v>291</v>
      </c>
      <c r="B287" s="70" t="s">
        <v>940</v>
      </c>
      <c r="C287" s="76" t="s">
        <v>941</v>
      </c>
    </row>
    <row r="288" ht="15.75" customHeight="1">
      <c r="A288" s="70" t="s">
        <v>293</v>
      </c>
      <c r="B288" s="70" t="s">
        <v>942</v>
      </c>
      <c r="C288" s="76" t="s">
        <v>943</v>
      </c>
    </row>
    <row r="289" ht="15.75" customHeight="1">
      <c r="A289" s="70" t="s">
        <v>296</v>
      </c>
      <c r="B289" s="70" t="s">
        <v>944</v>
      </c>
      <c r="C289" s="76" t="s">
        <v>945</v>
      </c>
    </row>
    <row r="290" ht="15.75" customHeight="1">
      <c r="A290" s="70" t="s">
        <v>350</v>
      </c>
      <c r="B290" s="70" t="s">
        <v>946</v>
      </c>
      <c r="C290" s="76" t="s">
        <v>947</v>
      </c>
    </row>
    <row r="291" ht="15.75" customHeight="1">
      <c r="A291" s="70" t="s">
        <v>294</v>
      </c>
      <c r="B291" s="70" t="s">
        <v>948</v>
      </c>
      <c r="C291" s="76" t="s">
        <v>949</v>
      </c>
    </row>
    <row r="292" ht="15.75" customHeight="1">
      <c r="A292" s="70" t="s">
        <v>349</v>
      </c>
      <c r="B292" s="70" t="s">
        <v>950</v>
      </c>
      <c r="C292" s="76" t="s">
        <v>951</v>
      </c>
    </row>
    <row r="293" ht="15.75" customHeight="1">
      <c r="A293" s="70" t="s">
        <v>211</v>
      </c>
      <c r="B293" s="70" t="s">
        <v>952</v>
      </c>
      <c r="C293" s="76" t="s">
        <v>953</v>
      </c>
    </row>
    <row r="294" ht="15.75" customHeight="1">
      <c r="A294" s="70" t="s">
        <v>954</v>
      </c>
      <c r="B294" s="70" t="s">
        <v>955</v>
      </c>
      <c r="C294" s="76" t="s">
        <v>956</v>
      </c>
    </row>
    <row r="295" ht="15.75" customHeight="1">
      <c r="A295" s="70" t="s">
        <v>216</v>
      </c>
      <c r="B295" s="70" t="s">
        <v>957</v>
      </c>
      <c r="C295" s="76" t="s">
        <v>958</v>
      </c>
    </row>
    <row r="296" ht="15.75" customHeight="1">
      <c r="A296" s="70" t="s">
        <v>207</v>
      </c>
      <c r="B296" s="70" t="s">
        <v>959</v>
      </c>
      <c r="C296" s="76" t="s">
        <v>960</v>
      </c>
    </row>
    <row r="297" ht="15.75" customHeight="1">
      <c r="A297" s="70" t="s">
        <v>210</v>
      </c>
      <c r="B297" s="70" t="s">
        <v>961</v>
      </c>
      <c r="C297" s="76" t="s">
        <v>962</v>
      </c>
    </row>
    <row r="298" ht="15.75" customHeight="1">
      <c r="A298" s="70" t="s">
        <v>352</v>
      </c>
      <c r="B298" s="70" t="s">
        <v>963</v>
      </c>
      <c r="C298" s="76" t="s">
        <v>964</v>
      </c>
    </row>
    <row r="299" ht="15.75" customHeight="1">
      <c r="A299" s="70" t="s">
        <v>300</v>
      </c>
      <c r="B299" s="70" t="s">
        <v>965</v>
      </c>
      <c r="C299" s="76" t="s">
        <v>966</v>
      </c>
    </row>
    <row r="300" ht="15.75" customHeight="1">
      <c r="A300" s="70" t="s">
        <v>354</v>
      </c>
      <c r="B300" s="70" t="s">
        <v>967</v>
      </c>
      <c r="C300" s="76" t="s">
        <v>968</v>
      </c>
    </row>
    <row r="301" ht="15.75" customHeight="1">
      <c r="A301" s="70" t="s">
        <v>300</v>
      </c>
      <c r="B301" s="70" t="s">
        <v>965</v>
      </c>
      <c r="C301" s="73">
        <v>1.7602290924E10</v>
      </c>
    </row>
    <row r="302" ht="15.75" customHeight="1">
      <c r="A302" s="70" t="s">
        <v>301</v>
      </c>
      <c r="B302" s="70" t="s">
        <v>969</v>
      </c>
      <c r="C302" s="73">
        <v>1.7204423811E10</v>
      </c>
    </row>
    <row r="303" ht="15.75" customHeight="1">
      <c r="A303" s="70" t="s">
        <v>970</v>
      </c>
      <c r="B303" s="70" t="s">
        <v>971</v>
      </c>
      <c r="C303" s="73">
        <v>1.5129992837E10</v>
      </c>
    </row>
    <row r="304" ht="15.75" customHeight="1">
      <c r="A304" s="70" t="s">
        <v>351</v>
      </c>
      <c r="B304" s="70" t="s">
        <v>972</v>
      </c>
      <c r="C304" s="73">
        <v>1.9092607081E10</v>
      </c>
    </row>
    <row r="305" ht="15.75" customHeight="1">
      <c r="A305" s="70" t="s">
        <v>973</v>
      </c>
      <c r="B305" s="70" t="s">
        <v>654</v>
      </c>
      <c r="C305" s="71" t="s">
        <v>654</v>
      </c>
    </row>
    <row r="306" ht="15.75" customHeight="1">
      <c r="A306" s="70" t="s">
        <v>298</v>
      </c>
      <c r="B306" s="70" t="s">
        <v>974</v>
      </c>
      <c r="C306" s="73">
        <v>1.5129148207E10</v>
      </c>
    </row>
    <row r="307" ht="15.75" customHeight="1">
      <c r="A307" s="70" t="s">
        <v>302</v>
      </c>
      <c r="B307" s="70" t="s">
        <v>975</v>
      </c>
      <c r="C307" s="76" t="s">
        <v>976</v>
      </c>
    </row>
    <row r="308" ht="15.75" customHeight="1">
      <c r="A308" s="70" t="s">
        <v>229</v>
      </c>
      <c r="B308" s="70" t="s">
        <v>977</v>
      </c>
      <c r="C308" s="76" t="s">
        <v>978</v>
      </c>
    </row>
    <row r="309" ht="15.75" customHeight="1">
      <c r="A309" s="70" t="s">
        <v>304</v>
      </c>
      <c r="B309" s="70"/>
      <c r="C309" s="71"/>
    </row>
    <row r="310" ht="15.75" customHeight="1">
      <c r="A310" s="70" t="s">
        <v>355</v>
      </c>
      <c r="B310" s="70"/>
      <c r="C310" s="71"/>
    </row>
    <row r="311" ht="15.75" customHeight="1">
      <c r="A311" s="70" t="s">
        <v>357</v>
      </c>
      <c r="B311" s="70"/>
      <c r="C311" s="73">
        <v>1.8327038014E10</v>
      </c>
    </row>
    <row r="312" ht="15.75" customHeight="1">
      <c r="A312" s="70" t="s">
        <v>218</v>
      </c>
      <c r="B312" s="70"/>
      <c r="C312" s="71"/>
    </row>
    <row r="313" ht="15.75" customHeight="1">
      <c r="A313" s="70" t="s">
        <v>215</v>
      </c>
      <c r="B313" s="70"/>
      <c r="C313" s="71"/>
    </row>
    <row r="314" ht="15.75" customHeight="1">
      <c r="A314" s="70" t="s">
        <v>213</v>
      </c>
      <c r="B314" s="70"/>
      <c r="C314" s="71"/>
    </row>
    <row r="315" ht="15.75" customHeight="1">
      <c r="A315" s="70" t="s">
        <v>979</v>
      </c>
      <c r="B315" s="70"/>
      <c r="C315" s="71"/>
    </row>
    <row r="316" ht="15.75" customHeight="1">
      <c r="A316" s="70" t="s">
        <v>303</v>
      </c>
      <c r="B316" s="70"/>
      <c r="C316" s="71"/>
    </row>
    <row r="317" ht="15.75" customHeight="1">
      <c r="A317" s="70" t="s">
        <v>217</v>
      </c>
      <c r="B317" s="70"/>
      <c r="C317" s="71"/>
    </row>
    <row r="318" ht="15.75" customHeight="1">
      <c r="A318" s="70" t="s">
        <v>356</v>
      </c>
      <c r="B318" s="70"/>
      <c r="C318" s="71"/>
    </row>
    <row r="319" ht="15.75" customHeight="1">
      <c r="A319" s="70" t="s">
        <v>220</v>
      </c>
      <c r="B319" s="70"/>
      <c r="C319" s="71"/>
    </row>
    <row r="320" ht="15.75" customHeight="1">
      <c r="A320" s="70" t="s">
        <v>219</v>
      </c>
      <c r="B320" s="70"/>
      <c r="C320" s="71"/>
    </row>
    <row r="321" ht="15.75" customHeight="1">
      <c r="A321" s="77" t="s">
        <v>359</v>
      </c>
      <c r="B321" s="78"/>
      <c r="C321" s="79"/>
    </row>
    <row r="322" ht="15.75" customHeight="1">
      <c r="A322" s="77" t="s">
        <v>221</v>
      </c>
      <c r="B322" s="78"/>
      <c r="C322" s="80">
        <v>1.9562510708E10</v>
      </c>
    </row>
    <row r="323" ht="15.75" customHeight="1">
      <c r="A323" s="77" t="s">
        <v>222</v>
      </c>
      <c r="B323" s="78"/>
      <c r="C323" s="79"/>
    </row>
    <row r="324" ht="15.75" customHeight="1">
      <c r="A324" s="77" t="s">
        <v>223</v>
      </c>
      <c r="B324" s="78"/>
      <c r="C324" s="79"/>
    </row>
    <row r="325" ht="15.75" customHeight="1">
      <c r="A325" s="77" t="s">
        <v>980</v>
      </c>
      <c r="B325" s="78"/>
      <c r="C325" s="79"/>
    </row>
    <row r="326" ht="15.75" customHeight="1">
      <c r="A326" s="77" t="s">
        <v>305</v>
      </c>
      <c r="B326" s="78"/>
      <c r="C326" s="79"/>
    </row>
    <row r="327" ht="15.75" customHeight="1">
      <c r="A327" s="77" t="s">
        <v>226</v>
      </c>
      <c r="B327" s="78"/>
      <c r="C327" s="80">
        <v>1.8587358134E10</v>
      </c>
    </row>
    <row r="328" ht="15.75" customHeight="1">
      <c r="A328" s="77" t="s">
        <v>228</v>
      </c>
      <c r="B328" s="78"/>
      <c r="C328" s="79"/>
    </row>
    <row r="329" ht="15.75" customHeight="1">
      <c r="A329" s="77" t="s">
        <v>227</v>
      </c>
      <c r="B329" s="78"/>
      <c r="C329" s="79"/>
    </row>
    <row r="330" ht="15.75" customHeight="1">
      <c r="A330" s="77" t="s">
        <v>225</v>
      </c>
      <c r="B330" s="78"/>
      <c r="C330" s="79"/>
    </row>
    <row r="331" ht="15.75" customHeight="1">
      <c r="A331" s="77" t="s">
        <v>224</v>
      </c>
      <c r="B331" s="78"/>
      <c r="C331" s="79"/>
    </row>
    <row r="332" ht="15.75" customHeight="1">
      <c r="A332" s="77" t="s">
        <v>306</v>
      </c>
      <c r="B332" s="78"/>
      <c r="C332" s="79"/>
    </row>
    <row r="333" ht="15.75" customHeight="1">
      <c r="A333" s="77" t="s">
        <v>234</v>
      </c>
      <c r="B333" s="78"/>
      <c r="C333" s="80">
        <v>1.5755208317E10</v>
      </c>
    </row>
    <row r="334" ht="15.75" customHeight="1">
      <c r="A334" s="77" t="s">
        <v>361</v>
      </c>
      <c r="B334" s="78"/>
      <c r="C334" s="79"/>
    </row>
    <row r="335" ht="15.75" customHeight="1">
      <c r="A335" s="77" t="s">
        <v>360</v>
      </c>
      <c r="B335" s="78"/>
      <c r="C335" s="79"/>
    </row>
    <row r="336" ht="15.75" customHeight="1">
      <c r="A336" s="77" t="s">
        <v>233</v>
      </c>
      <c r="B336" s="78"/>
      <c r="C336" s="79"/>
    </row>
    <row r="337" ht="15.75" customHeight="1">
      <c r="A337" s="77" t="s">
        <v>232</v>
      </c>
      <c r="B337" s="78"/>
      <c r="C337" s="79"/>
    </row>
    <row r="338" ht="15.75" customHeight="1">
      <c r="A338" s="77" t="s">
        <v>230</v>
      </c>
      <c r="B338" s="78"/>
      <c r="C338" s="79"/>
    </row>
    <row r="339" ht="15.75" customHeight="1">
      <c r="A339" s="77" t="s">
        <v>231</v>
      </c>
      <c r="B339" s="78"/>
      <c r="C339" s="79"/>
    </row>
    <row r="340" ht="15.75" customHeight="1">
      <c r="A340" s="77" t="s">
        <v>307</v>
      </c>
      <c r="B340" s="78"/>
      <c r="C340" s="79"/>
    </row>
    <row r="341" ht="15.75" customHeight="1">
      <c r="A341" s="77" t="s">
        <v>308</v>
      </c>
      <c r="B341" s="78"/>
      <c r="C341" s="79"/>
    </row>
    <row r="342" ht="15.75" customHeight="1">
      <c r="A342" s="77" t="s">
        <v>309</v>
      </c>
      <c r="B342" s="78"/>
      <c r="C342" s="79"/>
    </row>
    <row r="343" ht="15.75" customHeight="1">
      <c r="A343" s="77" t="s">
        <v>364</v>
      </c>
      <c r="B343" s="78"/>
      <c r="C343" s="79"/>
    </row>
    <row r="344" ht="15.75" customHeight="1">
      <c r="A344" s="77" t="s">
        <v>476</v>
      </c>
      <c r="B344" s="78"/>
      <c r="C344" s="79"/>
    </row>
    <row r="345" ht="15.75" customHeight="1">
      <c r="A345" s="77" t="s">
        <v>477</v>
      </c>
      <c r="B345" s="78"/>
      <c r="C345" s="79"/>
    </row>
    <row r="346" ht="15.75" customHeight="1">
      <c r="A346" s="77" t="s">
        <v>450</v>
      </c>
      <c r="B346" s="78"/>
      <c r="C346" s="79"/>
    </row>
    <row r="347" ht="15.75" customHeight="1">
      <c r="A347" s="77" t="s">
        <v>363</v>
      </c>
      <c r="B347" s="78"/>
      <c r="C347" s="79"/>
    </row>
    <row r="348" ht="15.75" customHeight="1">
      <c r="A348" s="77" t="s">
        <v>365</v>
      </c>
      <c r="B348" s="78"/>
      <c r="C348" s="79"/>
    </row>
    <row r="349" ht="15.75" customHeight="1">
      <c r="A349" s="77" t="s">
        <v>366</v>
      </c>
      <c r="B349" s="78"/>
      <c r="C349" s="79"/>
    </row>
    <row r="350" ht="15.75" customHeight="1">
      <c r="A350" s="77" t="s">
        <v>367</v>
      </c>
      <c r="B350" s="78"/>
      <c r="C350" s="79"/>
    </row>
    <row r="351" ht="15.75" customHeight="1">
      <c r="A351" s="77" t="s">
        <v>368</v>
      </c>
      <c r="B351" s="77"/>
      <c r="C351" s="79"/>
    </row>
    <row r="352" ht="15.75" customHeight="1">
      <c r="A352" s="77" t="s">
        <v>478</v>
      </c>
      <c r="B352" s="77"/>
      <c r="C352" s="79"/>
    </row>
    <row r="353" ht="15.75" customHeight="1">
      <c r="A353" s="77" t="s">
        <v>369</v>
      </c>
      <c r="B353" s="77"/>
      <c r="C353" s="79"/>
    </row>
    <row r="354" ht="15.75" customHeight="1">
      <c r="A354" s="77" t="s">
        <v>371</v>
      </c>
      <c r="B354" s="77"/>
      <c r="C354" s="79"/>
    </row>
    <row r="355" ht="15.75" customHeight="1">
      <c r="A355" s="77" t="s">
        <v>372</v>
      </c>
      <c r="B355" s="77"/>
      <c r="C355" s="79"/>
    </row>
    <row r="356" ht="15.75" customHeight="1">
      <c r="A356" s="40" t="s">
        <v>479</v>
      </c>
      <c r="B356" s="77"/>
      <c r="C356" s="79"/>
    </row>
    <row r="357" ht="15.75" customHeight="1">
      <c r="A357" s="30" t="s">
        <v>451</v>
      </c>
      <c r="B357" s="81"/>
      <c r="C357" s="79"/>
    </row>
    <row r="358" ht="15.75" customHeight="1">
      <c r="A358" s="24" t="s">
        <v>373</v>
      </c>
      <c r="B358" s="81"/>
      <c r="C358" s="79"/>
    </row>
    <row r="359" ht="15.75" customHeight="1">
      <c r="A359" s="24" t="s">
        <v>374</v>
      </c>
      <c r="B359" s="81"/>
      <c r="C359" s="79"/>
    </row>
    <row r="360" ht="15.75" customHeight="1">
      <c r="A360" s="24" t="s">
        <v>375</v>
      </c>
      <c r="B360" s="81"/>
      <c r="C360" s="79"/>
    </row>
    <row r="361" ht="15.75" customHeight="1">
      <c r="A361" s="24" t="s">
        <v>376</v>
      </c>
      <c r="B361" s="81"/>
      <c r="C361" s="79"/>
    </row>
    <row r="362" ht="15.75" customHeight="1">
      <c r="A362" s="82" t="s">
        <v>981</v>
      </c>
      <c r="B362" s="81"/>
      <c r="C362" s="79"/>
    </row>
    <row r="363" ht="15.75" customHeight="1">
      <c r="A363" s="82" t="s">
        <v>982</v>
      </c>
      <c r="B363" s="81"/>
      <c r="C363" s="79"/>
    </row>
    <row r="364" ht="15.75" customHeight="1">
      <c r="A364" s="82" t="s">
        <v>481</v>
      </c>
      <c r="B364" s="81"/>
      <c r="C364" s="79"/>
    </row>
    <row r="365" ht="15.75" customHeight="1">
      <c r="A365" s="82" t="s">
        <v>378</v>
      </c>
      <c r="B365" s="81"/>
      <c r="C365" s="79"/>
    </row>
    <row r="366" ht="15.75" customHeight="1">
      <c r="A366" s="82" t="s">
        <v>380</v>
      </c>
      <c r="B366" s="81"/>
      <c r="C366" s="79"/>
    </row>
    <row r="367" ht="15.75" customHeight="1">
      <c r="A367" s="82" t="s">
        <v>379</v>
      </c>
      <c r="B367" s="81"/>
      <c r="C367" s="79"/>
    </row>
    <row r="368" ht="15.75" customHeight="1">
      <c r="A368" s="39" t="s">
        <v>482</v>
      </c>
      <c r="B368" s="81"/>
      <c r="C368" s="79"/>
    </row>
    <row r="369" ht="15.75" customHeight="1">
      <c r="A369" s="39" t="s">
        <v>483</v>
      </c>
      <c r="B369" s="81"/>
      <c r="C369" s="79"/>
    </row>
    <row r="370" ht="15.75" customHeight="1">
      <c r="A370" s="23" t="s">
        <v>381</v>
      </c>
      <c r="B370" s="81"/>
      <c r="C370" s="79"/>
    </row>
    <row r="371" ht="15.75" customHeight="1">
      <c r="A371" s="23" t="s">
        <v>382</v>
      </c>
      <c r="B371" s="81"/>
      <c r="C371" s="79"/>
    </row>
    <row r="372" ht="15.75" customHeight="1">
      <c r="A372" s="23" t="s">
        <v>383</v>
      </c>
      <c r="B372" s="81"/>
      <c r="C372" s="79"/>
    </row>
    <row r="373" ht="15.75" customHeight="1">
      <c r="A373" s="23" t="s">
        <v>384</v>
      </c>
      <c r="B373" s="81"/>
      <c r="C373" s="79"/>
    </row>
    <row r="374" ht="15.75" customHeight="1">
      <c r="A374" s="23" t="s">
        <v>385</v>
      </c>
      <c r="B374" s="81"/>
      <c r="C374" s="79"/>
    </row>
    <row r="375" ht="15.75" customHeight="1">
      <c r="A375" s="39" t="s">
        <v>484</v>
      </c>
      <c r="B375" s="81"/>
      <c r="C375" s="79"/>
    </row>
    <row r="376" ht="15.75" customHeight="1">
      <c r="A376" s="39" t="s">
        <v>392</v>
      </c>
      <c r="B376" s="81"/>
      <c r="C376" s="79"/>
    </row>
    <row r="377" ht="15.75" customHeight="1">
      <c r="A377" s="39" t="s">
        <v>485</v>
      </c>
      <c r="B377" s="81"/>
      <c r="C377" s="79"/>
    </row>
    <row r="378" ht="15.75" customHeight="1">
      <c r="A378" s="23" t="s">
        <v>386</v>
      </c>
      <c r="B378" s="81"/>
      <c r="C378" s="79"/>
    </row>
    <row r="379" ht="15.75" customHeight="1">
      <c r="A379" s="23" t="s">
        <v>387</v>
      </c>
      <c r="B379" s="81"/>
      <c r="C379" s="79"/>
    </row>
    <row r="380" ht="15.75" customHeight="1">
      <c r="A380" s="23" t="s">
        <v>388</v>
      </c>
      <c r="B380" s="81"/>
      <c r="C380" s="79"/>
    </row>
    <row r="381" ht="15.75" customHeight="1">
      <c r="A381" s="12" t="s">
        <v>452</v>
      </c>
      <c r="B381" s="81"/>
      <c r="C381" s="79"/>
    </row>
    <row r="382" ht="15.75" customHeight="1">
      <c r="A382" s="12" t="s">
        <v>453</v>
      </c>
      <c r="B382" s="81"/>
      <c r="C382" s="79"/>
    </row>
    <row r="383" ht="15.75" customHeight="1">
      <c r="A383" s="12" t="s">
        <v>454</v>
      </c>
      <c r="B383" s="81"/>
      <c r="C383" s="79"/>
    </row>
    <row r="384" ht="15.75" customHeight="1">
      <c r="A384" s="12" t="s">
        <v>455</v>
      </c>
      <c r="B384" s="81"/>
      <c r="C384" s="79"/>
    </row>
    <row r="385" ht="15.75" customHeight="1">
      <c r="A385" s="23" t="s">
        <v>390</v>
      </c>
      <c r="B385" s="81"/>
      <c r="C385" s="79"/>
    </row>
    <row r="386" ht="15.75" customHeight="1">
      <c r="A386" s="23" t="s">
        <v>391</v>
      </c>
      <c r="B386" s="81"/>
      <c r="C386" s="79"/>
    </row>
    <row r="387" ht="15.75" customHeight="1">
      <c r="A387" s="23" t="s">
        <v>393</v>
      </c>
      <c r="B387" s="81"/>
      <c r="C387" s="79"/>
    </row>
    <row r="388" ht="15.75" customHeight="1">
      <c r="A388" s="23" t="s">
        <v>394</v>
      </c>
      <c r="B388" s="81"/>
      <c r="C388" s="79"/>
    </row>
    <row r="389" ht="15.75" customHeight="1">
      <c r="A389" s="23" t="s">
        <v>395</v>
      </c>
      <c r="B389" s="81"/>
      <c r="C389" s="79"/>
    </row>
    <row r="390" ht="15.75" customHeight="1">
      <c r="A390" s="23" t="s">
        <v>396</v>
      </c>
      <c r="B390" s="81"/>
      <c r="C390" s="79"/>
    </row>
    <row r="391" ht="15.75" customHeight="1">
      <c r="A391" s="23" t="s">
        <v>397</v>
      </c>
      <c r="B391" s="81"/>
      <c r="C391" s="79"/>
    </row>
    <row r="392" ht="15.75" customHeight="1">
      <c r="A392" s="12" t="s">
        <v>456</v>
      </c>
      <c r="B392" s="81"/>
      <c r="C392" s="79"/>
    </row>
    <row r="393" ht="15.75" customHeight="1">
      <c r="A393" s="12" t="s">
        <v>457</v>
      </c>
      <c r="B393" s="81"/>
      <c r="C393" s="79"/>
    </row>
    <row r="394" ht="15.75" customHeight="1">
      <c r="A394" s="12" t="s">
        <v>423</v>
      </c>
      <c r="B394" s="81"/>
      <c r="C394" s="79"/>
    </row>
    <row r="395" ht="15.75" customHeight="1">
      <c r="A395" s="12" t="s">
        <v>422</v>
      </c>
      <c r="B395" s="81"/>
      <c r="C395" s="79"/>
    </row>
    <row r="396" ht="15.75" customHeight="1">
      <c r="A396" s="23" t="s">
        <v>398</v>
      </c>
      <c r="B396" s="81"/>
      <c r="C396" s="79"/>
    </row>
    <row r="397" ht="15.75" customHeight="1">
      <c r="A397" s="23" t="s">
        <v>399</v>
      </c>
      <c r="B397" s="81"/>
      <c r="C397" s="79"/>
    </row>
    <row r="398" ht="15.75" customHeight="1">
      <c r="A398" s="23" t="s">
        <v>400</v>
      </c>
      <c r="B398" s="81"/>
      <c r="C398" s="79"/>
    </row>
    <row r="399" ht="15.75" customHeight="1">
      <c r="A399" s="23" t="s">
        <v>401</v>
      </c>
      <c r="B399" s="81"/>
      <c r="C399" s="79"/>
    </row>
    <row r="400" ht="15.75" customHeight="1">
      <c r="A400" s="23" t="s">
        <v>402</v>
      </c>
      <c r="B400" s="81"/>
      <c r="C400" s="79"/>
    </row>
    <row r="401" ht="15.75" customHeight="1">
      <c r="A401" s="23" t="s">
        <v>403</v>
      </c>
      <c r="B401" s="81"/>
      <c r="C401" s="79"/>
    </row>
    <row r="402" ht="15.75" customHeight="1">
      <c r="A402" s="23" t="s">
        <v>404</v>
      </c>
      <c r="B402" s="81"/>
      <c r="C402" s="79"/>
    </row>
    <row r="403" ht="15.75" customHeight="1">
      <c r="A403" s="23" t="s">
        <v>405</v>
      </c>
      <c r="B403" s="81"/>
      <c r="C403" s="79"/>
    </row>
    <row r="404" ht="15.75" customHeight="1">
      <c r="A404" s="23" t="s">
        <v>406</v>
      </c>
      <c r="B404" s="81"/>
      <c r="C404" s="79"/>
    </row>
    <row r="405" ht="15.75" customHeight="1">
      <c r="A405" s="23" t="s">
        <v>407</v>
      </c>
      <c r="B405" s="81"/>
      <c r="C405" s="79"/>
    </row>
    <row r="406" ht="15.75" customHeight="1">
      <c r="A406" s="23" t="s">
        <v>408</v>
      </c>
      <c r="B406" s="81"/>
      <c r="C406" s="79"/>
    </row>
    <row r="407" ht="15.75" customHeight="1">
      <c r="A407" s="23" t="s">
        <v>409</v>
      </c>
      <c r="B407" s="81"/>
      <c r="C407" s="79"/>
    </row>
    <row r="408" ht="15.75" customHeight="1">
      <c r="A408" s="23" t="s">
        <v>410</v>
      </c>
      <c r="B408" s="81"/>
      <c r="C408" s="79"/>
    </row>
    <row r="409" ht="15.75" customHeight="1">
      <c r="A409" s="23" t="s">
        <v>411</v>
      </c>
      <c r="B409" s="81"/>
      <c r="C409" s="79"/>
    </row>
    <row r="410" ht="15.75" customHeight="1">
      <c r="A410" s="23" t="s">
        <v>412</v>
      </c>
      <c r="B410" s="81"/>
      <c r="C410" s="79"/>
    </row>
    <row r="411" ht="15.75" customHeight="1">
      <c r="A411" s="23" t="s">
        <v>413</v>
      </c>
      <c r="B411" s="81"/>
      <c r="C411" s="79"/>
    </row>
    <row r="412" ht="15.75" customHeight="1">
      <c r="A412" s="23" t="s">
        <v>414</v>
      </c>
      <c r="B412" s="81"/>
      <c r="C412" s="79"/>
    </row>
    <row r="413" ht="15.75" customHeight="1">
      <c r="A413" s="23" t="s">
        <v>415</v>
      </c>
      <c r="B413" s="81"/>
      <c r="C413" s="79"/>
    </row>
    <row r="414" ht="15.75" customHeight="1">
      <c r="A414" s="23" t="s">
        <v>416</v>
      </c>
      <c r="B414" s="81"/>
      <c r="C414" s="79"/>
    </row>
    <row r="415" ht="15.75" customHeight="1">
      <c r="A415" s="39" t="s">
        <v>430</v>
      </c>
      <c r="B415" s="81"/>
      <c r="C415" s="79"/>
    </row>
    <row r="416" ht="15.75" customHeight="1">
      <c r="A416" s="39" t="s">
        <v>486</v>
      </c>
      <c r="B416" s="81"/>
      <c r="C416" s="79"/>
    </row>
    <row r="417" ht="15.75" customHeight="1">
      <c r="A417" s="39" t="s">
        <v>487</v>
      </c>
      <c r="B417" s="81"/>
      <c r="C417" s="79"/>
    </row>
    <row r="418" ht="15.75" customHeight="1">
      <c r="A418" s="39" t="s">
        <v>407</v>
      </c>
      <c r="B418" s="81"/>
      <c r="C418" s="79"/>
    </row>
    <row r="419" ht="15.75" customHeight="1">
      <c r="A419" s="39" t="s">
        <v>462</v>
      </c>
      <c r="B419" s="81"/>
      <c r="C419" s="79"/>
    </row>
    <row r="420" ht="15.75" customHeight="1">
      <c r="A420" s="12" t="s">
        <v>428</v>
      </c>
      <c r="B420" s="81"/>
      <c r="C420" s="79"/>
    </row>
    <row r="421" ht="15.75" customHeight="1">
      <c r="A421" s="12" t="s">
        <v>458</v>
      </c>
      <c r="B421" s="81"/>
      <c r="C421" s="79"/>
    </row>
    <row r="422" ht="15.75" customHeight="1">
      <c r="A422" s="24" t="s">
        <v>418</v>
      </c>
      <c r="B422" s="81"/>
      <c r="C422" s="79"/>
    </row>
    <row r="423" ht="15.75" customHeight="1">
      <c r="A423" s="24" t="s">
        <v>419</v>
      </c>
      <c r="B423" s="81"/>
      <c r="C423" s="79"/>
    </row>
    <row r="424" ht="15.75" customHeight="1">
      <c r="A424" s="24" t="s">
        <v>420</v>
      </c>
      <c r="B424" s="81"/>
      <c r="C424" s="79"/>
    </row>
    <row r="425" ht="15.75" customHeight="1">
      <c r="A425" s="24" t="s">
        <v>421</v>
      </c>
      <c r="B425" s="81"/>
      <c r="C425" s="79"/>
    </row>
    <row r="426" ht="15.75" customHeight="1">
      <c r="A426" s="24" t="s">
        <v>424</v>
      </c>
      <c r="B426" s="81"/>
      <c r="C426" s="79"/>
    </row>
    <row r="427" ht="15.75" customHeight="1">
      <c r="A427" s="24" t="s">
        <v>425</v>
      </c>
      <c r="B427" s="81"/>
      <c r="C427" s="79"/>
    </row>
    <row r="428" ht="15.75" customHeight="1">
      <c r="A428" s="24" t="s">
        <v>426</v>
      </c>
      <c r="B428" s="81"/>
      <c r="C428" s="79"/>
    </row>
    <row r="429" ht="15.75" customHeight="1">
      <c r="A429" s="24" t="s">
        <v>427</v>
      </c>
      <c r="B429" s="81"/>
      <c r="C429" s="79"/>
    </row>
    <row r="430" ht="15.75" customHeight="1">
      <c r="A430" s="24" t="s">
        <v>428</v>
      </c>
      <c r="B430" s="81"/>
      <c r="C430" s="79"/>
    </row>
    <row r="431" ht="15.75" customHeight="1">
      <c r="A431" s="24" t="s">
        <v>429</v>
      </c>
      <c r="B431" s="81"/>
      <c r="C431" s="79"/>
    </row>
    <row r="432" ht="15.75" customHeight="1">
      <c r="A432" s="39" t="s">
        <v>488</v>
      </c>
      <c r="B432" s="81"/>
      <c r="C432" s="79"/>
    </row>
    <row r="433" ht="15.75" customHeight="1">
      <c r="A433" s="39" t="s">
        <v>431</v>
      </c>
      <c r="B433" s="81"/>
      <c r="C433" s="79"/>
    </row>
    <row r="434" ht="15.75" customHeight="1">
      <c r="A434" s="39" t="s">
        <v>489</v>
      </c>
      <c r="B434" s="81"/>
      <c r="C434" s="79"/>
    </row>
    <row r="435" ht="15.75" customHeight="1">
      <c r="A435" s="12" t="s">
        <v>459</v>
      </c>
      <c r="B435" s="81"/>
      <c r="C435" s="79"/>
    </row>
    <row r="436" ht="15.75" customHeight="1">
      <c r="A436" s="12" t="s">
        <v>460</v>
      </c>
      <c r="B436" s="81"/>
      <c r="C436" s="79"/>
    </row>
    <row r="437" ht="15.75" customHeight="1">
      <c r="A437" s="12" t="s">
        <v>461</v>
      </c>
      <c r="B437" s="81"/>
      <c r="C437" s="79"/>
    </row>
    <row r="438" ht="15.75" customHeight="1">
      <c r="A438" s="23" t="s">
        <v>432</v>
      </c>
      <c r="B438" s="81"/>
      <c r="C438" s="79"/>
    </row>
    <row r="439" ht="15.75" customHeight="1">
      <c r="A439" s="23" t="s">
        <v>433</v>
      </c>
      <c r="B439" s="81"/>
      <c r="C439" s="79"/>
    </row>
    <row r="440" ht="15.75" customHeight="1">
      <c r="A440" s="23" t="s">
        <v>434</v>
      </c>
      <c r="B440" s="81"/>
      <c r="C440" s="79"/>
    </row>
    <row r="441" ht="15.75" customHeight="1">
      <c r="A441" s="23" t="s">
        <v>435</v>
      </c>
      <c r="B441" s="81"/>
      <c r="C441" s="79"/>
    </row>
    <row r="442" ht="15.75" customHeight="1">
      <c r="A442" s="12" t="s">
        <v>463</v>
      </c>
      <c r="B442" s="81"/>
      <c r="C442" s="79"/>
    </row>
    <row r="443" ht="15.75" customHeight="1">
      <c r="A443" s="39" t="s">
        <v>490</v>
      </c>
      <c r="B443" s="81"/>
      <c r="C443" s="79"/>
    </row>
    <row r="444" ht="15.75" customHeight="1">
      <c r="A444" s="39" t="s">
        <v>491</v>
      </c>
      <c r="B444" s="81"/>
      <c r="C444" s="79"/>
    </row>
    <row r="445" ht="15.75" customHeight="1">
      <c r="A445" s="39" t="s">
        <v>492</v>
      </c>
      <c r="B445" s="81"/>
      <c r="C445" s="79"/>
    </row>
    <row r="446" ht="15.75" customHeight="1">
      <c r="A446" s="39" t="s">
        <v>493</v>
      </c>
      <c r="B446" s="81"/>
      <c r="C446" s="79"/>
    </row>
    <row r="447" ht="15.75" customHeight="1">
      <c r="A447" s="23" t="s">
        <v>437</v>
      </c>
      <c r="B447" s="81"/>
      <c r="C447" s="79"/>
    </row>
    <row r="448" ht="15.75" customHeight="1">
      <c r="A448" s="23" t="s">
        <v>438</v>
      </c>
      <c r="B448" s="81"/>
      <c r="C448" s="79"/>
    </row>
    <row r="449" ht="15.75" customHeight="1">
      <c r="A449" s="23" t="s">
        <v>439</v>
      </c>
      <c r="B449" s="81"/>
      <c r="C449" s="79"/>
    </row>
    <row r="450" ht="15.75" customHeight="1">
      <c r="A450" s="39" t="s">
        <v>494</v>
      </c>
      <c r="B450" s="81"/>
      <c r="C450" s="79"/>
    </row>
    <row r="451" ht="15.75" customHeight="1">
      <c r="A451" s="39" t="s">
        <v>495</v>
      </c>
      <c r="B451" s="81"/>
      <c r="C451" s="79"/>
    </row>
    <row r="452" ht="15.75" customHeight="1">
      <c r="A452" s="39" t="s">
        <v>496</v>
      </c>
      <c r="B452" s="81"/>
      <c r="C452" s="79"/>
    </row>
    <row r="453" ht="15.75" customHeight="1">
      <c r="A453" s="39" t="s">
        <v>497</v>
      </c>
      <c r="B453" s="81"/>
      <c r="C453" s="79"/>
    </row>
    <row r="454" ht="15.75" customHeight="1">
      <c r="A454" s="39" t="s">
        <v>498</v>
      </c>
      <c r="B454" s="81"/>
      <c r="C454" s="79"/>
    </row>
    <row r="455" ht="15.75" customHeight="1">
      <c r="A455" s="23" t="s">
        <v>440</v>
      </c>
      <c r="B455" s="81"/>
      <c r="C455" s="79"/>
    </row>
    <row r="456" ht="15.75" customHeight="1">
      <c r="A456" s="23" t="s">
        <v>441</v>
      </c>
      <c r="B456" s="81"/>
      <c r="C456" s="79"/>
    </row>
    <row r="457" ht="15.75" customHeight="1">
      <c r="A457" s="39" t="s">
        <v>499</v>
      </c>
      <c r="B457" s="81"/>
      <c r="C457" s="79"/>
    </row>
    <row r="458" ht="15.75" customHeight="1">
      <c r="A458" s="23" t="s">
        <v>442</v>
      </c>
      <c r="B458" s="81"/>
      <c r="C458" s="79"/>
    </row>
    <row r="459" ht="15.75" customHeight="1">
      <c r="A459" s="23" t="s">
        <v>443</v>
      </c>
      <c r="B459" s="81"/>
      <c r="C459" s="79"/>
    </row>
    <row r="460" ht="15.75" customHeight="1">
      <c r="A460" s="23" t="s">
        <v>444</v>
      </c>
      <c r="B460" s="81"/>
      <c r="C460" s="79"/>
    </row>
    <row r="461" ht="15.75" customHeight="1">
      <c r="A461" s="23" t="s">
        <v>445</v>
      </c>
      <c r="B461" s="81"/>
      <c r="C461" s="79"/>
    </row>
    <row r="462" ht="15.75" customHeight="1">
      <c r="A462" s="12" t="s">
        <v>464</v>
      </c>
      <c r="B462" s="81"/>
      <c r="C462" s="79"/>
    </row>
    <row r="463" ht="15.75" customHeight="1">
      <c r="A463" s="12" t="s">
        <v>465</v>
      </c>
      <c r="B463" s="81"/>
      <c r="C463" s="79"/>
    </row>
    <row r="464" ht="15.75" customHeight="1">
      <c r="A464" s="12" t="s">
        <v>466</v>
      </c>
      <c r="B464" s="81"/>
      <c r="C464" s="79"/>
    </row>
    <row r="465" ht="15.75" customHeight="1">
      <c r="A465" s="12" t="s">
        <v>467</v>
      </c>
      <c r="B465" s="81"/>
      <c r="C465" s="79"/>
    </row>
    <row r="466" ht="15.75" customHeight="1">
      <c r="A466" s="12" t="s">
        <v>468</v>
      </c>
      <c r="B466" s="81"/>
      <c r="C466" s="79"/>
    </row>
    <row r="467" ht="15.75" customHeight="1">
      <c r="A467" s="12" t="s">
        <v>469</v>
      </c>
      <c r="B467" s="81"/>
      <c r="C467" s="79"/>
    </row>
    <row r="468" ht="15.75" customHeight="1">
      <c r="C468" s="83"/>
    </row>
    <row r="469" ht="15.75" customHeight="1">
      <c r="C469" s="83"/>
    </row>
    <row r="470" ht="15.75" customHeight="1">
      <c r="C470" s="83"/>
    </row>
    <row r="471" ht="15.75" customHeight="1">
      <c r="C471" s="83"/>
    </row>
    <row r="472" ht="15.75" customHeight="1">
      <c r="C472" s="83"/>
    </row>
    <row r="473" ht="15.75" customHeight="1">
      <c r="C473" s="83"/>
    </row>
    <row r="474" ht="15.75" customHeight="1">
      <c r="C474" s="83"/>
    </row>
    <row r="475" ht="15.75" customHeight="1">
      <c r="C475" s="83"/>
    </row>
    <row r="476" ht="15.75" customHeight="1">
      <c r="C476" s="83"/>
    </row>
    <row r="477" ht="15.75" customHeight="1">
      <c r="C477" s="83"/>
    </row>
    <row r="478" ht="15.75" customHeight="1">
      <c r="C478" s="83"/>
    </row>
    <row r="479" ht="15.75" customHeight="1">
      <c r="C479" s="83"/>
    </row>
    <row r="480" ht="15.75" customHeight="1">
      <c r="C480" s="83"/>
    </row>
    <row r="481" ht="15.75" customHeight="1">
      <c r="C481" s="83"/>
    </row>
    <row r="482" ht="15.75" customHeight="1">
      <c r="C482" s="83"/>
    </row>
    <row r="483" ht="15.75" customHeight="1">
      <c r="C483" s="83"/>
    </row>
    <row r="484" ht="15.75" customHeight="1">
      <c r="C484" s="83"/>
    </row>
    <row r="485" ht="15.75" customHeight="1">
      <c r="C485" s="83"/>
    </row>
    <row r="486" ht="15.75" customHeight="1">
      <c r="C486" s="83"/>
    </row>
    <row r="487" ht="15.75" customHeight="1">
      <c r="C487" s="83"/>
    </row>
    <row r="488" ht="15.75" customHeight="1">
      <c r="C488" s="83"/>
    </row>
    <row r="489" ht="15.75" customHeight="1">
      <c r="C489" s="83"/>
    </row>
    <row r="490" ht="15.75" customHeight="1">
      <c r="C490" s="83"/>
    </row>
    <row r="491" ht="15.75" customHeight="1">
      <c r="C491" s="83"/>
    </row>
    <row r="492" ht="15.75" customHeight="1">
      <c r="C492" s="83"/>
    </row>
    <row r="493" ht="15.75" customHeight="1">
      <c r="C493" s="83"/>
    </row>
    <row r="494" ht="15.75" customHeight="1">
      <c r="C494" s="83"/>
    </row>
    <row r="495" ht="15.75" customHeight="1">
      <c r="C495" s="83"/>
    </row>
    <row r="496" ht="15.75" customHeight="1">
      <c r="C496" s="83"/>
    </row>
    <row r="497" ht="15.75" customHeight="1">
      <c r="C497" s="83"/>
    </row>
    <row r="498" ht="15.75" customHeight="1">
      <c r="C498" s="83"/>
    </row>
    <row r="499" ht="15.75" customHeight="1">
      <c r="C499" s="83"/>
    </row>
    <row r="500" ht="15.75" customHeight="1">
      <c r="C500" s="83"/>
    </row>
    <row r="501" ht="15.75" customHeight="1">
      <c r="C501" s="83"/>
    </row>
    <row r="502" ht="15.75" customHeight="1">
      <c r="C502" s="83"/>
    </row>
    <row r="503" ht="15.75" customHeight="1">
      <c r="C503" s="83"/>
    </row>
    <row r="504" ht="15.75" customHeight="1">
      <c r="C504" s="83"/>
    </row>
    <row r="505" ht="15.75" customHeight="1">
      <c r="C505" s="83"/>
    </row>
    <row r="506" ht="15.75" customHeight="1">
      <c r="C506" s="83"/>
    </row>
    <row r="507" ht="15.75" customHeight="1">
      <c r="C507" s="83"/>
    </row>
    <row r="508" ht="15.75" customHeight="1">
      <c r="C508" s="83"/>
    </row>
    <row r="509" ht="15.75" customHeight="1">
      <c r="C509" s="83"/>
    </row>
    <row r="510" ht="15.75" customHeight="1">
      <c r="C510" s="83"/>
    </row>
    <row r="511" ht="15.75" customHeight="1">
      <c r="C511" s="83"/>
    </row>
    <row r="512" ht="15.75" customHeight="1">
      <c r="C512" s="83"/>
    </row>
    <row r="513" ht="15.75" customHeight="1">
      <c r="C513" s="83"/>
    </row>
    <row r="514" ht="15.75" customHeight="1">
      <c r="C514" s="83"/>
    </row>
    <row r="515" ht="15.75" customHeight="1">
      <c r="C515" s="83"/>
    </row>
    <row r="516" ht="15.75" customHeight="1">
      <c r="C516" s="83"/>
    </row>
    <row r="517" ht="15.75" customHeight="1">
      <c r="C517" s="83"/>
    </row>
    <row r="518" ht="15.75" customHeight="1">
      <c r="C518" s="83"/>
    </row>
    <row r="519" ht="15.75" customHeight="1">
      <c r="C519" s="83"/>
    </row>
    <row r="520" ht="15.75" customHeight="1">
      <c r="C520" s="83"/>
    </row>
    <row r="521" ht="15.75" customHeight="1">
      <c r="C521" s="83"/>
    </row>
    <row r="522" ht="15.75" customHeight="1">
      <c r="C522" s="83"/>
    </row>
    <row r="523" ht="15.75" customHeight="1">
      <c r="C523" s="83"/>
    </row>
    <row r="524" ht="15.75" customHeight="1">
      <c r="C524" s="83"/>
    </row>
    <row r="525" ht="15.75" customHeight="1">
      <c r="C525" s="83"/>
    </row>
    <row r="526" ht="15.75" customHeight="1">
      <c r="C526" s="83"/>
    </row>
    <row r="527" ht="15.75" customHeight="1">
      <c r="C527" s="83"/>
    </row>
    <row r="528" ht="15.75" customHeight="1">
      <c r="C528" s="83"/>
    </row>
    <row r="529" ht="15.75" customHeight="1">
      <c r="C529" s="83"/>
    </row>
    <row r="530" ht="15.75" customHeight="1">
      <c r="C530" s="83"/>
    </row>
    <row r="531" ht="15.75" customHeight="1">
      <c r="C531" s="83"/>
    </row>
    <row r="532" ht="15.75" customHeight="1">
      <c r="C532" s="83"/>
    </row>
    <row r="533" ht="15.75" customHeight="1">
      <c r="C533" s="83"/>
    </row>
    <row r="534" ht="15.75" customHeight="1">
      <c r="C534" s="83"/>
    </row>
    <row r="535" ht="15.75" customHeight="1">
      <c r="C535" s="83"/>
    </row>
    <row r="536" ht="15.75" customHeight="1">
      <c r="C536" s="83"/>
    </row>
    <row r="537" ht="15.75" customHeight="1">
      <c r="C537" s="83"/>
    </row>
    <row r="538" ht="15.75" customHeight="1">
      <c r="C538" s="83"/>
    </row>
    <row r="539" ht="15.75" customHeight="1">
      <c r="C539" s="83"/>
    </row>
    <row r="540" ht="15.75" customHeight="1">
      <c r="C540" s="83"/>
    </row>
    <row r="541" ht="15.75" customHeight="1">
      <c r="C541" s="83"/>
    </row>
    <row r="542" ht="15.75" customHeight="1">
      <c r="C542" s="83"/>
    </row>
    <row r="543" ht="15.75" customHeight="1">
      <c r="C543" s="83"/>
    </row>
    <row r="544" ht="15.75" customHeight="1">
      <c r="C544" s="83"/>
    </row>
    <row r="545" ht="15.75" customHeight="1">
      <c r="C545" s="83"/>
    </row>
    <row r="546" ht="15.75" customHeight="1">
      <c r="C546" s="83"/>
    </row>
    <row r="547" ht="15.75" customHeight="1">
      <c r="C547" s="83"/>
    </row>
    <row r="548" ht="15.75" customHeight="1">
      <c r="C548" s="83"/>
    </row>
    <row r="549" ht="15.75" customHeight="1">
      <c r="C549" s="83"/>
    </row>
    <row r="550" ht="15.75" customHeight="1">
      <c r="C550" s="83"/>
    </row>
    <row r="551" ht="15.75" customHeight="1">
      <c r="C551" s="83"/>
    </row>
    <row r="552" ht="15.75" customHeight="1">
      <c r="C552" s="83"/>
    </row>
    <row r="553" ht="15.75" customHeight="1">
      <c r="C553" s="83"/>
    </row>
    <row r="554" ht="15.75" customHeight="1">
      <c r="C554" s="83"/>
    </row>
    <row r="555" ht="15.75" customHeight="1">
      <c r="C555" s="83"/>
    </row>
    <row r="556" ht="15.75" customHeight="1">
      <c r="C556" s="83"/>
    </row>
    <row r="557" ht="15.75" customHeight="1">
      <c r="C557" s="83"/>
    </row>
    <row r="558" ht="15.75" customHeight="1">
      <c r="C558" s="83"/>
    </row>
    <row r="559" ht="15.75" customHeight="1">
      <c r="C559" s="83"/>
    </row>
    <row r="560" ht="15.75" customHeight="1">
      <c r="C560" s="83"/>
    </row>
    <row r="561" ht="15.75" customHeight="1">
      <c r="C561" s="83"/>
    </row>
    <row r="562" ht="15.75" customHeight="1">
      <c r="C562" s="83"/>
    </row>
    <row r="563" ht="15.75" customHeight="1">
      <c r="C563" s="83"/>
    </row>
    <row r="564" ht="15.75" customHeight="1">
      <c r="C564" s="83"/>
    </row>
    <row r="565" ht="15.75" customHeight="1">
      <c r="C565" s="83"/>
    </row>
    <row r="566" ht="15.75" customHeight="1">
      <c r="C566" s="83"/>
    </row>
    <row r="567" ht="15.75" customHeight="1">
      <c r="C567" s="83"/>
    </row>
    <row r="568" ht="15.75" customHeight="1">
      <c r="C568" s="83"/>
    </row>
    <row r="569" ht="15.75" customHeight="1">
      <c r="C569" s="83"/>
    </row>
    <row r="570" ht="15.75" customHeight="1">
      <c r="C570" s="83"/>
    </row>
    <row r="571" ht="15.75" customHeight="1">
      <c r="C571" s="83"/>
    </row>
    <row r="572" ht="15.75" customHeight="1">
      <c r="C572" s="83"/>
    </row>
    <row r="573" ht="15.75" customHeight="1">
      <c r="C573" s="83"/>
    </row>
    <row r="574" ht="15.75" customHeight="1">
      <c r="C574" s="83"/>
    </row>
    <row r="575" ht="15.75" customHeight="1">
      <c r="C575" s="83"/>
    </row>
    <row r="576" ht="15.75" customHeight="1">
      <c r="C576" s="83"/>
    </row>
    <row r="577" ht="15.75" customHeight="1">
      <c r="C577" s="83"/>
    </row>
    <row r="578" ht="15.75" customHeight="1">
      <c r="C578" s="83"/>
    </row>
    <row r="579" ht="15.75" customHeight="1">
      <c r="C579" s="83"/>
    </row>
    <row r="580" ht="15.75" customHeight="1">
      <c r="C580" s="83"/>
    </row>
    <row r="581" ht="15.75" customHeight="1">
      <c r="C581" s="83"/>
    </row>
    <row r="582" ht="15.75" customHeight="1">
      <c r="C582" s="83"/>
    </row>
    <row r="583" ht="15.75" customHeight="1">
      <c r="C583" s="83"/>
    </row>
    <row r="584" ht="15.75" customHeight="1">
      <c r="C584" s="83"/>
    </row>
    <row r="585" ht="15.75" customHeight="1">
      <c r="C585" s="83"/>
    </row>
    <row r="586" ht="15.75" customHeight="1">
      <c r="C586" s="83"/>
    </row>
    <row r="587" ht="15.75" customHeight="1">
      <c r="C587" s="83"/>
    </row>
    <row r="588" ht="15.75" customHeight="1">
      <c r="C588" s="83"/>
    </row>
    <row r="589" ht="15.75" customHeight="1">
      <c r="C589" s="83"/>
    </row>
    <row r="590" ht="15.75" customHeight="1">
      <c r="C590" s="83"/>
    </row>
    <row r="591" ht="15.75" customHeight="1">
      <c r="C591" s="83"/>
    </row>
    <row r="592" ht="15.75" customHeight="1">
      <c r="C592" s="83"/>
    </row>
    <row r="593" ht="15.75" customHeight="1">
      <c r="C593" s="83"/>
    </row>
    <row r="594" ht="15.75" customHeight="1">
      <c r="C594" s="83"/>
    </row>
    <row r="595" ht="15.75" customHeight="1">
      <c r="C595" s="83"/>
    </row>
    <row r="596" ht="15.75" customHeight="1">
      <c r="C596" s="83"/>
    </row>
    <row r="597" ht="15.75" customHeight="1">
      <c r="C597" s="83"/>
    </row>
    <row r="598" ht="15.75" customHeight="1">
      <c r="C598" s="83"/>
    </row>
    <row r="599" ht="15.75" customHeight="1">
      <c r="C599" s="83"/>
    </row>
    <row r="600" ht="15.75" customHeight="1">
      <c r="C600" s="83"/>
    </row>
    <row r="601" ht="15.75" customHeight="1">
      <c r="C601" s="83"/>
    </row>
    <row r="602" ht="15.75" customHeight="1">
      <c r="C602" s="83"/>
    </row>
    <row r="603" ht="15.75" customHeight="1">
      <c r="C603" s="83"/>
    </row>
    <row r="604" ht="15.75" customHeight="1">
      <c r="C604" s="83"/>
    </row>
    <row r="605" ht="15.75" customHeight="1">
      <c r="C605" s="83"/>
    </row>
    <row r="606" ht="15.75" customHeight="1">
      <c r="C606" s="83"/>
    </row>
    <row r="607" ht="15.75" customHeight="1">
      <c r="C607" s="83"/>
    </row>
    <row r="608" ht="15.75" customHeight="1">
      <c r="C608" s="83"/>
    </row>
    <row r="609" ht="15.75" customHeight="1">
      <c r="C609" s="83"/>
    </row>
    <row r="610" ht="15.75" customHeight="1">
      <c r="C610" s="83"/>
    </row>
    <row r="611" ht="15.75" customHeight="1">
      <c r="C611" s="83"/>
    </row>
    <row r="612" ht="15.75" customHeight="1">
      <c r="C612" s="83"/>
    </row>
    <row r="613" ht="15.75" customHeight="1">
      <c r="C613" s="83"/>
    </row>
    <row r="614" ht="15.75" customHeight="1">
      <c r="C614" s="83"/>
    </row>
    <row r="615" ht="15.75" customHeight="1">
      <c r="C615" s="83"/>
    </row>
    <row r="616" ht="15.75" customHeight="1">
      <c r="C616" s="83"/>
    </row>
    <row r="617" ht="15.75" customHeight="1">
      <c r="C617" s="83"/>
    </row>
    <row r="618" ht="15.75" customHeight="1">
      <c r="C618" s="83"/>
    </row>
    <row r="619" ht="15.75" customHeight="1">
      <c r="C619" s="83"/>
    </row>
    <row r="620" ht="15.75" customHeight="1">
      <c r="C620" s="83"/>
    </row>
    <row r="621" ht="15.75" customHeight="1">
      <c r="C621" s="83"/>
    </row>
    <row r="622" ht="15.75" customHeight="1">
      <c r="C622" s="83"/>
    </row>
    <row r="623" ht="15.75" customHeight="1">
      <c r="C623" s="83"/>
    </row>
    <row r="624" ht="15.75" customHeight="1">
      <c r="C624" s="83"/>
    </row>
    <row r="625" ht="15.75" customHeight="1">
      <c r="C625" s="83"/>
    </row>
    <row r="626" ht="15.75" customHeight="1">
      <c r="C626" s="83"/>
    </row>
    <row r="627" ht="15.75" customHeight="1">
      <c r="C627" s="83"/>
    </row>
    <row r="628" ht="15.75" customHeight="1">
      <c r="C628" s="83"/>
    </row>
    <row r="629" ht="15.75" customHeight="1">
      <c r="C629" s="83"/>
    </row>
    <row r="630" ht="15.75" customHeight="1">
      <c r="C630" s="83"/>
    </row>
    <row r="631" ht="15.75" customHeight="1">
      <c r="C631" s="83"/>
    </row>
    <row r="632" ht="15.75" customHeight="1">
      <c r="C632" s="83"/>
    </row>
    <row r="633" ht="15.75" customHeight="1">
      <c r="C633" s="83"/>
    </row>
    <row r="634" ht="15.75" customHeight="1">
      <c r="C634" s="83"/>
    </row>
    <row r="635" ht="15.75" customHeight="1">
      <c r="C635" s="83"/>
    </row>
    <row r="636" ht="15.75" customHeight="1">
      <c r="C636" s="83"/>
    </row>
    <row r="637" ht="15.75" customHeight="1">
      <c r="C637" s="83"/>
    </row>
    <row r="638" ht="15.75" customHeight="1">
      <c r="C638" s="83"/>
    </row>
    <row r="639" ht="15.75" customHeight="1">
      <c r="C639" s="83"/>
    </row>
    <row r="640" ht="15.75" customHeight="1">
      <c r="C640" s="83"/>
    </row>
    <row r="641" ht="15.75" customHeight="1">
      <c r="C641" s="83"/>
    </row>
    <row r="642" ht="15.75" customHeight="1">
      <c r="C642" s="83"/>
    </row>
    <row r="643" ht="15.75" customHeight="1">
      <c r="C643" s="83"/>
    </row>
    <row r="644" ht="15.75" customHeight="1">
      <c r="C644" s="83"/>
    </row>
    <row r="645" ht="15.75" customHeight="1">
      <c r="C645" s="83"/>
    </row>
    <row r="646" ht="15.75" customHeight="1">
      <c r="C646" s="83"/>
    </row>
    <row r="647" ht="15.75" customHeight="1">
      <c r="C647" s="83"/>
    </row>
    <row r="648" ht="15.75" customHeight="1">
      <c r="C648" s="83"/>
    </row>
    <row r="649" ht="15.75" customHeight="1">
      <c r="C649" s="83"/>
    </row>
    <row r="650" ht="15.75" customHeight="1">
      <c r="C650" s="83"/>
    </row>
    <row r="651" ht="15.75" customHeight="1">
      <c r="C651" s="83"/>
    </row>
    <row r="652" ht="15.75" customHeight="1">
      <c r="C652" s="83"/>
    </row>
    <row r="653" ht="15.75" customHeight="1">
      <c r="C653" s="83"/>
    </row>
    <row r="654" ht="15.75" customHeight="1">
      <c r="C654" s="83"/>
    </row>
    <row r="655" ht="15.75" customHeight="1">
      <c r="C655" s="83"/>
    </row>
    <row r="656" ht="15.75" customHeight="1">
      <c r="C656" s="83"/>
    </row>
    <row r="657" ht="15.75" customHeight="1">
      <c r="C657" s="83"/>
    </row>
    <row r="658" ht="15.75" customHeight="1">
      <c r="C658" s="83"/>
    </row>
    <row r="659" ht="15.75" customHeight="1">
      <c r="C659" s="83"/>
    </row>
    <row r="660" ht="15.75" customHeight="1">
      <c r="C660" s="83"/>
    </row>
    <row r="661" ht="15.75" customHeight="1">
      <c r="C661" s="83"/>
    </row>
    <row r="662" ht="15.75" customHeight="1">
      <c r="C662" s="83"/>
    </row>
    <row r="663" ht="15.75" customHeight="1">
      <c r="C663" s="83"/>
    </row>
    <row r="664" ht="15.75" customHeight="1">
      <c r="C664" s="83"/>
    </row>
    <row r="665" ht="15.75" customHeight="1">
      <c r="C665" s="83"/>
    </row>
    <row r="666" ht="15.75" customHeight="1">
      <c r="C666" s="83"/>
    </row>
    <row r="667" ht="15.75" customHeight="1">
      <c r="C667" s="83"/>
    </row>
    <row r="668" ht="15.75" customHeight="1">
      <c r="C668" s="83"/>
    </row>
    <row r="669" ht="15.75" customHeight="1">
      <c r="C669" s="83"/>
    </row>
    <row r="670" ht="15.75" customHeight="1">
      <c r="C670" s="83"/>
    </row>
    <row r="671" ht="15.75" customHeight="1">
      <c r="C671" s="83"/>
    </row>
    <row r="672" ht="15.75" customHeight="1">
      <c r="C672" s="83"/>
    </row>
    <row r="673" ht="15.75" customHeight="1">
      <c r="C673" s="83"/>
    </row>
    <row r="674" ht="15.75" customHeight="1">
      <c r="C674" s="83"/>
    </row>
    <row r="675" ht="15.75" customHeight="1">
      <c r="C675" s="83"/>
    </row>
    <row r="676" ht="15.75" customHeight="1">
      <c r="C676" s="83"/>
    </row>
    <row r="677" ht="15.75" customHeight="1">
      <c r="C677" s="83"/>
    </row>
    <row r="678" ht="15.75" customHeight="1">
      <c r="C678" s="83"/>
    </row>
    <row r="679" ht="15.75" customHeight="1">
      <c r="C679" s="83"/>
    </row>
    <row r="680" ht="15.75" customHeight="1">
      <c r="C680" s="83"/>
    </row>
    <row r="681" ht="15.75" customHeight="1">
      <c r="C681" s="83"/>
    </row>
    <row r="682" ht="15.75" customHeight="1">
      <c r="C682" s="83"/>
    </row>
    <row r="683" ht="15.75" customHeight="1">
      <c r="C683" s="83"/>
    </row>
    <row r="684" ht="15.75" customHeight="1">
      <c r="C684" s="83"/>
    </row>
    <row r="685" ht="15.75" customHeight="1">
      <c r="C685" s="83"/>
    </row>
    <row r="686" ht="15.75" customHeight="1">
      <c r="C686" s="83"/>
    </row>
    <row r="687" ht="15.75" customHeight="1">
      <c r="C687" s="83"/>
    </row>
    <row r="688" ht="15.75" customHeight="1">
      <c r="C688" s="83"/>
    </row>
    <row r="689" ht="15.75" customHeight="1">
      <c r="C689" s="83"/>
    </row>
    <row r="690" ht="15.75" customHeight="1">
      <c r="C690" s="83"/>
    </row>
    <row r="691" ht="15.75" customHeight="1">
      <c r="C691" s="83"/>
    </row>
    <row r="692" ht="15.75" customHeight="1">
      <c r="C692" s="83"/>
    </row>
    <row r="693" ht="15.75" customHeight="1">
      <c r="C693" s="83"/>
    </row>
    <row r="694" ht="15.75" customHeight="1">
      <c r="C694" s="83"/>
    </row>
    <row r="695" ht="15.75" customHeight="1">
      <c r="C695" s="83"/>
    </row>
    <row r="696" ht="15.75" customHeight="1">
      <c r="C696" s="83"/>
    </row>
    <row r="697" ht="15.75" customHeight="1">
      <c r="C697" s="83"/>
    </row>
    <row r="698" ht="15.75" customHeight="1">
      <c r="C698" s="83"/>
    </row>
    <row r="699" ht="15.75" customHeight="1">
      <c r="C699" s="83"/>
    </row>
    <row r="700" ht="15.75" customHeight="1">
      <c r="C700" s="83"/>
    </row>
    <row r="701" ht="15.75" customHeight="1">
      <c r="C701" s="83"/>
    </row>
    <row r="702" ht="15.75" customHeight="1">
      <c r="C702" s="83"/>
    </row>
    <row r="703" ht="15.75" customHeight="1">
      <c r="C703" s="83"/>
    </row>
    <row r="704" ht="15.75" customHeight="1">
      <c r="C704" s="83"/>
    </row>
    <row r="705" ht="15.75" customHeight="1">
      <c r="C705" s="83"/>
    </row>
    <row r="706" ht="15.75" customHeight="1">
      <c r="C706" s="83"/>
    </row>
    <row r="707" ht="15.75" customHeight="1">
      <c r="C707" s="83"/>
    </row>
    <row r="708" ht="15.75" customHeight="1">
      <c r="C708" s="83"/>
    </row>
    <row r="709" ht="15.75" customHeight="1">
      <c r="C709" s="83"/>
    </row>
    <row r="710" ht="15.75" customHeight="1">
      <c r="C710" s="83"/>
    </row>
    <row r="711" ht="15.75" customHeight="1">
      <c r="C711" s="83"/>
    </row>
    <row r="712" ht="15.75" customHeight="1">
      <c r="C712" s="83"/>
    </row>
    <row r="713" ht="15.75" customHeight="1">
      <c r="C713" s="83"/>
    </row>
    <row r="714" ht="15.75" customHeight="1">
      <c r="C714" s="83"/>
    </row>
    <row r="715" ht="15.75" customHeight="1">
      <c r="C715" s="83"/>
    </row>
    <row r="716" ht="15.75" customHeight="1">
      <c r="C716" s="83"/>
    </row>
    <row r="717" ht="15.75" customHeight="1">
      <c r="C717" s="83"/>
    </row>
    <row r="718" ht="15.75" customHeight="1">
      <c r="C718" s="83"/>
    </row>
    <row r="719" ht="15.75" customHeight="1">
      <c r="C719" s="83"/>
    </row>
    <row r="720" ht="15.75" customHeight="1">
      <c r="C720" s="83"/>
    </row>
    <row r="721" ht="15.75" customHeight="1">
      <c r="C721" s="83"/>
    </row>
    <row r="722" ht="15.75" customHeight="1">
      <c r="C722" s="83"/>
    </row>
    <row r="723" ht="15.75" customHeight="1">
      <c r="C723" s="83"/>
    </row>
    <row r="724" ht="15.75" customHeight="1">
      <c r="C724" s="83"/>
    </row>
    <row r="725" ht="15.75" customHeight="1">
      <c r="C725" s="83"/>
    </row>
    <row r="726" ht="15.75" customHeight="1">
      <c r="C726" s="83"/>
    </row>
    <row r="727" ht="15.75" customHeight="1">
      <c r="C727" s="83"/>
    </row>
    <row r="728" ht="15.75" customHeight="1">
      <c r="C728" s="83"/>
    </row>
    <row r="729" ht="15.75" customHeight="1">
      <c r="C729" s="83"/>
    </row>
    <row r="730" ht="15.75" customHeight="1">
      <c r="C730" s="83"/>
    </row>
    <row r="731" ht="15.75" customHeight="1">
      <c r="C731" s="83"/>
    </row>
    <row r="732" ht="15.75" customHeight="1">
      <c r="C732" s="83"/>
    </row>
    <row r="733" ht="15.75" customHeight="1">
      <c r="C733" s="83"/>
    </row>
    <row r="734" ht="15.75" customHeight="1">
      <c r="C734" s="83"/>
    </row>
    <row r="735" ht="15.75" customHeight="1">
      <c r="C735" s="83"/>
    </row>
    <row r="736" ht="15.75" customHeight="1">
      <c r="C736" s="83"/>
    </row>
    <row r="737" ht="15.75" customHeight="1">
      <c r="C737" s="83"/>
    </row>
    <row r="738" ht="15.75" customHeight="1">
      <c r="C738" s="83"/>
    </row>
    <row r="739" ht="15.75" customHeight="1">
      <c r="C739" s="83"/>
    </row>
    <row r="740" ht="15.75" customHeight="1">
      <c r="C740" s="83"/>
    </row>
    <row r="741" ht="15.75" customHeight="1">
      <c r="C741" s="83"/>
    </row>
    <row r="742" ht="15.75" customHeight="1">
      <c r="C742" s="83"/>
    </row>
    <row r="743" ht="15.75" customHeight="1">
      <c r="C743" s="83"/>
    </row>
    <row r="744" ht="15.75" customHeight="1">
      <c r="C744" s="83"/>
    </row>
    <row r="745" ht="15.75" customHeight="1">
      <c r="C745" s="83"/>
    </row>
    <row r="746" ht="15.75" customHeight="1">
      <c r="C746" s="83"/>
    </row>
    <row r="747" ht="15.75" customHeight="1">
      <c r="C747" s="83"/>
    </row>
    <row r="748" ht="15.75" customHeight="1">
      <c r="C748" s="83"/>
    </row>
    <row r="749" ht="15.75" customHeight="1">
      <c r="C749" s="83"/>
    </row>
    <row r="750" ht="15.75" customHeight="1">
      <c r="C750" s="83"/>
    </row>
    <row r="751" ht="15.75" customHeight="1">
      <c r="C751" s="83"/>
    </row>
    <row r="752" ht="15.75" customHeight="1">
      <c r="C752" s="83"/>
    </row>
    <row r="753" ht="15.75" customHeight="1">
      <c r="C753" s="83"/>
    </row>
    <row r="754" ht="15.75" customHeight="1">
      <c r="C754" s="83"/>
    </row>
    <row r="755" ht="15.75" customHeight="1">
      <c r="C755" s="83"/>
    </row>
    <row r="756" ht="15.75" customHeight="1">
      <c r="C756" s="83"/>
    </row>
    <row r="757" ht="15.75" customHeight="1">
      <c r="C757" s="83"/>
    </row>
    <row r="758" ht="15.75" customHeight="1">
      <c r="C758" s="83"/>
    </row>
    <row r="759" ht="15.75" customHeight="1">
      <c r="C759" s="83"/>
    </row>
    <row r="760" ht="15.75" customHeight="1">
      <c r="C760" s="83"/>
    </row>
    <row r="761" ht="15.75" customHeight="1">
      <c r="C761" s="83"/>
    </row>
    <row r="762" ht="15.75" customHeight="1">
      <c r="C762" s="83"/>
    </row>
    <row r="763" ht="15.75" customHeight="1">
      <c r="C763" s="83"/>
    </row>
    <row r="764" ht="15.75" customHeight="1">
      <c r="C764" s="83"/>
    </row>
    <row r="765" ht="15.75" customHeight="1">
      <c r="C765" s="83"/>
    </row>
    <row r="766" ht="15.75" customHeight="1">
      <c r="C766" s="83"/>
    </row>
    <row r="767" ht="15.75" customHeight="1">
      <c r="C767" s="83"/>
    </row>
    <row r="768" ht="15.75" customHeight="1">
      <c r="C768" s="83"/>
    </row>
    <row r="769" ht="15.75" customHeight="1">
      <c r="C769" s="83"/>
    </row>
    <row r="770" ht="15.75" customHeight="1">
      <c r="C770" s="83"/>
    </row>
    <row r="771" ht="15.75" customHeight="1">
      <c r="C771" s="83"/>
    </row>
    <row r="772" ht="15.75" customHeight="1">
      <c r="C772" s="83"/>
    </row>
    <row r="773" ht="15.75" customHeight="1">
      <c r="C773" s="83"/>
    </row>
    <row r="774" ht="15.75" customHeight="1">
      <c r="C774" s="83"/>
    </row>
    <row r="775" ht="15.75" customHeight="1">
      <c r="C775" s="83"/>
    </row>
    <row r="776" ht="15.75" customHeight="1">
      <c r="C776" s="83"/>
    </row>
    <row r="777" ht="15.75" customHeight="1">
      <c r="C777" s="83"/>
    </row>
    <row r="778" ht="15.75" customHeight="1">
      <c r="C778" s="83"/>
    </row>
    <row r="779" ht="15.75" customHeight="1">
      <c r="C779" s="83"/>
    </row>
    <row r="780" ht="15.75" customHeight="1">
      <c r="C780" s="83"/>
    </row>
    <row r="781" ht="15.75" customHeight="1">
      <c r="C781" s="83"/>
    </row>
    <row r="782" ht="15.75" customHeight="1">
      <c r="C782" s="83"/>
    </row>
    <row r="783" ht="15.75" customHeight="1">
      <c r="C783" s="83"/>
    </row>
    <row r="784" ht="15.75" customHeight="1">
      <c r="C784" s="83"/>
    </row>
    <row r="785" ht="15.75" customHeight="1">
      <c r="C785" s="83"/>
    </row>
    <row r="786" ht="15.75" customHeight="1">
      <c r="C786" s="83"/>
    </row>
    <row r="787" ht="15.75" customHeight="1">
      <c r="C787" s="83"/>
    </row>
    <row r="788" ht="15.75" customHeight="1">
      <c r="C788" s="83"/>
    </row>
    <row r="789" ht="15.75" customHeight="1">
      <c r="C789" s="83"/>
    </row>
    <row r="790" ht="15.75" customHeight="1">
      <c r="C790" s="83"/>
    </row>
    <row r="791" ht="15.75" customHeight="1">
      <c r="C791" s="83"/>
    </row>
    <row r="792" ht="15.75" customHeight="1">
      <c r="C792" s="83"/>
    </row>
    <row r="793" ht="15.75" customHeight="1">
      <c r="C793" s="83"/>
    </row>
    <row r="794" ht="15.75" customHeight="1">
      <c r="C794" s="83"/>
    </row>
    <row r="795" ht="15.75" customHeight="1">
      <c r="C795" s="83"/>
    </row>
    <row r="796" ht="15.75" customHeight="1">
      <c r="C796" s="83"/>
    </row>
    <row r="797" ht="15.75" customHeight="1">
      <c r="C797" s="83"/>
    </row>
    <row r="798" ht="15.75" customHeight="1">
      <c r="C798" s="83"/>
    </row>
    <row r="799" ht="15.75" customHeight="1">
      <c r="C799" s="83"/>
    </row>
    <row r="800" ht="15.75" customHeight="1">
      <c r="C800" s="83"/>
    </row>
    <row r="801" ht="15.75" customHeight="1">
      <c r="C801" s="83"/>
    </row>
    <row r="802" ht="15.75" customHeight="1">
      <c r="C802" s="83"/>
    </row>
    <row r="803" ht="15.75" customHeight="1">
      <c r="C803" s="83"/>
    </row>
    <row r="804" ht="15.75" customHeight="1">
      <c r="C804" s="83"/>
    </row>
    <row r="805" ht="15.75" customHeight="1">
      <c r="C805" s="83"/>
    </row>
    <row r="806" ht="15.75" customHeight="1">
      <c r="C806" s="83"/>
    </row>
    <row r="807" ht="15.75" customHeight="1">
      <c r="C807" s="83"/>
    </row>
    <row r="808" ht="15.75" customHeight="1">
      <c r="C808" s="83"/>
    </row>
    <row r="809" ht="15.75" customHeight="1">
      <c r="C809" s="83"/>
    </row>
    <row r="810" ht="15.75" customHeight="1">
      <c r="C810" s="83"/>
    </row>
    <row r="811" ht="15.75" customHeight="1">
      <c r="C811" s="83"/>
    </row>
    <row r="812" ht="15.75" customHeight="1">
      <c r="C812" s="83"/>
    </row>
    <row r="813" ht="15.75" customHeight="1">
      <c r="C813" s="83"/>
    </row>
    <row r="814" ht="15.75" customHeight="1">
      <c r="C814" s="83"/>
    </row>
    <row r="815" ht="15.75" customHeight="1">
      <c r="C815" s="83"/>
    </row>
    <row r="816" ht="15.75" customHeight="1">
      <c r="C816" s="83"/>
    </row>
    <row r="817" ht="15.75" customHeight="1">
      <c r="C817" s="83"/>
    </row>
    <row r="818" ht="15.75" customHeight="1">
      <c r="C818" s="83"/>
    </row>
    <row r="819" ht="15.75" customHeight="1">
      <c r="C819" s="83"/>
    </row>
    <row r="820" ht="15.75" customHeight="1">
      <c r="C820" s="83"/>
    </row>
    <row r="821" ht="15.75" customHeight="1">
      <c r="C821" s="83"/>
    </row>
    <row r="822" ht="15.75" customHeight="1">
      <c r="C822" s="83"/>
    </row>
    <row r="823" ht="15.75" customHeight="1">
      <c r="C823" s="83"/>
    </row>
    <row r="824" ht="15.75" customHeight="1">
      <c r="C824" s="83"/>
    </row>
    <row r="825" ht="15.75" customHeight="1">
      <c r="C825" s="83"/>
    </row>
    <row r="826" ht="15.75" customHeight="1">
      <c r="C826" s="83"/>
    </row>
    <row r="827" ht="15.75" customHeight="1">
      <c r="C827" s="83"/>
    </row>
    <row r="828" ht="15.75" customHeight="1">
      <c r="C828" s="83"/>
    </row>
    <row r="829" ht="15.75" customHeight="1">
      <c r="C829" s="83"/>
    </row>
    <row r="830" ht="15.75" customHeight="1">
      <c r="C830" s="83"/>
    </row>
    <row r="831" ht="15.75" customHeight="1">
      <c r="C831" s="83"/>
    </row>
    <row r="832" ht="15.75" customHeight="1">
      <c r="C832" s="83"/>
    </row>
    <row r="833" ht="15.75" customHeight="1">
      <c r="C833" s="83"/>
    </row>
    <row r="834" ht="15.75" customHeight="1">
      <c r="C834" s="83"/>
    </row>
    <row r="835" ht="15.75" customHeight="1">
      <c r="C835" s="83"/>
    </row>
    <row r="836" ht="15.75" customHeight="1">
      <c r="C836" s="83"/>
    </row>
    <row r="837" ht="15.75" customHeight="1">
      <c r="C837" s="83"/>
    </row>
    <row r="838" ht="15.75" customHeight="1">
      <c r="C838" s="83"/>
    </row>
    <row r="839" ht="15.75" customHeight="1">
      <c r="C839" s="83"/>
    </row>
    <row r="840" ht="15.75" customHeight="1">
      <c r="C840" s="83"/>
    </row>
    <row r="841" ht="15.75" customHeight="1">
      <c r="C841" s="83"/>
    </row>
    <row r="842" ht="15.75" customHeight="1">
      <c r="C842" s="83"/>
    </row>
    <row r="843" ht="15.75" customHeight="1">
      <c r="C843" s="83"/>
    </row>
    <row r="844" ht="15.75" customHeight="1">
      <c r="C844" s="83"/>
    </row>
    <row r="845" ht="15.75" customHeight="1">
      <c r="C845" s="83"/>
    </row>
    <row r="846" ht="15.75" customHeight="1">
      <c r="C846" s="83"/>
    </row>
    <row r="847" ht="15.75" customHeight="1">
      <c r="C847" s="83"/>
    </row>
    <row r="848" ht="15.75" customHeight="1">
      <c r="C848" s="83"/>
    </row>
    <row r="849" ht="15.75" customHeight="1">
      <c r="C849" s="83"/>
    </row>
    <row r="850" ht="15.75" customHeight="1">
      <c r="C850" s="83"/>
    </row>
    <row r="851" ht="15.75" customHeight="1">
      <c r="C851" s="83"/>
    </row>
    <row r="852" ht="15.75" customHeight="1">
      <c r="C852" s="83"/>
    </row>
    <row r="853" ht="15.75" customHeight="1">
      <c r="C853" s="83"/>
    </row>
    <row r="854" ht="15.75" customHeight="1">
      <c r="C854" s="83"/>
    </row>
    <row r="855" ht="15.75" customHeight="1">
      <c r="C855" s="83"/>
    </row>
    <row r="856" ht="15.75" customHeight="1">
      <c r="C856" s="83"/>
    </row>
    <row r="857" ht="15.75" customHeight="1">
      <c r="C857" s="83"/>
    </row>
    <row r="858" ht="15.75" customHeight="1">
      <c r="C858" s="83"/>
    </row>
    <row r="859" ht="15.75" customHeight="1">
      <c r="C859" s="83"/>
    </row>
    <row r="860" ht="15.75" customHeight="1">
      <c r="C860" s="83"/>
    </row>
    <row r="861" ht="15.75" customHeight="1">
      <c r="C861" s="83"/>
    </row>
    <row r="862" ht="15.75" customHeight="1">
      <c r="C862" s="83"/>
    </row>
    <row r="863" ht="15.75" customHeight="1">
      <c r="C863" s="83"/>
    </row>
    <row r="864" ht="15.75" customHeight="1">
      <c r="C864" s="83"/>
    </row>
    <row r="865" ht="15.75" customHeight="1">
      <c r="C865" s="83"/>
    </row>
    <row r="866" ht="15.75" customHeight="1">
      <c r="C866" s="83"/>
    </row>
    <row r="867" ht="15.75" customHeight="1">
      <c r="C867" s="83"/>
    </row>
    <row r="868" ht="15.75" customHeight="1">
      <c r="C868" s="83"/>
    </row>
    <row r="869" ht="15.75" customHeight="1">
      <c r="C869" s="83"/>
    </row>
    <row r="870" ht="15.75" customHeight="1">
      <c r="C870" s="83"/>
    </row>
    <row r="871" ht="15.75" customHeight="1">
      <c r="C871" s="83"/>
    </row>
    <row r="872" ht="15.75" customHeight="1">
      <c r="C872" s="83"/>
    </row>
    <row r="873" ht="15.75" customHeight="1">
      <c r="C873" s="83"/>
    </row>
    <row r="874" ht="15.75" customHeight="1">
      <c r="C874" s="83"/>
    </row>
    <row r="875" ht="15.75" customHeight="1">
      <c r="C875" s="83"/>
    </row>
    <row r="876" ht="15.75" customHeight="1">
      <c r="C876" s="83"/>
    </row>
    <row r="877" ht="15.75" customHeight="1">
      <c r="C877" s="83"/>
    </row>
    <row r="878" ht="15.75" customHeight="1">
      <c r="C878" s="83"/>
    </row>
    <row r="879" ht="15.75" customHeight="1">
      <c r="C879" s="83"/>
    </row>
    <row r="880" ht="15.75" customHeight="1">
      <c r="C880" s="83"/>
    </row>
    <row r="881" ht="15.75" customHeight="1">
      <c r="C881" s="83"/>
    </row>
    <row r="882" ht="15.75" customHeight="1">
      <c r="C882" s="83"/>
    </row>
    <row r="883" ht="15.75" customHeight="1">
      <c r="C883" s="83"/>
    </row>
    <row r="884" ht="15.75" customHeight="1">
      <c r="C884" s="83"/>
    </row>
    <row r="885" ht="15.75" customHeight="1">
      <c r="C885" s="83"/>
    </row>
    <row r="886" ht="15.75" customHeight="1">
      <c r="C886" s="83"/>
    </row>
    <row r="887" ht="15.75" customHeight="1">
      <c r="C887" s="83"/>
    </row>
    <row r="888" ht="15.75" customHeight="1">
      <c r="C888" s="83"/>
    </row>
    <row r="889" ht="15.75" customHeight="1">
      <c r="C889" s="83"/>
    </row>
    <row r="890" ht="15.75" customHeight="1">
      <c r="C890" s="83"/>
    </row>
    <row r="891" ht="15.75" customHeight="1">
      <c r="C891" s="83"/>
    </row>
    <row r="892" ht="15.75" customHeight="1">
      <c r="C892" s="83"/>
    </row>
    <row r="893" ht="15.75" customHeight="1">
      <c r="C893" s="83"/>
    </row>
    <row r="894" ht="15.75" customHeight="1">
      <c r="C894" s="83"/>
    </row>
    <row r="895" ht="15.75" customHeight="1">
      <c r="C895" s="83"/>
    </row>
    <row r="896" ht="15.75" customHeight="1">
      <c r="C896" s="83"/>
    </row>
    <row r="897" ht="15.75" customHeight="1">
      <c r="C897" s="83"/>
    </row>
    <row r="898" ht="15.75" customHeight="1">
      <c r="C898" s="83"/>
    </row>
    <row r="899" ht="15.75" customHeight="1">
      <c r="C899" s="83"/>
    </row>
    <row r="900" ht="15.75" customHeight="1">
      <c r="C900" s="83"/>
    </row>
    <row r="901" ht="15.75" customHeight="1">
      <c r="C901" s="83"/>
    </row>
    <row r="902" ht="15.75" customHeight="1">
      <c r="C902" s="83"/>
    </row>
    <row r="903" ht="15.75" customHeight="1">
      <c r="C903" s="83"/>
    </row>
    <row r="904" ht="15.75" customHeight="1">
      <c r="C904" s="83"/>
    </row>
    <row r="905" ht="15.75" customHeight="1">
      <c r="C905" s="83"/>
    </row>
    <row r="906" ht="15.75" customHeight="1">
      <c r="C906" s="83"/>
    </row>
    <row r="907" ht="15.75" customHeight="1">
      <c r="C907" s="83"/>
    </row>
    <row r="908" ht="15.75" customHeight="1">
      <c r="C908" s="83"/>
    </row>
    <row r="909" ht="15.75" customHeight="1">
      <c r="C909" s="83"/>
    </row>
    <row r="910" ht="15.75" customHeight="1">
      <c r="C910" s="83"/>
    </row>
    <row r="911" ht="15.75" customHeight="1">
      <c r="C911" s="83"/>
    </row>
    <row r="912" ht="15.75" customHeight="1">
      <c r="C912" s="83"/>
    </row>
    <row r="913" ht="15.75" customHeight="1">
      <c r="C913" s="83"/>
    </row>
    <row r="914" ht="15.75" customHeight="1">
      <c r="C914" s="83"/>
    </row>
    <row r="915" ht="15.75" customHeight="1">
      <c r="C915" s="83"/>
    </row>
    <row r="916" ht="15.75" customHeight="1">
      <c r="C916" s="83"/>
    </row>
    <row r="917" ht="15.75" customHeight="1">
      <c r="C917" s="83"/>
    </row>
    <row r="918" ht="15.75" customHeight="1">
      <c r="C918" s="83"/>
    </row>
    <row r="919" ht="15.75" customHeight="1">
      <c r="C919" s="83"/>
    </row>
    <row r="920" ht="15.75" customHeight="1">
      <c r="C920" s="83"/>
    </row>
    <row r="921" ht="15.75" customHeight="1">
      <c r="C921" s="83"/>
    </row>
    <row r="922" ht="15.75" customHeight="1">
      <c r="C922" s="83"/>
    </row>
    <row r="923" ht="15.75" customHeight="1">
      <c r="C923" s="83"/>
    </row>
    <row r="924" ht="15.75" customHeight="1">
      <c r="C924" s="83"/>
    </row>
    <row r="925" ht="15.75" customHeight="1">
      <c r="C925" s="83"/>
    </row>
    <row r="926" ht="15.75" customHeight="1">
      <c r="C926" s="83"/>
    </row>
    <row r="927" ht="15.75" customHeight="1">
      <c r="C927" s="83"/>
    </row>
    <row r="928" ht="15.75" customHeight="1">
      <c r="C928" s="83"/>
    </row>
    <row r="929" ht="15.75" customHeight="1">
      <c r="C929" s="83"/>
    </row>
    <row r="930" ht="15.75" customHeight="1">
      <c r="C930" s="83"/>
    </row>
    <row r="931" ht="15.75" customHeight="1">
      <c r="C931" s="83"/>
    </row>
    <row r="932" ht="15.75" customHeight="1">
      <c r="C932" s="83"/>
    </row>
    <row r="933" ht="15.75" customHeight="1">
      <c r="C933" s="83"/>
    </row>
    <row r="934" ht="15.75" customHeight="1">
      <c r="C934" s="83"/>
    </row>
    <row r="935" ht="15.75" customHeight="1">
      <c r="C935" s="83"/>
    </row>
    <row r="936" ht="15.75" customHeight="1">
      <c r="C936" s="83"/>
    </row>
    <row r="937" ht="15.75" customHeight="1">
      <c r="C937" s="83"/>
    </row>
    <row r="938" ht="15.75" customHeight="1">
      <c r="C938" s="83"/>
    </row>
    <row r="939" ht="15.75" customHeight="1">
      <c r="C939" s="83"/>
    </row>
    <row r="940" ht="15.75" customHeight="1">
      <c r="C940" s="83"/>
    </row>
    <row r="941" ht="15.75" customHeight="1">
      <c r="C941" s="83"/>
    </row>
    <row r="942" ht="15.75" customHeight="1">
      <c r="C942" s="83"/>
    </row>
    <row r="943" ht="15.75" customHeight="1">
      <c r="C943" s="83"/>
    </row>
    <row r="944" ht="15.75" customHeight="1">
      <c r="C944" s="83"/>
    </row>
    <row r="945" ht="15.75" customHeight="1">
      <c r="C945" s="83"/>
    </row>
    <row r="946" ht="15.75" customHeight="1">
      <c r="C946" s="83"/>
    </row>
    <row r="947" ht="15.75" customHeight="1">
      <c r="C947" s="83"/>
    </row>
    <row r="948" ht="15.75" customHeight="1">
      <c r="C948" s="83"/>
    </row>
    <row r="949" ht="15.75" customHeight="1">
      <c r="C949" s="83"/>
    </row>
    <row r="950" ht="15.75" customHeight="1">
      <c r="C950" s="83"/>
    </row>
    <row r="951" ht="15.75" customHeight="1">
      <c r="C951" s="83"/>
    </row>
    <row r="952" ht="15.75" customHeight="1">
      <c r="C952" s="83"/>
    </row>
    <row r="953" ht="15.75" customHeight="1">
      <c r="C953" s="83"/>
    </row>
    <row r="954" ht="15.75" customHeight="1">
      <c r="C954" s="83"/>
    </row>
    <row r="955" ht="15.75" customHeight="1">
      <c r="C955" s="83"/>
    </row>
    <row r="956" ht="15.75" customHeight="1">
      <c r="C956" s="83"/>
    </row>
    <row r="957" ht="15.75" customHeight="1">
      <c r="C957" s="83"/>
    </row>
    <row r="958" ht="15.75" customHeight="1">
      <c r="C958" s="83"/>
    </row>
    <row r="959" ht="15.75" customHeight="1">
      <c r="C959" s="83"/>
    </row>
    <row r="960" ht="15.75" customHeight="1">
      <c r="C960" s="83"/>
    </row>
    <row r="961" ht="15.75" customHeight="1">
      <c r="C961" s="83"/>
    </row>
    <row r="962" ht="15.75" customHeight="1">
      <c r="C962" s="83"/>
    </row>
    <row r="963" ht="15.75" customHeight="1">
      <c r="C963" s="83"/>
    </row>
    <row r="964" ht="15.75" customHeight="1">
      <c r="C964" s="83"/>
    </row>
    <row r="965" ht="15.75" customHeight="1">
      <c r="C965" s="83"/>
    </row>
    <row r="966" ht="15.75" customHeight="1">
      <c r="C966" s="83"/>
    </row>
    <row r="967" ht="15.75" customHeight="1">
      <c r="C967" s="83"/>
    </row>
    <row r="968" ht="15.75" customHeight="1">
      <c r="C968" s="83"/>
    </row>
    <row r="969" ht="15.75" customHeight="1">
      <c r="C969" s="83"/>
    </row>
    <row r="970" ht="15.75" customHeight="1">
      <c r="C970" s="83"/>
    </row>
    <row r="971" ht="15.75" customHeight="1">
      <c r="C971" s="83"/>
    </row>
    <row r="972" ht="15.75" customHeight="1">
      <c r="C972" s="83"/>
    </row>
    <row r="973" ht="15.75" customHeight="1">
      <c r="C973" s="83"/>
    </row>
    <row r="974" ht="15.75" customHeight="1">
      <c r="C974" s="83"/>
    </row>
    <row r="975" ht="15.75" customHeight="1">
      <c r="C975" s="83"/>
    </row>
    <row r="976" ht="15.75" customHeight="1">
      <c r="C976" s="83"/>
    </row>
    <row r="977" ht="15.75" customHeight="1">
      <c r="C977" s="83"/>
    </row>
    <row r="978" ht="15.75" customHeight="1">
      <c r="C978" s="83"/>
    </row>
    <row r="979" ht="15.75" customHeight="1">
      <c r="C979" s="83"/>
    </row>
    <row r="980" ht="15.75" customHeight="1">
      <c r="C980" s="83"/>
    </row>
    <row r="981" ht="15.75" customHeight="1">
      <c r="C981" s="83"/>
    </row>
    <row r="982" ht="15.75" customHeight="1">
      <c r="C982" s="83"/>
    </row>
    <row r="983" ht="15.75" customHeight="1">
      <c r="C983" s="83"/>
    </row>
    <row r="984" ht="15.75" customHeight="1">
      <c r="C984" s="83"/>
    </row>
    <row r="985" ht="15.75" customHeight="1">
      <c r="C985" s="83"/>
    </row>
    <row r="986" ht="15.75" customHeight="1">
      <c r="C986" s="83"/>
    </row>
    <row r="987" ht="15.75" customHeight="1">
      <c r="C987" s="83"/>
    </row>
    <row r="988" ht="15.75" customHeight="1">
      <c r="C988" s="83"/>
    </row>
    <row r="989" ht="15.75" customHeight="1">
      <c r="C989" s="83"/>
    </row>
    <row r="990" ht="15.75" customHeight="1">
      <c r="C990" s="83"/>
    </row>
    <row r="991" ht="15.75" customHeight="1">
      <c r="C991" s="83"/>
    </row>
    <row r="992" ht="15.75" customHeight="1">
      <c r="C992" s="83"/>
    </row>
    <row r="993" ht="15.75" customHeight="1">
      <c r="C993" s="83"/>
    </row>
    <row r="994" ht="15.75" customHeight="1">
      <c r="C994" s="83"/>
    </row>
    <row r="995" ht="15.75" customHeight="1">
      <c r="C995" s="83"/>
    </row>
    <row r="996" ht="15.75" customHeight="1">
      <c r="C996" s="83"/>
    </row>
  </sheetData>
  <hyperlinks>
    <hyperlink r:id="rId1" ref="B93"/>
    <hyperlink r:id="rId2" ref="B94"/>
    <hyperlink r:id="rId3" ref="B97"/>
    <hyperlink r:id="rId4" ref="B148"/>
    <hyperlink r:id="rId5" ref="B149"/>
    <hyperlink r:id="rId6" ref="B150"/>
    <hyperlink r:id="rId7" ref="B151"/>
    <hyperlink r:id="rId8" ref="B152"/>
    <hyperlink r:id="rId9" ref="B153"/>
    <hyperlink r:id="rId10" ref="B154"/>
    <hyperlink r:id="rId11" ref="B162"/>
    <hyperlink r:id="rId12" ref="B171"/>
  </hyperlinks>
  <printOptions/>
  <pageMargins bottom="0.75" footer="0.0" header="0.0" left="0.7" right="0.7" top="0.75"/>
  <pageSetup orientation="landscape"/>
  <drawing r:id="rId13"/>
  <tableParts count="3">
    <tablePart r:id="rId17"/>
    <tablePart r:id="rId18"/>
    <tablePart r:id="rId1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2024-08-18T02:57:37Z</dcterms:created>
  <dc:creator>Tony Latvenas</dc:creator>
</cp:coreProperties>
</file>